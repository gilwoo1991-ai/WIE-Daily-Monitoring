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/>
  <mc:AlternateContent xmlns:mc="http://schemas.openxmlformats.org/markup-compatibility/2006">
    <mc:Choice Requires="x15">
      <x15ac:absPath xmlns:x15ac="http://schemas.microsoft.com/office/spreadsheetml/2010/11/ac" url="https://withie.sharepoint.com/sites/msteams_d77f47/Shared Documents/General/3-2. 배출시설 및 방지시설 운영기록부/"/>
    </mc:Choice>
  </mc:AlternateContent>
  <xr:revisionPtr revIDLastSave="3234" documentId="13_ncr:1_{E8584D1B-F7DA-4557-AE35-AD3E08AF7B92}" xr6:coauthVersionLast="47" xr6:coauthVersionMax="47" xr10:uidLastSave="{4691758D-730F-4CC8-8D4E-7D8778C27930}"/>
  <bookViews>
    <workbookView xWindow="-120" yWindow="-120" windowWidth="29040" windowHeight="15720" activeTab="4" xr2:uid="{EB34AA41-28F2-490E-ADFF-D7B785632636}"/>
  </bookViews>
  <sheets>
    <sheet name="운영현황" sheetId="6" r:id="rId1"/>
    <sheet name="일일 가동현황" sheetId="8" r:id="rId2"/>
    <sheet name="월별" sheetId="5" r:id="rId3"/>
    <sheet name="일별" sheetId="2" r:id="rId4"/>
    <sheet name="운전실적_원본" sheetId="1" r:id="rId5"/>
    <sheet name="산정.." sheetId="9" r:id="rId6"/>
    <sheet name="Waterbalance" sheetId="1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A">[1]금액내역서!$D$3:$D$10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99_01_29">#REF!</definedName>
    <definedName name="_A1" localSheetId="6">BlankMacro1</definedName>
    <definedName name="_A1">BlankMacro1</definedName>
    <definedName name="_DDB4">[2]Ky!#REF!</definedName>
    <definedName name="_DDB6">[2]Ky!#REF!</definedName>
    <definedName name="_DDB7">[2]Ky!#REF!</definedName>
    <definedName name="_Fill" hidden="1">#REF!</definedName>
    <definedName name="_JJ1">#REF!</definedName>
    <definedName name="_JJ10">#REF!</definedName>
    <definedName name="_JJ100">#N/A</definedName>
    <definedName name="_JJ101">#N/A</definedName>
    <definedName name="_JJ102">#N/A</definedName>
    <definedName name="_JJ103">#N/A</definedName>
    <definedName name="_JJ104">#N/A</definedName>
    <definedName name="_JJ105">#N/A</definedName>
    <definedName name="_JJ106">#N/A</definedName>
    <definedName name="_JJ107">#N/A</definedName>
    <definedName name="_JJ108">#N/A</definedName>
    <definedName name="_JJ109">#N/A</definedName>
    <definedName name="_JJ11">#REF!</definedName>
    <definedName name="_JJ110">#N/A</definedName>
    <definedName name="_JJ111">#N/A</definedName>
    <definedName name="_JJ112">#N/A</definedName>
    <definedName name="_JJ113">#REF!</definedName>
    <definedName name="_JJ114">#REF!</definedName>
    <definedName name="_JJ115">#REF!</definedName>
    <definedName name="_JJ116">#REF!</definedName>
    <definedName name="_JJ117">#REF!</definedName>
    <definedName name="_JJ118">#REF!</definedName>
    <definedName name="_JJ119">#REF!</definedName>
    <definedName name="_JJ12">#REF!</definedName>
    <definedName name="_JJ120">#REF!</definedName>
    <definedName name="_JJ121">#REF!</definedName>
    <definedName name="_JJ122">#REF!</definedName>
    <definedName name="_JJ123">#REF!</definedName>
    <definedName name="_JJ124">#REF!</definedName>
    <definedName name="_JJ125">#REF!</definedName>
    <definedName name="_JJ126">#REF!</definedName>
    <definedName name="_JJ127">#REF!</definedName>
    <definedName name="_JJ128">#REF!</definedName>
    <definedName name="_JJ129">#REF!</definedName>
    <definedName name="_JJ13">#REF!</definedName>
    <definedName name="_JJ130">#REF!</definedName>
    <definedName name="_JJ131">#REF!</definedName>
    <definedName name="_JJ132">#REF!</definedName>
    <definedName name="_JJ133">#REF!</definedName>
    <definedName name="_JJ134">#REF!</definedName>
    <definedName name="_JJ135">#REF!</definedName>
    <definedName name="_JJ136">#REF!</definedName>
    <definedName name="_JJ137">#REF!</definedName>
    <definedName name="_JJ138">#REF!</definedName>
    <definedName name="_JJ139">#REF!</definedName>
    <definedName name="_JJ14">#REF!</definedName>
    <definedName name="_JJ140">#REF!</definedName>
    <definedName name="_JJ141">#N/A</definedName>
    <definedName name="_JJ142">#N/A</definedName>
    <definedName name="_JJ143">#N/A</definedName>
    <definedName name="_JJ144">#N/A</definedName>
    <definedName name="_JJ145">#N/A</definedName>
    <definedName name="_JJ146">#N/A</definedName>
    <definedName name="_JJ147">#N/A</definedName>
    <definedName name="_JJ148">#N/A</definedName>
    <definedName name="_JJ149">#N/A</definedName>
    <definedName name="_JJ15">#REF!</definedName>
    <definedName name="_JJ150">#N/A</definedName>
    <definedName name="_JJ151">#N/A</definedName>
    <definedName name="_JJ152">#N/A</definedName>
    <definedName name="_JJ153">#N/A</definedName>
    <definedName name="_JJ154">#N/A</definedName>
    <definedName name="_JJ155">#N/A</definedName>
    <definedName name="_JJ156">#N/A</definedName>
    <definedName name="_JJ157">#N/A</definedName>
    <definedName name="_JJ158">#N/A</definedName>
    <definedName name="_JJ159">#N/A</definedName>
    <definedName name="_JJ16">#REF!</definedName>
    <definedName name="_JJ160">#N/A</definedName>
    <definedName name="_JJ161">#N/A</definedName>
    <definedName name="_JJ162">#N/A</definedName>
    <definedName name="_JJ163">#N/A</definedName>
    <definedName name="_JJ164">#N/A</definedName>
    <definedName name="_JJ165">#N/A</definedName>
    <definedName name="_JJ166">#N/A</definedName>
    <definedName name="_JJ167">#N/A</definedName>
    <definedName name="_JJ168">#N/A</definedName>
    <definedName name="_JJ169">#N/A</definedName>
    <definedName name="_JJ17">#REF!</definedName>
    <definedName name="_JJ170">#N/A</definedName>
    <definedName name="_JJ171">#N/A</definedName>
    <definedName name="_JJ172">#N/A</definedName>
    <definedName name="_JJ173">#N/A</definedName>
    <definedName name="_JJ174">#N/A</definedName>
    <definedName name="_JJ175">#N/A</definedName>
    <definedName name="_JJ176">#N/A</definedName>
    <definedName name="_JJ177">#N/A</definedName>
    <definedName name="_JJ178">#N/A</definedName>
    <definedName name="_JJ179">#N/A</definedName>
    <definedName name="_JJ18">#REF!</definedName>
    <definedName name="_JJ180">#N/A</definedName>
    <definedName name="_JJ181">#N/A</definedName>
    <definedName name="_JJ182">#N/A</definedName>
    <definedName name="_JJ183">#REF!</definedName>
    <definedName name="_JJ184">#REF!</definedName>
    <definedName name="_JJ185">#REF!</definedName>
    <definedName name="_JJ186">#REF!</definedName>
    <definedName name="_JJ187">#REF!</definedName>
    <definedName name="_JJ188">#REF!</definedName>
    <definedName name="_JJ189">#REF!</definedName>
    <definedName name="_JJ19">#REF!</definedName>
    <definedName name="_JJ190">#REF!</definedName>
    <definedName name="_JJ191">#REF!</definedName>
    <definedName name="_JJ192">#REF!</definedName>
    <definedName name="_JJ193">#REF!</definedName>
    <definedName name="_JJ194">#REF!</definedName>
    <definedName name="_JJ195">#REF!</definedName>
    <definedName name="_JJ196">#REF!</definedName>
    <definedName name="_JJ197">#N/A</definedName>
    <definedName name="_JJ198">#N/A</definedName>
    <definedName name="_JJ199">#N/A</definedName>
    <definedName name="_JJ2">#REF!</definedName>
    <definedName name="_JJ20">#REF!</definedName>
    <definedName name="_JJ200">#N/A</definedName>
    <definedName name="_JJ201">#N/A</definedName>
    <definedName name="_JJ202">#N/A</definedName>
    <definedName name="_JJ203">#N/A</definedName>
    <definedName name="_JJ204">#N/A</definedName>
    <definedName name="_JJ205">#N/A</definedName>
    <definedName name="_JJ206">#N/A</definedName>
    <definedName name="_JJ207">#N/A</definedName>
    <definedName name="_JJ208">#N/A</definedName>
    <definedName name="_JJ209">#N/A</definedName>
    <definedName name="_JJ21">#REF!</definedName>
    <definedName name="_JJ210">#N/A</definedName>
    <definedName name="_JJ211">#REF!</definedName>
    <definedName name="_JJ212">#REF!</definedName>
    <definedName name="_JJ213">#REF!</definedName>
    <definedName name="_JJ214">#REF!</definedName>
    <definedName name="_JJ215">#REF!</definedName>
    <definedName name="_JJ216">#REF!</definedName>
    <definedName name="_JJ217">#REF!</definedName>
    <definedName name="_JJ218">#REF!</definedName>
    <definedName name="_JJ219">#REF!</definedName>
    <definedName name="_JJ22">#REF!</definedName>
    <definedName name="_JJ220">#REF!</definedName>
    <definedName name="_JJ221">#REF!</definedName>
    <definedName name="_JJ222">#REF!</definedName>
    <definedName name="_JJ223">#REF!</definedName>
    <definedName name="_JJ224">#REF!</definedName>
    <definedName name="_JJ225">#REF!</definedName>
    <definedName name="_JJ226">#REF!</definedName>
    <definedName name="_JJ227">#REF!</definedName>
    <definedName name="_JJ228">#REF!</definedName>
    <definedName name="_JJ229">#REF!</definedName>
    <definedName name="_JJ23">#REF!</definedName>
    <definedName name="_JJ230">#REF!</definedName>
    <definedName name="_JJ231">#REF!</definedName>
    <definedName name="_JJ232">#REF!</definedName>
    <definedName name="_JJ233">#REF!</definedName>
    <definedName name="_JJ234">#REF!</definedName>
    <definedName name="_JJ235">#REF!</definedName>
    <definedName name="_JJ236">#REF!</definedName>
    <definedName name="_JJ237">#REF!</definedName>
    <definedName name="_JJ238">#REF!</definedName>
    <definedName name="_JJ239">#REF!</definedName>
    <definedName name="_JJ24">#REF!</definedName>
    <definedName name="_JJ240">#REF!</definedName>
    <definedName name="_JJ241">#REF!</definedName>
    <definedName name="_JJ242">#REF!</definedName>
    <definedName name="_JJ243">#REF!</definedName>
    <definedName name="_JJ244">#REF!</definedName>
    <definedName name="_JJ245">#REF!</definedName>
    <definedName name="_JJ246">#N/A</definedName>
    <definedName name="_JJ247">#N/A</definedName>
    <definedName name="_JJ248">#REF!</definedName>
    <definedName name="_JJ249">#REF!</definedName>
    <definedName name="_JJ25">#REF!</definedName>
    <definedName name="_JJ250">#REF!</definedName>
    <definedName name="_JJ251">#REF!</definedName>
    <definedName name="_JJ252">#REF!</definedName>
    <definedName name="_JJ253">#REF!</definedName>
    <definedName name="_JJ254">#REF!</definedName>
    <definedName name="_JJ255">#REF!</definedName>
    <definedName name="_JJ256">#REF!</definedName>
    <definedName name="_JJ257">#REF!</definedName>
    <definedName name="_JJ258">#REF!</definedName>
    <definedName name="_JJ259">#REF!</definedName>
    <definedName name="_JJ26">#REF!</definedName>
    <definedName name="_JJ260">#REF!</definedName>
    <definedName name="_JJ261">#REF!</definedName>
    <definedName name="_JJ262">#REF!</definedName>
    <definedName name="_JJ263">#REF!</definedName>
    <definedName name="_JJ264">#REF!</definedName>
    <definedName name="_JJ265">#REF!</definedName>
    <definedName name="_JJ266">#REF!</definedName>
    <definedName name="_JJ267">#REF!</definedName>
    <definedName name="_JJ268">#REF!</definedName>
    <definedName name="_JJ269">#REF!</definedName>
    <definedName name="_JJ27">#REF!</definedName>
    <definedName name="_JJ270">#REF!</definedName>
    <definedName name="_JJ271">#REF!</definedName>
    <definedName name="_JJ272">#REF!</definedName>
    <definedName name="_JJ273">#REF!</definedName>
    <definedName name="_JJ274">#REF!</definedName>
    <definedName name="_JJ275">#REF!</definedName>
    <definedName name="_JJ276">#REF!</definedName>
    <definedName name="_JJ277">#REF!</definedName>
    <definedName name="_JJ278">#REF!</definedName>
    <definedName name="_JJ279">#REF!</definedName>
    <definedName name="_JJ28">#REF!</definedName>
    <definedName name="_JJ280">#REF!</definedName>
    <definedName name="_JJ281">#REF!</definedName>
    <definedName name="_JJ282">#REF!</definedName>
    <definedName name="_JJ283">#REF!</definedName>
    <definedName name="_JJ284">#REF!</definedName>
    <definedName name="_JJ285">#REF!</definedName>
    <definedName name="_JJ286">#REF!</definedName>
    <definedName name="_JJ287">#REF!</definedName>
    <definedName name="_JJ288">#REF!</definedName>
    <definedName name="_JJ289">#REF!</definedName>
    <definedName name="_JJ29">#N/A</definedName>
    <definedName name="_JJ290">#REF!</definedName>
    <definedName name="_JJ291">#REF!</definedName>
    <definedName name="_JJ292">#REF!</definedName>
    <definedName name="_JJ293">#REF!</definedName>
    <definedName name="_JJ294">#REF!</definedName>
    <definedName name="_JJ295">#REF!</definedName>
    <definedName name="_JJ296">#REF!</definedName>
    <definedName name="_JJ297">#REF!</definedName>
    <definedName name="_JJ298">#REF!</definedName>
    <definedName name="_JJ299">#REF!</definedName>
    <definedName name="_JJ3">#REF!</definedName>
    <definedName name="_JJ30">#N/A</definedName>
    <definedName name="_JJ300">#REF!</definedName>
    <definedName name="_JJ301">#REF!</definedName>
    <definedName name="_JJ302">#REF!</definedName>
    <definedName name="_JJ303">#REF!</definedName>
    <definedName name="_JJ304">#REF!</definedName>
    <definedName name="_JJ305">#REF!</definedName>
    <definedName name="_JJ306">#REF!</definedName>
    <definedName name="_JJ307">#REF!</definedName>
    <definedName name="_JJ308">#REF!</definedName>
    <definedName name="_JJ309">#N/A</definedName>
    <definedName name="_JJ31">#N/A</definedName>
    <definedName name="_JJ310">#N/A</definedName>
    <definedName name="_JJ311">#N/A</definedName>
    <definedName name="_JJ312">#N/A</definedName>
    <definedName name="_JJ313">#N/A</definedName>
    <definedName name="_JJ314">#N/A</definedName>
    <definedName name="_JJ315">#N/A</definedName>
    <definedName name="_JJ316">#N/A</definedName>
    <definedName name="_JJ317">#N/A</definedName>
    <definedName name="_JJ318">#N/A</definedName>
    <definedName name="_JJ319">#N/A</definedName>
    <definedName name="_JJ32">#N/A</definedName>
    <definedName name="_JJ320">#N/A</definedName>
    <definedName name="_JJ321">#N/A</definedName>
    <definedName name="_JJ322">#N/A</definedName>
    <definedName name="_JJ323">#REF!</definedName>
    <definedName name="_JJ324">#REF!</definedName>
    <definedName name="_JJ325">#N/A</definedName>
    <definedName name="_JJ326">#REF!</definedName>
    <definedName name="_JJ327">#REF!</definedName>
    <definedName name="_JJ328">#REF!</definedName>
    <definedName name="_JJ329">#REF!</definedName>
    <definedName name="_JJ33">#N/A</definedName>
    <definedName name="_JJ330">#REF!</definedName>
    <definedName name="_JJ331">#REF!</definedName>
    <definedName name="_JJ332">#REF!</definedName>
    <definedName name="_JJ333">#REF!</definedName>
    <definedName name="_JJ334">#REF!</definedName>
    <definedName name="_JJ335">#REF!</definedName>
    <definedName name="_JJ336">#REF!</definedName>
    <definedName name="_JJ337">#REF!</definedName>
    <definedName name="_JJ338">#REF!</definedName>
    <definedName name="_JJ339">#REF!</definedName>
    <definedName name="_JJ34">#N/A</definedName>
    <definedName name="_JJ340">#REF!</definedName>
    <definedName name="_JJ341">#REF!</definedName>
    <definedName name="_JJ342">#REF!</definedName>
    <definedName name="_JJ343">#REF!</definedName>
    <definedName name="_JJ344">#REF!</definedName>
    <definedName name="_JJ345">#REF!</definedName>
    <definedName name="_JJ346">#REF!</definedName>
    <definedName name="_JJ347">#REF!</definedName>
    <definedName name="_JJ348">#REF!</definedName>
    <definedName name="_JJ349">#REF!</definedName>
    <definedName name="_JJ35">#N/A</definedName>
    <definedName name="_JJ350">#REF!</definedName>
    <definedName name="_JJ351">#REF!</definedName>
    <definedName name="_JJ352">#REF!</definedName>
    <definedName name="_JJ353">#REF!</definedName>
    <definedName name="_JJ354">#REF!</definedName>
    <definedName name="_JJ355">#REF!</definedName>
    <definedName name="_JJ356">#REF!</definedName>
    <definedName name="_JJ357">#REF!</definedName>
    <definedName name="_JJ358">#REF!</definedName>
    <definedName name="_JJ359">#REF!</definedName>
    <definedName name="_JJ36">#N/A</definedName>
    <definedName name="_JJ360">#REF!</definedName>
    <definedName name="_JJ361">#REF!</definedName>
    <definedName name="_JJ362">#REF!</definedName>
    <definedName name="_JJ363">#REF!</definedName>
    <definedName name="_JJ364">#REF!</definedName>
    <definedName name="_JJ365">#REF!</definedName>
    <definedName name="_JJ366">#REF!</definedName>
    <definedName name="_JJ367">#REF!</definedName>
    <definedName name="_JJ368">#REF!</definedName>
    <definedName name="_JJ369">#REF!</definedName>
    <definedName name="_JJ37">#N/A</definedName>
    <definedName name="_JJ370">#REF!</definedName>
    <definedName name="_JJ371">#REF!</definedName>
    <definedName name="_JJ372">#REF!</definedName>
    <definedName name="_JJ373">#REF!</definedName>
    <definedName name="_JJ374">#REF!</definedName>
    <definedName name="_JJ375">#REF!</definedName>
    <definedName name="_JJ376">#REF!</definedName>
    <definedName name="_JJ377">#REF!</definedName>
    <definedName name="_JJ378">#REF!</definedName>
    <definedName name="_JJ379">#N/A</definedName>
    <definedName name="_JJ38">#N/A</definedName>
    <definedName name="_JJ380">#N/A</definedName>
    <definedName name="_JJ381">#N/A</definedName>
    <definedName name="_JJ382">#N/A</definedName>
    <definedName name="_JJ383">#N/A</definedName>
    <definedName name="_JJ384">#N/A</definedName>
    <definedName name="_JJ385">#N/A</definedName>
    <definedName name="_JJ386">#N/A</definedName>
    <definedName name="_JJ387">#N/A</definedName>
    <definedName name="_JJ388">#N/A</definedName>
    <definedName name="_JJ389">#N/A</definedName>
    <definedName name="_JJ39">#N/A</definedName>
    <definedName name="_JJ390">#N/A</definedName>
    <definedName name="_JJ391">#N/A</definedName>
    <definedName name="_JJ392">#N/A</definedName>
    <definedName name="_JJ393">#REF!</definedName>
    <definedName name="_JJ394">#REF!</definedName>
    <definedName name="_JJ395">#REF!</definedName>
    <definedName name="_JJ396">#REF!</definedName>
    <definedName name="_JJ397">#REF!</definedName>
    <definedName name="_JJ398">#REF!</definedName>
    <definedName name="_JJ399">#REF!</definedName>
    <definedName name="_JJ4">#REF!</definedName>
    <definedName name="_JJ40">#N/A</definedName>
    <definedName name="_JJ400">#REF!</definedName>
    <definedName name="_JJ401">#REF!</definedName>
    <definedName name="_JJ402">#REF!</definedName>
    <definedName name="_JJ403">#REF!</definedName>
    <definedName name="_JJ404">#REF!</definedName>
    <definedName name="_JJ405">#REF!</definedName>
    <definedName name="_JJ406">#REF!</definedName>
    <definedName name="_JJ407">#REF!</definedName>
    <definedName name="_JJ408">#REF!</definedName>
    <definedName name="_JJ409">#REF!</definedName>
    <definedName name="_JJ41">#N/A</definedName>
    <definedName name="_JJ410">#REF!</definedName>
    <definedName name="_JJ411">#REF!</definedName>
    <definedName name="_JJ412">#REF!</definedName>
    <definedName name="_JJ413">#REF!</definedName>
    <definedName name="_JJ414">#REF!</definedName>
    <definedName name="_JJ415">#REF!</definedName>
    <definedName name="_JJ416">#REF!</definedName>
    <definedName name="_JJ417">#REF!</definedName>
    <definedName name="_JJ418">#REF!</definedName>
    <definedName name="_JJ419">#REF!</definedName>
    <definedName name="_JJ42">#N/A</definedName>
    <definedName name="_JJ420">#REF!</definedName>
    <definedName name="_JJ421">#REF!</definedName>
    <definedName name="_JJ422">#REF!</definedName>
    <definedName name="_JJ423">#REF!</definedName>
    <definedName name="_JJ424">#REF!</definedName>
    <definedName name="_JJ425">#REF!</definedName>
    <definedName name="_JJ426">#REF!</definedName>
    <definedName name="_JJ427">#REF!</definedName>
    <definedName name="_JJ428">#REF!</definedName>
    <definedName name="_JJ429">#REF!</definedName>
    <definedName name="_JJ43">#N/A</definedName>
    <definedName name="_JJ430">#REF!</definedName>
    <definedName name="_JJ431">#REF!</definedName>
    <definedName name="_JJ432">#REF!</definedName>
    <definedName name="_JJ433">#REF!</definedName>
    <definedName name="_JJ434">#REF!</definedName>
    <definedName name="_JJ435">#REF!</definedName>
    <definedName name="_JJ436">#REF!</definedName>
    <definedName name="_JJ437">#REF!</definedName>
    <definedName name="_JJ438">#REF!</definedName>
    <definedName name="_JJ439">#REF!</definedName>
    <definedName name="_JJ44">#N/A</definedName>
    <definedName name="_JJ440">#REF!</definedName>
    <definedName name="_JJ441">#REF!</definedName>
    <definedName name="_JJ442">#REF!</definedName>
    <definedName name="_JJ443">#REF!</definedName>
    <definedName name="_JJ444">#REF!</definedName>
    <definedName name="_JJ445">#REF!</definedName>
    <definedName name="_JJ446">#REF!</definedName>
    <definedName name="_JJ447">#REF!</definedName>
    <definedName name="_JJ448">#REF!</definedName>
    <definedName name="_JJ449">#REF!</definedName>
    <definedName name="_JJ45">#N/A</definedName>
    <definedName name="_JJ450">#REF!</definedName>
    <definedName name="_JJ451">#REF!</definedName>
    <definedName name="_JJ452">#REF!</definedName>
    <definedName name="_JJ453">#REF!</definedName>
    <definedName name="_JJ454">#REF!</definedName>
    <definedName name="_JJ455">#REF!</definedName>
    <definedName name="_JJ456">#REF!</definedName>
    <definedName name="_JJ457">#REF!</definedName>
    <definedName name="_JJ458">#REF!</definedName>
    <definedName name="_JJ459">#REF!</definedName>
    <definedName name="_JJ46">#N/A</definedName>
    <definedName name="_JJ460">#REF!</definedName>
    <definedName name="_JJ461">#REF!</definedName>
    <definedName name="_JJ462">#REF!</definedName>
    <definedName name="_JJ463">#REF!</definedName>
    <definedName name="_JJ464">#REF!</definedName>
    <definedName name="_JJ465">#REF!</definedName>
    <definedName name="_JJ466">#REF!</definedName>
    <definedName name="_JJ467">#REF!</definedName>
    <definedName name="_JJ468">#REF!</definedName>
    <definedName name="_JJ469">#REF!</definedName>
    <definedName name="_JJ47">#N/A</definedName>
    <definedName name="_JJ470">#REF!</definedName>
    <definedName name="_JJ471">#REF!</definedName>
    <definedName name="_JJ472">#REF!</definedName>
    <definedName name="_JJ473">#REF!</definedName>
    <definedName name="_JJ474">#REF!</definedName>
    <definedName name="_JJ475">#REF!</definedName>
    <definedName name="_JJ476">#REF!</definedName>
    <definedName name="_JJ477">#REF!</definedName>
    <definedName name="_JJ478">#REF!</definedName>
    <definedName name="_JJ479">#REF!</definedName>
    <definedName name="_JJ48">#N/A</definedName>
    <definedName name="_JJ480">#REF!</definedName>
    <definedName name="_JJ481">#REF!</definedName>
    <definedName name="_JJ482">#REF!</definedName>
    <definedName name="_JJ483">#REF!</definedName>
    <definedName name="_JJ484">#REF!</definedName>
    <definedName name="_JJ485">#REF!</definedName>
    <definedName name="_JJ486">#REF!</definedName>
    <definedName name="_JJ487">#REF!</definedName>
    <definedName name="_JJ488">#REF!</definedName>
    <definedName name="_JJ489">#REF!</definedName>
    <definedName name="_JJ49">#N/A</definedName>
    <definedName name="_JJ490">#REF!</definedName>
    <definedName name="_JJ491">#N/A</definedName>
    <definedName name="_JJ492">#N/A</definedName>
    <definedName name="_JJ493">#N/A</definedName>
    <definedName name="_JJ494">#N/A</definedName>
    <definedName name="_JJ495">#N/A</definedName>
    <definedName name="_JJ496">#N/A</definedName>
    <definedName name="_JJ497">#N/A</definedName>
    <definedName name="_JJ498">#N/A</definedName>
    <definedName name="_JJ499">#N/A</definedName>
    <definedName name="_JJ5">#REF!</definedName>
    <definedName name="_JJ50">#N/A</definedName>
    <definedName name="_JJ500">#N/A</definedName>
    <definedName name="_JJ501">#N/A</definedName>
    <definedName name="_JJ502">#N/A</definedName>
    <definedName name="_JJ503">#N/A</definedName>
    <definedName name="_JJ504">#N/A</definedName>
    <definedName name="_JJ505">#REF!</definedName>
    <definedName name="_JJ506">#REF!</definedName>
    <definedName name="_JJ507">#REF!</definedName>
    <definedName name="_JJ508">#REF!</definedName>
    <definedName name="_JJ509">#REF!</definedName>
    <definedName name="_JJ51">#N/A</definedName>
    <definedName name="_JJ510">#REF!</definedName>
    <definedName name="_JJ511">#REF!</definedName>
    <definedName name="_JJ512">#REF!</definedName>
    <definedName name="_JJ513">#REF!</definedName>
    <definedName name="_JJ514">#REF!</definedName>
    <definedName name="_JJ515">#REF!</definedName>
    <definedName name="_JJ516">#REF!</definedName>
    <definedName name="_JJ517">#REF!</definedName>
    <definedName name="_JJ518">#REF!</definedName>
    <definedName name="_JJ519">#REF!</definedName>
    <definedName name="_JJ52">#N/A</definedName>
    <definedName name="_JJ520">#REF!</definedName>
    <definedName name="_JJ521">#REF!</definedName>
    <definedName name="_JJ522">#REF!</definedName>
    <definedName name="_JJ523">#REF!</definedName>
    <definedName name="_JJ524">#REF!</definedName>
    <definedName name="_JJ525">#REF!</definedName>
    <definedName name="_JJ526">#REF!</definedName>
    <definedName name="_JJ527">#REF!</definedName>
    <definedName name="_JJ528">#REF!</definedName>
    <definedName name="_JJ529">#REF!</definedName>
    <definedName name="_JJ53">#N/A</definedName>
    <definedName name="_JJ530">#REF!</definedName>
    <definedName name="_JJ531">#REF!</definedName>
    <definedName name="_JJ532">#REF!</definedName>
    <definedName name="_JJ533">#N/A</definedName>
    <definedName name="_JJ534">#N/A</definedName>
    <definedName name="_JJ535">#N/A</definedName>
    <definedName name="_JJ536">#N/A</definedName>
    <definedName name="_JJ537">#N/A</definedName>
    <definedName name="_JJ538">#N/A</definedName>
    <definedName name="_JJ539">#N/A</definedName>
    <definedName name="_JJ54">#N/A</definedName>
    <definedName name="_JJ540">#N/A</definedName>
    <definedName name="_JJ541">#N/A</definedName>
    <definedName name="_JJ542">#N/A</definedName>
    <definedName name="_JJ543">#N/A</definedName>
    <definedName name="_JJ544">#N/A</definedName>
    <definedName name="_JJ545">#N/A</definedName>
    <definedName name="_JJ546">#N/A</definedName>
    <definedName name="_JJ547">#REF!</definedName>
    <definedName name="_JJ548">#REF!</definedName>
    <definedName name="_JJ549">#REF!</definedName>
    <definedName name="_JJ55">#N/A</definedName>
    <definedName name="_JJ550">#REF!</definedName>
    <definedName name="_JJ551">#REF!</definedName>
    <definedName name="_JJ552">#REF!</definedName>
    <definedName name="_JJ553">#REF!</definedName>
    <definedName name="_JJ554">#REF!</definedName>
    <definedName name="_JJ555">#REF!</definedName>
    <definedName name="_JJ556">#REF!</definedName>
    <definedName name="_JJ557">#REF!</definedName>
    <definedName name="_JJ558">#REF!</definedName>
    <definedName name="_JJ559">#REF!</definedName>
    <definedName name="_JJ56">#N/A</definedName>
    <definedName name="_JJ560">#REF!</definedName>
    <definedName name="_JJ561">#REF!</definedName>
    <definedName name="_JJ562">#REF!</definedName>
    <definedName name="_JJ563">#REF!</definedName>
    <definedName name="_JJ564">#REF!</definedName>
    <definedName name="_JJ565">#REF!</definedName>
    <definedName name="_JJ566">#REF!</definedName>
    <definedName name="_JJ567">#REF!</definedName>
    <definedName name="_JJ568">#REF!</definedName>
    <definedName name="_JJ569">#REF!</definedName>
    <definedName name="_JJ57">#REF!</definedName>
    <definedName name="_JJ570">#REF!</definedName>
    <definedName name="_JJ571">#REF!</definedName>
    <definedName name="_JJ572">#REF!</definedName>
    <definedName name="_JJ573">#REF!</definedName>
    <definedName name="_JJ574">#REF!</definedName>
    <definedName name="_JJ575">#REF!</definedName>
    <definedName name="_JJ576">#REF!</definedName>
    <definedName name="_JJ577">#REF!</definedName>
    <definedName name="_JJ578">#REF!</definedName>
    <definedName name="_JJ579">#REF!</definedName>
    <definedName name="_JJ58">#REF!</definedName>
    <definedName name="_JJ580">#REF!</definedName>
    <definedName name="_JJ581">#REF!</definedName>
    <definedName name="_JJ582">#REF!</definedName>
    <definedName name="_JJ583">#REF!</definedName>
    <definedName name="_JJ584">#REF!</definedName>
    <definedName name="_JJ585">#REF!</definedName>
    <definedName name="_JJ586">#REF!</definedName>
    <definedName name="_JJ587">#REF!</definedName>
    <definedName name="_JJ588">#REF!</definedName>
    <definedName name="_JJ589">#REF!</definedName>
    <definedName name="_JJ59">#REF!</definedName>
    <definedName name="_JJ590">#REF!</definedName>
    <definedName name="_JJ591">#REF!</definedName>
    <definedName name="_JJ592">#REF!</definedName>
    <definedName name="_JJ593">#REF!</definedName>
    <definedName name="_JJ594">#REF!</definedName>
    <definedName name="_JJ595">#REF!</definedName>
    <definedName name="_JJ596">#REF!</definedName>
    <definedName name="_JJ597">#REF!</definedName>
    <definedName name="_JJ598">#REF!</definedName>
    <definedName name="_JJ599">#REF!</definedName>
    <definedName name="_JJ6">#REF!</definedName>
    <definedName name="_JJ60">#REF!</definedName>
    <definedName name="_JJ600">#REF!</definedName>
    <definedName name="_JJ601">#REF!</definedName>
    <definedName name="_JJ602">#REF!</definedName>
    <definedName name="_JJ603">#REF!</definedName>
    <definedName name="_JJ604">#REF!</definedName>
    <definedName name="_JJ605">#REF!</definedName>
    <definedName name="_JJ606">#REF!</definedName>
    <definedName name="_JJ607">#REF!</definedName>
    <definedName name="_JJ608">#REF!</definedName>
    <definedName name="_JJ609">#REF!</definedName>
    <definedName name="_JJ61">#REF!</definedName>
    <definedName name="_JJ610">#REF!</definedName>
    <definedName name="_JJ611">#REF!</definedName>
    <definedName name="_JJ612">#REF!</definedName>
    <definedName name="_JJ613">#REF!</definedName>
    <definedName name="_JJ614">#REF!</definedName>
    <definedName name="_JJ615">#REF!</definedName>
    <definedName name="_JJ616">#REF!</definedName>
    <definedName name="_JJ617">#REF!</definedName>
    <definedName name="_JJ618">#REF!</definedName>
    <definedName name="_JJ619">#REF!</definedName>
    <definedName name="_JJ62">#REF!</definedName>
    <definedName name="_JJ620">#REF!</definedName>
    <definedName name="_JJ621">#REF!</definedName>
    <definedName name="_JJ622">#REF!</definedName>
    <definedName name="_JJ623">#REF!</definedName>
    <definedName name="_JJ624">#REF!</definedName>
    <definedName name="_JJ625">#REF!</definedName>
    <definedName name="_JJ626">#REF!</definedName>
    <definedName name="_JJ627">#REF!</definedName>
    <definedName name="_JJ628">#REF!</definedName>
    <definedName name="_JJ629">#REF!</definedName>
    <definedName name="_JJ63">#REF!</definedName>
    <definedName name="_JJ630">#REF!</definedName>
    <definedName name="_JJ631">#REF!</definedName>
    <definedName name="_JJ632">#REF!</definedName>
    <definedName name="_JJ633">#REF!</definedName>
    <definedName name="_JJ634">#REF!</definedName>
    <definedName name="_JJ635">#REF!</definedName>
    <definedName name="_JJ636">#REF!</definedName>
    <definedName name="_JJ637">#REF!</definedName>
    <definedName name="_JJ638">#REF!</definedName>
    <definedName name="_JJ639">#REF!</definedName>
    <definedName name="_JJ64">#REF!</definedName>
    <definedName name="_JJ640">#REF!</definedName>
    <definedName name="_JJ641">#REF!</definedName>
    <definedName name="_JJ642">#REF!</definedName>
    <definedName name="_JJ643">#REF!</definedName>
    <definedName name="_JJ644">#REF!</definedName>
    <definedName name="_JJ645">#REF!</definedName>
    <definedName name="_JJ646">#REF!</definedName>
    <definedName name="_JJ647">#REF!</definedName>
    <definedName name="_JJ648">#REF!</definedName>
    <definedName name="_JJ649">#REF!</definedName>
    <definedName name="_JJ65">#REF!</definedName>
    <definedName name="_JJ650">#REF!</definedName>
    <definedName name="_JJ651">#REF!</definedName>
    <definedName name="_JJ652">#REF!</definedName>
    <definedName name="_JJ653">#REF!</definedName>
    <definedName name="_JJ654">#REF!</definedName>
    <definedName name="_JJ655">#REF!</definedName>
    <definedName name="_JJ656">#REF!</definedName>
    <definedName name="_JJ657">#REF!</definedName>
    <definedName name="_JJ658">#REF!</definedName>
    <definedName name="_JJ659">#REF!</definedName>
    <definedName name="_JJ66">#REF!</definedName>
    <definedName name="_JJ660">#REF!</definedName>
    <definedName name="_JJ661">#REF!</definedName>
    <definedName name="_JJ662">#REF!</definedName>
    <definedName name="_JJ663">#REF!</definedName>
    <definedName name="_JJ664">#REF!</definedName>
    <definedName name="_JJ665">#REF!</definedName>
    <definedName name="_JJ666">#REF!</definedName>
    <definedName name="_JJ667">#REF!</definedName>
    <definedName name="_JJ668">#REF!</definedName>
    <definedName name="_JJ669">#REF!</definedName>
    <definedName name="_JJ67">#REF!</definedName>
    <definedName name="_JJ670">#REF!</definedName>
    <definedName name="_JJ671">#REF!</definedName>
    <definedName name="_JJ672">#REF!</definedName>
    <definedName name="_JJ673">#REF!</definedName>
    <definedName name="_JJ674">#REF!</definedName>
    <definedName name="_JJ675">#REF!</definedName>
    <definedName name="_JJ676">#REF!</definedName>
    <definedName name="_JJ677">#REF!</definedName>
    <definedName name="_JJ678">#REF!</definedName>
    <definedName name="_JJ679">#REF!</definedName>
    <definedName name="_JJ68">#REF!</definedName>
    <definedName name="_JJ680">#REF!</definedName>
    <definedName name="_JJ681">#REF!</definedName>
    <definedName name="_JJ682">#REF!</definedName>
    <definedName name="_JJ683">#REF!</definedName>
    <definedName name="_JJ684">#REF!</definedName>
    <definedName name="_JJ685">#REF!</definedName>
    <definedName name="_JJ686">#REF!</definedName>
    <definedName name="_JJ69">#REF!</definedName>
    <definedName name="_JJ7">#REF!</definedName>
    <definedName name="_JJ70">#REF!</definedName>
    <definedName name="_JJ71">#REF!</definedName>
    <definedName name="_JJ72">#REF!</definedName>
    <definedName name="_JJ73">#REF!</definedName>
    <definedName name="_JJ74">#REF!</definedName>
    <definedName name="_JJ75">#REF!</definedName>
    <definedName name="_JJ76">#REF!</definedName>
    <definedName name="_JJ77">#REF!</definedName>
    <definedName name="_JJ78">#REF!</definedName>
    <definedName name="_JJ79">#REF!</definedName>
    <definedName name="_JJ8">#REF!</definedName>
    <definedName name="_JJ80">#REF!</definedName>
    <definedName name="_JJ81">#REF!</definedName>
    <definedName name="_JJ82">#REF!</definedName>
    <definedName name="_JJ83">#REF!</definedName>
    <definedName name="_JJ84">#REF!</definedName>
    <definedName name="_JJ85">#REF!</definedName>
    <definedName name="_JJ86">#REF!</definedName>
    <definedName name="_JJ87">#REF!</definedName>
    <definedName name="_JJ88">#REF!</definedName>
    <definedName name="_JJ89">#REF!</definedName>
    <definedName name="_JJ9">#REF!</definedName>
    <definedName name="_JJ90">#REF!</definedName>
    <definedName name="_JJ91">#REF!</definedName>
    <definedName name="_JJ92">#REF!</definedName>
    <definedName name="_JJ93">#REF!</definedName>
    <definedName name="_JJ94">#REF!</definedName>
    <definedName name="_JJ95">#REF!</definedName>
    <definedName name="_JJ96">#REF!</definedName>
    <definedName name="_JJ97">#REF!</definedName>
    <definedName name="_JJ98">#REF!</definedName>
    <definedName name="_JJ99">#N/A</definedName>
    <definedName name="_Key1" hidden="1">#REF!</definedName>
    <definedName name="_Order1" hidden="1">255</definedName>
    <definedName name="_Order2" hidden="1">255</definedName>
    <definedName name="_Regression_Int" hidden="1">1</definedName>
    <definedName name="_S14" localSheetId="6">BlankMacro1</definedName>
    <definedName name="_S14">BlankMacro1</definedName>
    <definedName name="_SLM15">[2]Ky!#REF!</definedName>
    <definedName name="_SLM25">[2]Ky!#REF!</definedName>
    <definedName name="_SLM30">[2]Ky!#REF!</definedName>
    <definedName name="_Sort" hidden="1">#REF!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#N/A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x">#REF!</definedName>
    <definedName name="\Y">#REF!</definedName>
    <definedName name="\Z">#REF!</definedName>
    <definedName name="a" localSheetId="6">BlankMacro1</definedName>
    <definedName name="a">BlankMacro1</definedName>
    <definedName name="A_I">[3]별제권_정리담보권!$U$6:$U$213</definedName>
    <definedName name="A_I1">[3]별제권_정리담보권!$O$6:$O$213</definedName>
    <definedName name="A_I2">[3]별제권_정리담보권!$Q$6:$Q$213</definedName>
    <definedName name="A_P">[3]별제권_정리담보권!$T$6:$T$213</definedName>
    <definedName name="ABC">[4]CAT_5!#REF!</definedName>
    <definedName name="AccessDatabase" hidden="1">"C:\홍성일\주간공정\96-10142.mdb"</definedName>
    <definedName name="b">[5]수요예측!$C$43</definedName>
    <definedName name="BREAKDOWN">'[6]Summary Sheets'!$A$2:$K$36</definedName>
    <definedName name="COA_10">#REF!</definedName>
    <definedName name="COA_11">'[7]COA-17'!#REF!</definedName>
    <definedName name="COA_12">'[7]COA-17'!#REF!</definedName>
    <definedName name="COA_13">'[7]COA-17'!#REF!</definedName>
    <definedName name="COA_14">'[7]COA-17'!#REF!</definedName>
    <definedName name="COA_15">'[7]COA-17'!#REF!</definedName>
    <definedName name="COA_16">'[7]COA-17'!#REF!</definedName>
    <definedName name="COA_17">'[7]COA-17'!#REF!</definedName>
    <definedName name="COA_18">'[7]COA-17'!#REF!</definedName>
    <definedName name="COA_19">'[7]COA-17'!#REF!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Ｃｏｄｅ">[8]확인서!$G$10</definedName>
    <definedName name="conb121">[9]!conb121</definedName>
    <definedName name="CONSUM">#REF!</definedName>
    <definedName name="COUPPCD">#REF!</definedName>
    <definedName name="COVER50">[4]CAT_5!#REF!</definedName>
    <definedName name="CV_1">'[7]C-18'!#REF!</definedName>
    <definedName name="CV_11">'[7]C-18'!#REF!</definedName>
    <definedName name="CV_12">'[7]C-18'!#REF!</definedName>
    <definedName name="CV_13">'[7]C-18'!#REF!</definedName>
    <definedName name="CV_14">'[7]C-18'!#REF!</definedName>
    <definedName name="CV_15">'[7]C-18'!#REF!</definedName>
    <definedName name="CV_16">'[7]C-18'!#REF!</definedName>
    <definedName name="CV_17">'[7]C-18'!#REF!</definedName>
    <definedName name="CV_18">#REF!</definedName>
    <definedName name="CV_19">'[7]C-18'!#REF!</definedName>
    <definedName name="CV_20">'[7]C-18'!#REF!</definedName>
    <definedName name="CV_30">'[7]C-18'!#REF!</definedName>
    <definedName name="CV_40">'[7]C-18'!#REF!</definedName>
    <definedName name="CV_50">'[7]C-18'!#REF!</definedName>
    <definedName name="CV_60">'[7]C-18'!#REF!</definedName>
    <definedName name="CV_70">'[7]C-18'!#REF!</definedName>
    <definedName name="CV_80">'[7]C-18'!#REF!</definedName>
    <definedName name="CYCLE___LVL_1____1_HEXENE">'[6]Summary Sheets'!$L$382:$V$416</definedName>
    <definedName name="CYCLE___LVL_1____DOCK">'[6]Summary Sheets'!$L$762:$V$796</definedName>
    <definedName name="CYCLE___LVL_1____NFGP">'[10]ITB COST'!$L$398:$V$438</definedName>
    <definedName name="CYCLE___LVL_1____OFFSITES">'[6]Summary Sheets'!$L$572:$V$606</definedName>
    <definedName name="CYCLE___LVL_1____PIPELINE">'[10]ITB COST'!$L$574:$V$614</definedName>
    <definedName name="CYCLE___LVL_1____TANK">'[10]ITB COST'!$L$706:$V$746</definedName>
    <definedName name="CYCLE___LVL_1_DKADU">'[10]ITB COST'!$L$2:$V$42</definedName>
    <definedName name="CYCLE___LVL_1_ETHYLENE">'[6]Summary Sheets'!$L$2:$V$36</definedName>
    <definedName name="CYCLE___LVL_1_NGL4">'[10]ITB COST'!$L$178:$V$218</definedName>
    <definedName name="CYCLE___LVL_1_POLYETHYLENE">'[6]Summary Sheets'!$L$192:$V$226</definedName>
    <definedName name="CYCLE_LVL_1_PGM">'[10]ITB COST'!$L$881:$V$922</definedName>
    <definedName name="D">#REF!</definedName>
    <definedName name="DATA3월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_xlnm.Database">#REF!</definedName>
    <definedName name="e">#REF!</definedName>
    <definedName name="f">[5]수요예측!$D$44</definedName>
    <definedName name="fds" hidden="1">{#N/A,#N/A,FALSE,"부대2"}</definedName>
    <definedName name="FG" localSheetId="6">BlankMacro1</definedName>
    <definedName name="FG">BlankMacro1</definedName>
    <definedName name="Format_AT_Actual_List">#REF!</definedName>
    <definedName name="H">#REF!</definedName>
    <definedName name="H1_">#REF!</definedName>
    <definedName name="h22.5">#REF!</definedName>
    <definedName name="HE번호">#N/A</definedName>
    <definedName name="HTML_CodePage" hidden="1">949</definedName>
    <definedName name="HTML_Control" hidden="1">{"'Prog-Plot'!$A$1:$P$35"}</definedName>
    <definedName name="HTML_Description" hidden="1">""</definedName>
    <definedName name="HTML_Email" hidden="1">""</definedName>
    <definedName name="HTML_Header" hidden="1">"Prog-Plot"</definedName>
    <definedName name="HTML_LastUpdate" hidden="1">"2002-04-12"</definedName>
    <definedName name="HTML_LineAfter" hidden="1">FALSE</definedName>
    <definedName name="HTML_LineBefore" hidden="1">FALSE</definedName>
    <definedName name="HTML_Name" hidden="1">"daelim"</definedName>
    <definedName name="HTML_OBDlg2" hidden="1">TRUE</definedName>
    <definedName name="HTML_OBDlg4" hidden="1">TRUE</definedName>
    <definedName name="HTML_OS" hidden="1">0</definedName>
    <definedName name="HTML_PathFile" hidden="1">"C:\basf_tdi\environment\MyHTML.htm"</definedName>
    <definedName name="HTML_Title" hidden="1">"Progress calculation"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LAST">#REF!</definedName>
    <definedName name="LEVEL_2_1_HEXENE_PG.1">'[6]Summary Sheets'!$W$382:$AG$416</definedName>
    <definedName name="LEVEL_2_1_HEXENE_PG.2">'[6]Summary Sheets'!$W$420:$AG$454</definedName>
    <definedName name="LEVEL_2_1_HEXENE_PG.3">'[6]Summary Sheets'!$W$458:$AG$492</definedName>
    <definedName name="LEVEL_2_1_HEXENE_PG.4">'[6]Summary Sheets'!$W$496:$AG$530</definedName>
    <definedName name="LEVEL_2_1_HEXENE_PG_5">'[6]Summary Sheets'!$W$534:$AG$568</definedName>
    <definedName name="LEVEL_2_DKADU_PG.1">'[10]ITB COST'!$W$2:$AG$42</definedName>
    <definedName name="LEVEL_2_DKADU_PG.2">'[10]ITB COST'!$W$46:$AG$86</definedName>
    <definedName name="LEVEL_2_DKADU_PG.3">'[10]ITB COST'!$W$90:$AG$130</definedName>
    <definedName name="LEVEL_2_DKADU_PG.4">'[10]ITB COST'!$W$134:$AG$174</definedName>
    <definedName name="LEVEL_2_DOCK_PG.1">'[6]Summary Sheets'!$W$762:$AG$796</definedName>
    <definedName name="LEVEL_2_DOCK_PG.2">'[6]Summary Sheets'!$W$800:$AG$834</definedName>
    <definedName name="LEVEL_2_DOCK_PG.3">'[6]Summary Sheets'!$W$838:$AG$872</definedName>
    <definedName name="LEVEL_2_DOCK_PG.4">'[6]Summary Sheets'!$W$876:$AG$910</definedName>
    <definedName name="LEVEL_2_DOCK_PG_5">'[6]Summary Sheets'!$W$914:$AG$948</definedName>
    <definedName name="LEVEL_2_ETHYLENE_PG.1">'[6]Summary Sheets'!$W$2:$AG$36</definedName>
    <definedName name="LEVEL_2_ETHYLENE_PG.2">'[6]Summary Sheets'!$W$40:$AG$74</definedName>
    <definedName name="LEVEL_2_ETHYLENE_PG.3">'[6]Summary Sheets'!$W$78:$AG$112</definedName>
    <definedName name="LEVEL_2_ETHYLENE_PG.4">'[6]Summary Sheets'!$W$116:$AG$150</definedName>
    <definedName name="LEVEL_2_ETHYLENE_PG_5">'[6]Summary Sheets'!$W$154:$AG$188</definedName>
    <definedName name="LEVEL_2_NFGP_PG.1">'[10]ITB COST'!$W$398:$AG$438</definedName>
    <definedName name="LEVEL_2_NFGP_PG.2">'[10]ITB COST'!$W$442:$AG$482</definedName>
    <definedName name="LEVEL_2_NFGP_PG.3">'[10]ITB COST'!$W$486:$AG$526</definedName>
    <definedName name="LEVEL_2_NFGP_PG.4">'[10]ITB COST'!$W$530:$AG$570</definedName>
    <definedName name="LEVEL_2_NGL4_PG.1">'[10]ITB COST'!$W$178:$AG$218</definedName>
    <definedName name="LEVEL_2_NGL4_PG.2">'[10]ITB COST'!$W$222:$AG$262</definedName>
    <definedName name="LEVEL_2_NGL4_PG.3">'[10]ITB COST'!$W$266:$AG$306</definedName>
    <definedName name="LEVEL_2_NGL4_PG.4">'[10]ITB COST'!$W$310:$AG$350</definedName>
    <definedName name="LEVEL_2_OFFSITES_PG.1">'[6]Summary Sheets'!$W$572:$AG$606</definedName>
    <definedName name="LEVEL_2_OFFSITES_PG.2">'[6]Summary Sheets'!$W$610:$AG$644</definedName>
    <definedName name="LEVEL_2_OFFSITES_PG.3">'[6]Summary Sheets'!$W$648:$AG$682</definedName>
    <definedName name="LEVEL_2_OFFSITES_PG.4">'[6]Summary Sheets'!$W$686:$AG$720</definedName>
    <definedName name="LEVEL_2_OFFSITES_PG_5">'[6]Summary Sheets'!$W$724:$AG$758</definedName>
    <definedName name="LEVEL_2_PGM_PG.1">'[10]ITB COST'!$W$881:$AG$922</definedName>
    <definedName name="LEVEL_2_PGM_PG.2">'[10]ITB COST'!$W$925:$AG$966</definedName>
    <definedName name="LEVEL_2_PIPELINE_PG.1">'[10]ITB COST'!$W$574:$AG$614</definedName>
    <definedName name="LEVEL_2_PIPELINE_PG.2">'[10]ITB COST'!$W$618:$AG$658</definedName>
    <definedName name="LEVEL_2_PIPELINE_PG.3">'[10]ITB COST'!$W$662:$AG$702</definedName>
    <definedName name="LEVEL_2_POLYETHYLENE_PG.1">'[6]Summary Sheets'!$W$192:$AG$226</definedName>
    <definedName name="LEVEL_2_POLYETHYLENE_PG.2">'[6]Summary Sheets'!$W$230:$AG$264</definedName>
    <definedName name="LEVEL_2_POLYETHYLENE_PG.3">'[6]Summary Sheets'!$W$268:$AG$302</definedName>
    <definedName name="LEVEL_2_POLYETHYLENE_PG.4">'[6]Summary Sheets'!$W$306:$AG$340</definedName>
    <definedName name="LEVEL_2_POLYETHYLENE_PG_5">'[6]Summary Sheets'!$W$344:$AG$378</definedName>
    <definedName name="LEVEL_2_TANK_PG.1">'[10]ITB COST'!$W$706:$AG$746</definedName>
    <definedName name="LEVEL_2_TANK_PG.2">'[10]ITB COST'!$W$750:$AG$790</definedName>
    <definedName name="LEVEL_2_TANK_PG.3">'[10]ITB COST'!$W$794:$AG$834</definedName>
    <definedName name="LEVEL_2_TANK_PG.4">'[10]ITB COST'!$W$838:$AG$878</definedName>
    <definedName name="LEVEL_3_1_HEXENE_EQUIP_PG_1">'[6]Summary Sheets'!$AH$382:$AR$416</definedName>
    <definedName name="LEVEL_3_1_HEXENE_EQUIP_PG_2">'[6]Summary Sheets'!$AH$420:$AR$454</definedName>
    <definedName name="LEVEL_3_1_HEXENE_EQUIP_PG_3">'[6]Summary Sheets'!$AH$458:$AR$492</definedName>
    <definedName name="LEVEL_3_DKADU_EQUIP_PG_1">'[10]ITB COST'!$AH$2:$AR$42</definedName>
    <definedName name="LEVEL_3_DKADU_EQUIP_PG_2">'[10]ITB COST'!$AH$46:$AR$86</definedName>
    <definedName name="LEVEL_3_DKADU_EQUIP_PG_3">'[10]ITB COST'!$AH$90:$AR$130</definedName>
    <definedName name="LEVEL_3_DOCK_EQUIP_PG_1">'[6]Summary Sheets'!$AH$762:$AR$796</definedName>
    <definedName name="LEVEL_3_DOCK_EQUIP_PG_2">'[6]Summary Sheets'!$AH$800:$AR$834</definedName>
    <definedName name="LEVEL_3_DOCK_EQUIP_PG_3">'[6]Summary Sheets'!$AH$838:$AR$872</definedName>
    <definedName name="LEVEL_3_ETHYLENE_EQUIP_PG_1">'[6]Summary Sheets'!$AH$2:$AR$36</definedName>
    <definedName name="LEVEL_3_ETHYLENE_EQUIP_PG_2">'[6]Summary Sheets'!$AH$40:$AR$74</definedName>
    <definedName name="LEVEL_3_ETHYLENE_EQUIP_PG_3">'[6]Summary Sheets'!$AH$78:$AR$112</definedName>
    <definedName name="LEVEL_3_NFGP_EQUIP_PG_1">'[10]ITB COST'!$AH$398:$AR$438</definedName>
    <definedName name="LEVEL_3_NFGP_EQUIP_PG_2">'[10]ITB COST'!$AH$442:$AR$482</definedName>
    <definedName name="LEVEL_3_NFGP_EQUIP_PG_3">'[10]ITB COST'!$AH$486:$AR$526</definedName>
    <definedName name="LEVEL_3_NGL4_EQUIP_PG_1">'[10]ITB COST'!$AH$178:$AR$218</definedName>
    <definedName name="LEVEL_3_NGL4_EQUIP_PG_2">'[10]ITB COST'!$AH$222:$AR$262</definedName>
    <definedName name="LEVEL_3_NGL4_EQUIP_PG_3">'[10]ITB COST'!$AH$266:$AR$306</definedName>
    <definedName name="LEVEL_3_NGL4_EQUIP_PG_4">'[10]ITB COST'!$AH$310:$AR$350</definedName>
    <definedName name="LEVEL_3_NGL4_EQUIP_PG_5">'[10]ITB COST'!$AH$354:$AR$394</definedName>
    <definedName name="LEVEL_3_OFFSITES_EQUIP_PG_1">'[6]Summary Sheets'!$AH$572:$AR$606</definedName>
    <definedName name="LEVEL_3_OFFSITES_EQUIP_PG_2">'[6]Summary Sheets'!$AH$610:$AR$644</definedName>
    <definedName name="LEVEL_3_OFFSITES_EQUIP_PG_3">'[6]Summary Sheets'!$AH$648:$AR$682</definedName>
    <definedName name="LEVEL_3_PIPELINE_EQUIP_PG_1">'[10]ITB COST'!$AH$574:$AR$614</definedName>
    <definedName name="LEVEL_3_POLYETHYLENE_EQUIP_PG_1">'[6]Summary Sheets'!$AH$192:$AR$226</definedName>
    <definedName name="LEVEL_3_POLYETHYLENE_EQUIP_PG_2">'[6]Summary Sheets'!$AH$230:$AR$264</definedName>
    <definedName name="LEVEL_3_POLYETHYLENE_EQUIP_PG_3">'[6]Summary Sheets'!$AH$268:$AR$302</definedName>
    <definedName name="LEVEL_3_TANK_EQUIP_PG_1">'[10]ITB COST'!$AH$706:$AR$746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15">#REF!</definedName>
    <definedName name="Macro16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IN">[11]!MAIN</definedName>
    <definedName name="mmmm">#REF!</definedName>
    <definedName name="MODEL명">#N/A</definedName>
    <definedName name="_xlnm.Print_Area">#REF!</definedName>
    <definedName name="PRINT_AREA_MI">#REF!</definedName>
    <definedName name="_xlnm.Print_Titles">#REF!</definedName>
    <definedName name="Project_Start">#REF!</definedName>
    <definedName name="PROJECT_TOTAL">'[6]Summary Sheets'!$A$2:$K$36</definedName>
    <definedName name="_xlnm.Recorder">#REF!</definedName>
    <definedName name="rrrrr">#REF!</definedName>
    <definedName name="SEC" localSheetId="6">BlankMacro1</definedName>
    <definedName name="SEC">BlankMacro1</definedName>
    <definedName name="SMLTOOLS">#REF!</definedName>
    <definedName name="sss">#REF!</definedName>
    <definedName name="t">[12]별제권_정리담보권1!$O$6:$O$213</definedName>
    <definedName name="TIT">#REF!</definedName>
    <definedName name="wrn.97년._.사업계획._.및._.예산지침." hidden="1">{#N/A,#N/A,TRUE,"1";#N/A,#N/A,TRUE,"2";#N/A,#N/A,TRUE,"3";#N/A,#N/A,TRUE,"4";#N/A,#N/A,TRUE,"5";#N/A,#N/A,TRUE,"6";#N/A,#N/A,TRUE,"7"}</definedName>
    <definedName name="wrn.구조2." hidden="1">{#N/A,#N/A,FALSE,"구조2"}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씨엠정1.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산.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이정표." hidden="1">{#N/A,#N/A,FALSE,"이정표"}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현장._.NCR._.분석." hidden="1">{#N/A,#N/A,FALSE,"현장 NCR 분석";#N/A,#N/A,FALSE,"현장품질감사";#N/A,#N/A,FALSE,"현장품질감사"}</definedName>
    <definedName name="WWW" localSheetId="6">[13]!MAIN</definedName>
    <definedName name="WWW">[13]!MAIN</definedName>
    <definedName name="Z">#REF!</definedName>
    <definedName name="가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나">#REF!</definedName>
    <definedName name="가나다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강HOB">[14]열생산!$G$127</definedName>
    <definedName name="강공세">[14]열공급!$E$70</definedName>
    <definedName name="강디비">[14]비용분석!$C$50</definedName>
    <definedName name="강디사">[14]전력용수연료!$D$106</definedName>
    <definedName name="강엘비">[14]비용분석!$C$51</definedName>
    <definedName name="강엘사">[14]전력용수연료!$D$109</definedName>
    <definedName name="강연비">[14]비용분석!$C$49</definedName>
    <definedName name="강연수">[14]열공급!$G$70</definedName>
    <definedName name="강열공">#REF!</definedName>
    <definedName name="강열생">[14]열생산!$J$127</definedName>
    <definedName name="강열손">[14]열공급!$J$34</definedName>
    <definedName name="강외온">[14]열공급!$D$70</definedName>
    <definedName name="강용비">[14]비용분석!$C$53</definedName>
    <definedName name="강용사">[14]전력용수연료!$D$35</definedName>
    <definedName name="강자공">#REF!</definedName>
    <definedName name="강재비">[14]비용분석!$C$54</definedName>
    <definedName name="강전비">[14]비용분석!$C$52</definedName>
    <definedName name="강전사">[14]전력용수연료!$D$20</definedName>
    <definedName name="결_재">#REF!</definedName>
    <definedName name="결손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등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계" hidden="1">{#N/A,#N/A,FALSE,"부대2"}</definedName>
    <definedName name="고CHP">[14]열생산!$F$145</definedName>
    <definedName name="고HOB">[14]열생산!$G$145</definedName>
    <definedName name="고공세">[14]열공급!$E$85</definedName>
    <definedName name="고디비">[14]비용분석!$F$50</definedName>
    <definedName name="고디사">[14]전력용수연료!$G$106</definedName>
    <definedName name="고보">[14]열생산!$E$145</definedName>
    <definedName name="고수비">[14]비용분석!$F$44</definedName>
    <definedName name="고엘비">[14]비용분석!$F$51</definedName>
    <definedName name="고엘사">[14]전력용수연료!$G$109</definedName>
    <definedName name="고엠1">[14]열생산!$C$145</definedName>
    <definedName name="고엠4">[14]열생산!$D$145</definedName>
    <definedName name="고연비">[14]비용분석!$F$49</definedName>
    <definedName name="고열공">#REF!</definedName>
    <definedName name="고열생">[14]열생산!$J$145</definedName>
    <definedName name="고열손">[14]열공급!$J$37</definedName>
    <definedName name="고외온">[14]열공급!$D$85</definedName>
    <definedName name="고용비">[14]비용분석!$F$53</definedName>
    <definedName name="고용사">[14]전력용수연료!$D$38</definedName>
    <definedName name="고자공">#REF!</definedName>
    <definedName name="고재비">[14]비용분석!$F$54</definedName>
    <definedName name="고전비">[14]비용분석!$F$52</definedName>
    <definedName name="고전사">[14]전력용수연료!$D$23</definedName>
    <definedName name="공사명">#REF!</definedName>
    <definedName name="공일">#REF!</definedName>
    <definedName name="공정" localSheetId="6">BlankMacro1</definedName>
    <definedName name="공정">BlankMacro1</definedName>
    <definedName name="과__장">#REF!</definedName>
    <definedName name="구분">#N/A</definedName>
    <definedName name="구조" hidden="1">{#N/A,#N/A,FALSE,"구조2"}</definedName>
    <definedName name="급탕매수">#N/A</definedName>
    <definedName name="급탕용량">#N/A</definedName>
    <definedName name="기계내역서">#REF!</definedName>
    <definedName name="기계실번호">#N/A</definedName>
    <definedName name="기설">#REF!</definedName>
    <definedName name="ㄴㄴㄴ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">#REF!</definedName>
    <definedName name="나나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난방매수">#N/A</definedName>
    <definedName name="난방용량">#N/A</definedName>
    <definedName name="내선전공">#REF!</definedName>
    <definedName name="내용연수">#REF!</definedName>
    <definedName name="내용연수2">#REF!</definedName>
    <definedName name="노ㅗ" localSheetId="6">BlankMacro1</definedName>
    <definedName name="노ㅗ">BlankMacro1</definedName>
    <definedName name="ㄷㄱㄷ" hidden="1">{#N/A,#N/A,TRUE,"1";#N/A,#N/A,TRUE,"2";#N/A,#N/A,TRUE,"3";#N/A,#N/A,TRUE,"4";#N/A,#N/A,TRUE,"5";#N/A,#N/A,TRUE,"6";#N/A,#N/A,TRUE,"7"}</definedName>
    <definedName name="닥트">#REF!</definedName>
    <definedName name="단가">#N/A</definedName>
    <definedName name="담__당">#REF!</definedName>
    <definedName name="담보">[3]별제권_정리담보권!$F$5:$V$214</definedName>
    <definedName name="대디비">#REF!</definedName>
    <definedName name="대디사">[15]중앙!$I$102</definedName>
    <definedName name="대상" hidden="1">{#N/A,#N/A,FALSE,"구조2"}</definedName>
    <definedName name="대용비">#REF!</definedName>
    <definedName name="대용사">[15]중앙!$D$39</definedName>
    <definedName name="대자공">#REF!</definedName>
    <definedName name="대전비">#REF!</definedName>
    <definedName name="대전사">[15]중앙!$D$26</definedName>
    <definedName name="도급1" hidden="1">{#N/A,#N/A,TRUE,"1";#N/A,#N/A,TRUE,"2";#N/A,#N/A,TRUE,"3";#N/A,#N/A,TRUE,"4";#N/A,#N/A,TRUE,"5";#N/A,#N/A,TRUE,"6";#N/A,#N/A,TRUE,"7"}</definedName>
    <definedName name="도급갑지" hidden="1">{#N/A,#N/A,FALSE,"부대1"}</definedName>
    <definedName name="도로" hidden="1">{#N/A,#N/A,FALSE,"현장 NCR 분석";#N/A,#N/A,FALSE,"현장품질감사";#N/A,#N/A,FALSE,"현장품질감사"}</definedName>
    <definedName name="도장">#REF!</definedName>
    <definedName name="동서별2">[12]별제권_정리담보권1!$T$6:$T$213</definedName>
    <definedName name="ㄹㄹㄹ">#REF!</definedName>
    <definedName name="ㄹㄹㅇㅇㄴㄹ" hidden="1">{#N/A,#N/A,FALSE,"부대2"}</definedName>
    <definedName name="ㅀㅎ" hidden="1">{#N/A,#N/A,FALSE,"표지"}</definedName>
    <definedName name="ㅁ100">#REF!</definedName>
    <definedName name="ㅁ1353">#REF!</definedName>
    <definedName name="ㅁ1362">[16]건축기성!#REF!</definedName>
    <definedName name="ㅁ190">#REF!</definedName>
    <definedName name="ㅁ191">#REF!</definedName>
    <definedName name="ㅁ2705">'[17]외 주 비'!#REF!</definedName>
    <definedName name="ㅁ3110">[16]건축기성!#REF!</definedName>
    <definedName name="ㅁ734">#REF!</definedName>
    <definedName name="ㅁㅁ">#REF!</definedName>
    <definedName name="ㅁㅁㅁㅁㅁ">#REF!</definedName>
    <definedName name="ㅁㅁㅁㅁㅁㅁ">#REF!</definedName>
    <definedName name="만기보장수익율">#REF!</definedName>
    <definedName name="모1">#REF!</definedName>
    <definedName name="목공">#REF!</definedName>
    <definedName name="목차">#N/A</definedName>
    <definedName name="ㅂㅂㅂㅂㅂㅂㅂㅂㅂㅂㅂㅂ">#REF!</definedName>
    <definedName name="방" hidden="1">{#N/A,#N/A,TRUE,"1";#N/A,#N/A,TRUE,"2";#N/A,#N/A,TRUE,"3";#N/A,#N/A,TRUE,"4";#N/A,#N/A,TRUE,"5";#N/A,#N/A,TRUE,"6";#N/A,#N/A,TRUE,"7"}</definedName>
    <definedName name="방발리" hidden="1">{#N/A,#N/A,TRUE,"1";#N/A,#N/A,TRUE,"2";#N/A,#N/A,TRUE,"3";#N/A,#N/A,TRUE,"4";#N/A,#N/A,TRUE,"5";#N/A,#N/A,TRUE,"6";#N/A,#N/A,TRUE,"7"}</definedName>
    <definedName name="배관">#REF!</definedName>
    <definedName name="배관1" hidden="1">{#N/A,#N/A,TRUE,"1";#N/A,#N/A,TRUE,"2";#N/A,#N/A,TRUE,"3";#N/A,#N/A,TRUE,"4";#N/A,#N/A,TRUE,"5";#N/A,#N/A,TRUE,"6";#N/A,#N/A,TRUE,"7"}</definedName>
    <definedName name="배수1" hidden="1">{#N/A,#N/A,FALSE,"배수2"}</definedName>
    <definedName name="배수2" hidden="1">{#N/A,#N/A,FALSE,"배수1"}</definedName>
    <definedName name="범위">#REF!</definedName>
    <definedName name="범위1">#REF!</definedName>
    <definedName name="법인세율">#REF!</definedName>
    <definedName name="보고_BS">#REF!</definedName>
    <definedName name="보고_EVA1">#REF!</definedName>
    <definedName name="보고_EVA2">#REF!</definedName>
    <definedName name="보고_PL">#REF!</definedName>
    <definedName name="보온">#REF!</definedName>
    <definedName name="보인">#REF!</definedName>
    <definedName name="보일">#REF!</definedName>
    <definedName name="보증기관">#REF!</definedName>
    <definedName name="복사" hidden="1">{#N/A,#N/A,TRUE,"1";#N/A,#N/A,TRUE,"2";#N/A,#N/A,TRUE,"3";#N/A,#N/A,TRUE,"4";#N/A,#N/A,TRUE,"5";#N/A,#N/A,TRUE,"6";#N/A,#N/A,TRUE,"7"}</definedName>
    <definedName name="부CHP">[14]열생산!$F$151</definedName>
    <definedName name="부HOB">[14]열생산!$G$151</definedName>
    <definedName name="부공세">[14]열공급!$E$90</definedName>
    <definedName name="부대2" hidden="1">{#N/A,#N/A,FALSE,"부대1"}</definedName>
    <definedName name="부대공" hidden="1">{#N/A,#N/A,FALSE,"부대1"}</definedName>
    <definedName name="부디비">[14]비용분석!$G$50</definedName>
    <definedName name="부디사">[14]전력용수연료!$H$106</definedName>
    <definedName name="부보">[14]열생산!$E$151</definedName>
    <definedName name="부손익" hidden="1">{#N/A,#N/A,FALSE,"현장 NCR 분석";#N/A,#N/A,FALSE,"현장품질감사";#N/A,#N/A,FALSE,"현장품질감사"}</definedName>
    <definedName name="부수비">[14]비용분석!$G$44</definedName>
    <definedName name="부엘비">[14]비용분석!$G$51</definedName>
    <definedName name="부엘사">[14]전력용수연료!$H$109</definedName>
    <definedName name="부엠1">[14]열생산!$C$151</definedName>
    <definedName name="부엠4">[14]열생산!$D$151</definedName>
    <definedName name="부연비">[14]비용분석!$G$49</definedName>
    <definedName name="부열공">#REF!</definedName>
    <definedName name="부열생">[14]열생산!$J$151</definedName>
    <definedName name="부열손">[14]열공급!$J$38</definedName>
    <definedName name="부외온">[14]열공급!$D$90</definedName>
    <definedName name="부용비">[14]비용분석!$G$53</definedName>
    <definedName name="부용사">[14]전력용수연료!$D$39</definedName>
    <definedName name="부자공">#REF!</definedName>
    <definedName name="부재비">[14]비용분석!$G$54</definedName>
    <definedName name="부전비">[14]비용분석!$G$52</definedName>
    <definedName name="부전사">[14]전력용수연료!$D$24</definedName>
    <definedName name="분CHP">[14]열생산!$F$133</definedName>
    <definedName name="분HOB">[14]열생산!$G$133</definedName>
    <definedName name="분공세">[14]열공급!$E$75</definedName>
    <definedName name="분디비">[14]비용분석!$D$50</definedName>
    <definedName name="분디사">[14]전력용수연료!$E$106</definedName>
    <definedName name="분류">#N/A</definedName>
    <definedName name="분보">[14]열생산!$E$133</definedName>
    <definedName name="분수비">[14]비용분석!$D$44</definedName>
    <definedName name="분엘비">[14]비용분석!$D$51</definedName>
    <definedName name="분엘사">[14]전력용수연료!$E$109</definedName>
    <definedName name="분엠1">[14]열생산!$C$133</definedName>
    <definedName name="분엠4">[14]열생산!$D$133</definedName>
    <definedName name="분연공">[14]열공급!$G$75</definedName>
    <definedName name="분연비">[14]비용분석!$D$49</definedName>
    <definedName name="분열공">#REF!</definedName>
    <definedName name="분열생">[14]열생산!$J$133</definedName>
    <definedName name="분열손">[14]열공급!$J$35</definedName>
    <definedName name="분외온">[14]열공급!$D$75</definedName>
    <definedName name="분용비">[14]비용분석!$D$53</definedName>
    <definedName name="분용사">[14]전력용수연료!$D$36</definedName>
    <definedName name="분자공">#REF!</definedName>
    <definedName name="분재비">[14]비용분석!$D$54</definedName>
    <definedName name="분전비">[14]비용분석!$D$52</definedName>
    <definedName name="분전사">[14]전력용수연료!$D$21</definedName>
    <definedName name="비계">#REF!</definedName>
    <definedName name="비고">#N/A</definedName>
    <definedName name="비목1">#REF!</definedName>
    <definedName name="비목2">#REF!</definedName>
    <definedName name="비목3">#REF!</definedName>
    <definedName name="비목4">#REF!</definedName>
    <definedName name="ㅅㅅ" hidden="1">{#N/A,#N/A,FALSE,"배수1"}</definedName>
    <definedName name="ㅅㅅㅅㅅ">#REF!</definedName>
    <definedName name="소방" localSheetId="6">BlankMacro1</definedName>
    <definedName name="소방">BlankMacro1</definedName>
    <definedName name="속도" hidden="1">{#N/A,#N/A,FALSE,"속도"}</definedName>
    <definedName name="속도2" hidden="1">{#N/A,#N/A,FALSE,"속도"}</definedName>
    <definedName name="속도23" hidden="1">{#N/A,#N/A,FALSE,"속도"}</definedName>
    <definedName name="속도감" hidden="1">{#N/A,#N/A,FALSE,"속도"}</definedName>
    <definedName name="수용가명">#N/A</definedName>
    <definedName name="스크롤증가값">#REF!</definedName>
    <definedName name="시공">#N/A</definedName>
    <definedName name="실공정" localSheetId="6">BlankMacro1</definedName>
    <definedName name="실공정">BlankMacro1</definedName>
    <definedName name="실내엔탈피">#REF!</definedName>
    <definedName name="실내온도">#REF!</definedName>
    <definedName name="실행내역" localSheetId="6">BlankMacro1</definedName>
    <definedName name="실행내역">BlankMacro1</definedName>
    <definedName name="씨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ㅇ">#REF!</definedName>
    <definedName name="ㅇㅇㄴ" hidden="1">{#N/A,#N/A,FALSE,"구조2"}</definedName>
    <definedName name="ㅇㅇㅇ">#REF!</definedName>
    <definedName name="ㅇㅇㅇㅇㅇㅇ" hidden="1">{#N/A,#N/A,FALSE,"이정표"}</definedName>
    <definedName name="안CHP">[14]열생산!$F$139</definedName>
    <definedName name="안HOB">[14]열생산!$G$139</definedName>
    <definedName name="안공세">[14]열공급!$E$80</definedName>
    <definedName name="안디사">[14]전력용수연료!$F$106</definedName>
    <definedName name="안보">[14]열생산!$E$139</definedName>
    <definedName name="안소">[14]열생산!$H$139</definedName>
    <definedName name="안수비">[14]비용분석!$E$44</definedName>
    <definedName name="안엘사">[14]전력용수연료!$F$109</definedName>
    <definedName name="안엠1">[14]열생산!$C$139</definedName>
    <definedName name="안엠4">[14]열생산!$D$139</definedName>
    <definedName name="안연비">[14]비용분석!$E$49</definedName>
    <definedName name="안열공">#REF!</definedName>
    <definedName name="안열생">[14]열생산!$J$139</definedName>
    <definedName name="안열손">[14]열공급!$J$36</definedName>
    <definedName name="안외온">[14]열공급!$D$80</definedName>
    <definedName name="안용비">[14]비용분석!$E$53</definedName>
    <definedName name="안용사">[14]전력용수연료!$D$37</definedName>
    <definedName name="안자공">#REF!</definedName>
    <definedName name="안재비">[14]비용분석!$E$54</definedName>
    <definedName name="안전비">[14]비용분석!$E$52</definedName>
    <definedName name="안전사">[14]전력용수연료!$D$22</definedName>
    <definedName name="열전달율">#REF!</definedName>
    <definedName name="영업외비용">#REF!</definedName>
    <definedName name="영업외수익">#REF!</definedName>
    <definedName name="외기중량">#REF!</definedName>
    <definedName name="외피면적">#REF!</definedName>
    <definedName name="용접">#REF!</definedName>
    <definedName name="원_가_계_산_서">#REF!</definedName>
    <definedName name="위생">#REF!</definedName>
    <definedName name="이정표" hidden="1">{#N/A,#N/A,FALSE,"이정표"}</definedName>
    <definedName name="입출고">#N/A</definedName>
    <definedName name="장부가액">#REF!</definedName>
    <definedName name="장부가액합계">#REF!</definedName>
    <definedName name="재료표">#REF!</definedName>
    <definedName name="전CHP">[14]열생산!$F$157</definedName>
    <definedName name="전공세">[14]열공급!$E$95</definedName>
    <definedName name="전열공">#REF!</definedName>
    <definedName name="전열생">[14]열생산!$J$157</definedName>
    <definedName name="전외온">[14]열공급!$D$95</definedName>
    <definedName name="전용비">#REF!</definedName>
    <definedName name="전용사">[15]중앙!$D$40</definedName>
    <definedName name="전자공">#REF!</definedName>
    <definedName name="전재비">[14]비용분석!$H$54</definedName>
    <definedName name="전전비">#REF!</definedName>
    <definedName name="전전사">[15]중앙!$D$27</definedName>
    <definedName name="전최부">#REF!</definedName>
    <definedName name="정산" hidden="1">{#N/A,#N/A,FALSE,"표지"}</definedName>
    <definedName name="제작사">#N/A</definedName>
    <definedName name="종류">#N/A</definedName>
    <definedName name="주부신수익권증서_400">#REF!</definedName>
    <definedName name="주주" hidden="1">{#N/A,#N/A,FALSE,"배수1"}</definedName>
    <definedName name="주ㅜ" hidden="1">{#N/A,#N/A,FALSE,"배수2"}</definedName>
    <definedName name="중CHP">[14]열생산!$F$121</definedName>
    <definedName name="중경">#REF!</definedName>
    <definedName name="중공세">[14]열공급!$E$65</definedName>
    <definedName name="중기">#REF!</definedName>
    <definedName name="중보">[14]열생산!$E$121</definedName>
    <definedName name="중수비">[14]비용분석!$B$44</definedName>
    <definedName name="중엠1">[14]열생산!$C$121</definedName>
    <definedName name="중엠4">[14]열생산!$D$121</definedName>
    <definedName name="중연공">[14]열공급!$G$65</definedName>
    <definedName name="중열공">#REF!</definedName>
    <definedName name="중열생">[14]열생산!$J$121</definedName>
    <definedName name="중열손">[14]열공급!$J$33</definedName>
    <definedName name="중외온">[14]열공급!$D$65</definedName>
    <definedName name="중용비">[14]비용분석!$B$53</definedName>
    <definedName name="중용사">[14]전력용수연료!$D$34</definedName>
    <definedName name="중자공">#REF!</definedName>
    <definedName name="중재">#REF!</definedName>
    <definedName name="중재비">[14]비용분석!$B$54</definedName>
    <definedName name="중전비">[14]비용분석!$B$52</definedName>
    <definedName name="중전사">[14]전력용수연료!$D$19</definedName>
    <definedName name="지역">#N/A</definedName>
    <definedName name="집계표">#REF!</definedName>
    <definedName name="ㅊㅊㅊㅊ" hidden="1">{#N/A,#N/A,FALSE,"속도"}</definedName>
    <definedName name="철공">#REF!</definedName>
    <definedName name="총" hidden="1">{#N/A,#N/A,FALSE,"표지"}</definedName>
    <definedName name="총괄1" hidden="1">{#N/A,#N/A,TRUE,"1";#N/A,#N/A,TRUE,"2";#N/A,#N/A,TRUE,"3";#N/A,#N/A,TRUE,"4";#N/A,#N/A,TRUE,"5";#N/A,#N/A,TRUE,"6";#N/A,#N/A,TRUE,"7"}</definedName>
    <definedName name="총괄표" hidden="1">#REF!</definedName>
    <definedName name="테스트">#REF!</definedName>
    <definedName name="테스트1">#REF!</definedName>
    <definedName name="템플리트모듈1" localSheetId="6">BlankMacro1</definedName>
    <definedName name="템플리트모듈1">BlankMacro1</definedName>
    <definedName name="템플리트모듈2" localSheetId="6">BlankMacro1</definedName>
    <definedName name="템플리트모듈2">BlankMacro1</definedName>
    <definedName name="템플리트모듈3" localSheetId="6">BlankMacro1</definedName>
    <definedName name="템플리트모듈3">BlankMacro1</definedName>
    <definedName name="템플리트모듈4" localSheetId="6">BlankMacro1</definedName>
    <definedName name="템플리트모듈4">BlankMacro1</definedName>
    <definedName name="템플리트모듈5" localSheetId="6">BlankMacro1</definedName>
    <definedName name="템플리트모듈5">BlankMacro1</definedName>
    <definedName name="템플리트모듈6" localSheetId="6">BlankMacro1</definedName>
    <definedName name="템플리트모듈6">BlankMacro1</definedName>
    <definedName name="토공" hidden="1">{#N/A,#N/A,FALSE,"토공2"}</definedName>
    <definedName name="특인">#REF!</definedName>
    <definedName name="팀__장">#REF!</definedName>
    <definedName name="ㅍㅍㅍ" hidden="1">{#N/A,#N/A,FALSE,"배수1"}</definedName>
    <definedName name="판관비">#REF!</definedName>
    <definedName name="포장공" hidden="1">{#N/A,#N/A,FALSE,"포장1";#N/A,#N/A,FALSE,"포장1"}</definedName>
    <definedName name="포장포장" hidden="1">{#N/A,#N/A,FALSE,"포장1";#N/A,#N/A,FALSE,"포장1"}</definedName>
    <definedName name="표지" localSheetId="6">BlankMacro1</definedName>
    <definedName name="표지">BlankMacro1</definedName>
    <definedName name="표지2" localSheetId="6">BlankMacro1</definedName>
    <definedName name="표지2">BlankMacro1</definedName>
    <definedName name="표지지" hidden="1">{#N/A,#N/A,FALSE,"표지"}</definedName>
    <definedName name="플기">#REF!</definedName>
    <definedName name="플배">#REF!</definedName>
    <definedName name="플용">#REF!</definedName>
    <definedName name="ㅎㅎ" hidden="1">{#N/A,#N/A,TRUE,"1";#N/A,#N/A,TRUE,"2";#N/A,#N/A,TRUE,"3";#N/A,#N/A,TRUE,"4";#N/A,#N/A,TRUE,"5";#N/A,#N/A,TRUE,"6";#N/A,#N/A,TRUE,"7"}</definedName>
    <definedName name="ㅎㅎㅎㅎㅎ" hidden="1">{#N/A,#N/A,FALSE,"표지"}</definedName>
    <definedName name="함석">#REF!</definedName>
    <definedName name="현금정산료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환경관리비" hidden="1">{#N/A,#N/A,FALSE,"현장 NCR 분석";#N/A,#N/A,FALSE,"현장품질감사";#N/A,#N/A,FALSE,"현장품질감사"}</definedName>
    <definedName name="ㅏ파호하ㅗ하">#REF!</definedName>
    <definedName name="ㅐㅗㅅ">#REF!</definedName>
    <definedName name="ㅓㅓㅓ">#REF!</definedName>
    <definedName name="ㅔ6">#REF!</definedName>
    <definedName name="ㅗㅗㅗ" hidden="1">{#N/A,#N/A,FALSE,"부대1"}</definedName>
    <definedName name="ㅣ34">#REF!</definedName>
    <definedName name="ㅣㅣㅣ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7" i="1" l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6" i="1"/>
  <c r="AM134" i="2" l="1"/>
  <c r="AM93" i="2"/>
  <c r="AO73" i="2"/>
  <c r="AO72" i="2"/>
  <c r="AM71" i="2"/>
  <c r="AO59" i="2"/>
  <c r="AM58" i="2"/>
  <c r="AM53" i="2"/>
  <c r="AM48" i="2"/>
  <c r="AM46" i="2"/>
  <c r="AM45" i="2"/>
  <c r="AM44" i="2"/>
  <c r="AM43" i="2"/>
  <c r="AM42" i="2"/>
  <c r="AM41" i="2"/>
  <c r="AM40" i="2"/>
  <c r="AM39" i="2"/>
  <c r="AM38" i="2"/>
  <c r="AO37" i="2"/>
  <c r="AM36" i="2"/>
  <c r="AO34" i="2"/>
  <c r="AM32" i="2"/>
  <c r="AM21" i="2"/>
  <c r="AM15" i="2"/>
  <c r="AM14" i="2"/>
  <c r="AO13" i="2"/>
  <c r="AH8" i="2"/>
  <c r="AH9" i="2"/>
  <c r="AH7" i="2"/>
  <c r="AO6" i="2"/>
  <c r="AJ7" i="2"/>
  <c r="AK7" i="2"/>
  <c r="AJ8" i="2"/>
  <c r="AK8" i="2"/>
  <c r="AJ9" i="2"/>
  <c r="AK9" i="2"/>
  <c r="AJ10" i="2"/>
  <c r="AK10" i="2"/>
  <c r="AJ11" i="2"/>
  <c r="AK11" i="2"/>
  <c r="AJ12" i="2"/>
  <c r="AK12" i="2"/>
  <c r="AJ13" i="2"/>
  <c r="AK13" i="2"/>
  <c r="AJ14" i="2"/>
  <c r="AK14" i="2"/>
  <c r="AJ15" i="2"/>
  <c r="AK15" i="2"/>
  <c r="AJ16" i="2"/>
  <c r="AK16" i="2"/>
  <c r="AJ17" i="2"/>
  <c r="AK17" i="2"/>
  <c r="AJ18" i="2"/>
  <c r="AK18" i="2"/>
  <c r="AJ19" i="2"/>
  <c r="AK19" i="2"/>
  <c r="AJ20" i="2"/>
  <c r="AK20" i="2"/>
  <c r="AJ21" i="2"/>
  <c r="AK21" i="2"/>
  <c r="AJ22" i="2"/>
  <c r="AK22" i="2"/>
  <c r="AJ23" i="2"/>
  <c r="AK23" i="2"/>
  <c r="AJ24" i="2"/>
  <c r="AK24" i="2"/>
  <c r="AJ25" i="2"/>
  <c r="AK25" i="2"/>
  <c r="AJ26" i="2"/>
  <c r="AK26" i="2"/>
  <c r="AJ27" i="2"/>
  <c r="AK27" i="2"/>
  <c r="AJ28" i="2"/>
  <c r="AK28" i="2"/>
  <c r="AJ29" i="2"/>
  <c r="AK29" i="2"/>
  <c r="AJ30" i="2"/>
  <c r="AK30" i="2"/>
  <c r="AJ31" i="2"/>
  <c r="AK31" i="2"/>
  <c r="AJ32" i="2"/>
  <c r="AK32" i="2"/>
  <c r="AJ33" i="2"/>
  <c r="AK33" i="2"/>
  <c r="AJ34" i="2"/>
  <c r="AK34" i="2"/>
  <c r="AJ35" i="2"/>
  <c r="AK35" i="2"/>
  <c r="AJ36" i="2"/>
  <c r="AK36" i="2"/>
  <c r="AJ37" i="2"/>
  <c r="AK37" i="2"/>
  <c r="AJ38" i="2"/>
  <c r="AK38" i="2"/>
  <c r="AJ39" i="2"/>
  <c r="AK39" i="2"/>
  <c r="AJ40" i="2"/>
  <c r="AK40" i="2"/>
  <c r="AJ41" i="2"/>
  <c r="AK41" i="2"/>
  <c r="AJ42" i="2"/>
  <c r="AK42" i="2"/>
  <c r="AJ43" i="2"/>
  <c r="AK43" i="2"/>
  <c r="AJ44" i="2"/>
  <c r="AK44" i="2"/>
  <c r="AJ45" i="2"/>
  <c r="AK45" i="2"/>
  <c r="AJ46" i="2"/>
  <c r="AK46" i="2"/>
  <c r="AJ47" i="2"/>
  <c r="AK47" i="2"/>
  <c r="AJ48" i="2"/>
  <c r="AK48" i="2"/>
  <c r="AJ49" i="2"/>
  <c r="AK49" i="2"/>
  <c r="AJ50" i="2"/>
  <c r="AK50" i="2"/>
  <c r="AJ51" i="2"/>
  <c r="AK51" i="2"/>
  <c r="AJ52" i="2"/>
  <c r="AK52" i="2"/>
  <c r="AJ53" i="2"/>
  <c r="AK53" i="2"/>
  <c r="AJ54" i="2"/>
  <c r="AK54" i="2"/>
  <c r="AJ55" i="2"/>
  <c r="AK55" i="2"/>
  <c r="AJ56" i="2"/>
  <c r="AK56" i="2"/>
  <c r="AJ57" i="2"/>
  <c r="AK57" i="2"/>
  <c r="AJ58" i="2"/>
  <c r="AK58" i="2"/>
  <c r="AJ59" i="2"/>
  <c r="AK59" i="2"/>
  <c r="AJ60" i="2"/>
  <c r="AK60" i="2"/>
  <c r="AJ61" i="2"/>
  <c r="AK61" i="2"/>
  <c r="AJ62" i="2"/>
  <c r="AK62" i="2"/>
  <c r="AJ63" i="2"/>
  <c r="AK63" i="2"/>
  <c r="AJ64" i="2"/>
  <c r="AK64" i="2"/>
  <c r="AJ65" i="2"/>
  <c r="AK65" i="2"/>
  <c r="AJ66" i="2"/>
  <c r="AK66" i="2"/>
  <c r="AJ67" i="2"/>
  <c r="AK67" i="2"/>
  <c r="AJ68" i="2"/>
  <c r="AK68" i="2"/>
  <c r="AJ69" i="2"/>
  <c r="AK69" i="2"/>
  <c r="AJ70" i="2"/>
  <c r="AK70" i="2"/>
  <c r="AJ71" i="2"/>
  <c r="AK71" i="2"/>
  <c r="AJ72" i="2"/>
  <c r="AK72" i="2"/>
  <c r="AJ73" i="2"/>
  <c r="AK73" i="2"/>
  <c r="AJ74" i="2"/>
  <c r="AK74" i="2"/>
  <c r="AJ75" i="2"/>
  <c r="AK75" i="2"/>
  <c r="AJ76" i="2"/>
  <c r="AK76" i="2"/>
  <c r="AJ77" i="2"/>
  <c r="AK77" i="2"/>
  <c r="AJ78" i="2"/>
  <c r="AK78" i="2"/>
  <c r="AJ79" i="2"/>
  <c r="AK79" i="2"/>
  <c r="AJ80" i="2"/>
  <c r="AK80" i="2"/>
  <c r="AJ81" i="2"/>
  <c r="AK81" i="2"/>
  <c r="AJ82" i="2"/>
  <c r="AK82" i="2"/>
  <c r="AJ83" i="2"/>
  <c r="AK83" i="2"/>
  <c r="AJ84" i="2"/>
  <c r="AK84" i="2"/>
  <c r="AJ85" i="2"/>
  <c r="AK85" i="2"/>
  <c r="AJ86" i="2"/>
  <c r="AK86" i="2"/>
  <c r="AJ87" i="2"/>
  <c r="AK87" i="2"/>
  <c r="AJ88" i="2"/>
  <c r="AK88" i="2"/>
  <c r="AJ89" i="2"/>
  <c r="AK89" i="2"/>
  <c r="AJ90" i="2"/>
  <c r="AK90" i="2"/>
  <c r="AJ91" i="2"/>
  <c r="AK91" i="2"/>
  <c r="AJ92" i="2"/>
  <c r="AK92" i="2"/>
  <c r="AJ93" i="2"/>
  <c r="AK93" i="2"/>
  <c r="AJ94" i="2"/>
  <c r="AK94" i="2"/>
  <c r="AJ95" i="2"/>
  <c r="AK95" i="2"/>
  <c r="AJ96" i="2"/>
  <c r="AK96" i="2"/>
  <c r="AJ97" i="2"/>
  <c r="AK97" i="2"/>
  <c r="AJ98" i="2"/>
  <c r="AK98" i="2"/>
  <c r="AJ99" i="2"/>
  <c r="AK99" i="2"/>
  <c r="AJ100" i="2"/>
  <c r="AK100" i="2"/>
  <c r="AJ101" i="2"/>
  <c r="AK101" i="2"/>
  <c r="AJ102" i="2"/>
  <c r="AK102" i="2"/>
  <c r="AJ103" i="2"/>
  <c r="AK103" i="2"/>
  <c r="AJ104" i="2"/>
  <c r="AK104" i="2"/>
  <c r="AJ105" i="2"/>
  <c r="AK105" i="2"/>
  <c r="AJ106" i="2"/>
  <c r="AK106" i="2"/>
  <c r="AJ107" i="2"/>
  <c r="AK107" i="2"/>
  <c r="AJ108" i="2"/>
  <c r="AK108" i="2"/>
  <c r="AJ109" i="2"/>
  <c r="AK109" i="2"/>
  <c r="AJ110" i="2"/>
  <c r="AK110" i="2"/>
  <c r="AJ111" i="2"/>
  <c r="AK111" i="2"/>
  <c r="AJ112" i="2"/>
  <c r="AK112" i="2"/>
  <c r="AJ113" i="2"/>
  <c r="AK113" i="2"/>
  <c r="AJ114" i="2"/>
  <c r="AK114" i="2"/>
  <c r="AJ115" i="2"/>
  <c r="AK115" i="2"/>
  <c r="AJ116" i="2"/>
  <c r="AK116" i="2"/>
  <c r="AJ117" i="2"/>
  <c r="AK117" i="2"/>
  <c r="AJ118" i="2"/>
  <c r="AK118" i="2"/>
  <c r="AJ119" i="2"/>
  <c r="AK119" i="2"/>
  <c r="AJ120" i="2"/>
  <c r="AK120" i="2"/>
  <c r="AJ121" i="2"/>
  <c r="AK121" i="2"/>
  <c r="AJ122" i="2"/>
  <c r="AK122" i="2"/>
  <c r="AJ123" i="2"/>
  <c r="AK123" i="2"/>
  <c r="AJ124" i="2"/>
  <c r="AK124" i="2"/>
  <c r="AJ125" i="2"/>
  <c r="AK125" i="2"/>
  <c r="AJ126" i="2"/>
  <c r="AK126" i="2"/>
  <c r="AJ127" i="2"/>
  <c r="AK127" i="2"/>
  <c r="AJ128" i="2"/>
  <c r="AK128" i="2"/>
  <c r="AJ129" i="2"/>
  <c r="AK129" i="2"/>
  <c r="AJ130" i="2"/>
  <c r="AK130" i="2"/>
  <c r="AJ131" i="2"/>
  <c r="AK131" i="2"/>
  <c r="AJ132" i="2"/>
  <c r="AK132" i="2"/>
  <c r="AJ133" i="2"/>
  <c r="AK133" i="2"/>
  <c r="AJ134" i="2"/>
  <c r="AK134" i="2"/>
  <c r="AJ135" i="2"/>
  <c r="AK135" i="2"/>
  <c r="AJ136" i="2"/>
  <c r="AK136" i="2"/>
  <c r="AJ137" i="2"/>
  <c r="AK137" i="2"/>
  <c r="AJ138" i="2"/>
  <c r="AK138" i="2"/>
  <c r="AJ139" i="2"/>
  <c r="AK139" i="2"/>
  <c r="AJ140" i="2"/>
  <c r="AK140" i="2"/>
  <c r="AJ141" i="2"/>
  <c r="AK141" i="2"/>
  <c r="AJ142" i="2"/>
  <c r="AK142" i="2"/>
  <c r="AJ143" i="2"/>
  <c r="AK143" i="2"/>
  <c r="AJ144" i="2"/>
  <c r="AK144" i="2"/>
  <c r="AJ145" i="2"/>
  <c r="AK145" i="2"/>
  <c r="AJ146" i="2"/>
  <c r="AK146" i="2"/>
  <c r="AJ147" i="2"/>
  <c r="AK147" i="2"/>
  <c r="AJ148" i="2"/>
  <c r="AK148" i="2"/>
  <c r="AJ149" i="2"/>
  <c r="AK149" i="2"/>
  <c r="AJ150" i="2"/>
  <c r="AK150" i="2"/>
  <c r="AJ151" i="2"/>
  <c r="AK151" i="2"/>
  <c r="AJ152" i="2"/>
  <c r="AK152" i="2"/>
  <c r="AJ153" i="2"/>
  <c r="AK153" i="2"/>
  <c r="AJ154" i="2"/>
  <c r="AK154" i="2"/>
  <c r="AJ155" i="2"/>
  <c r="AK155" i="2"/>
  <c r="AJ156" i="2"/>
  <c r="AK156" i="2"/>
  <c r="AJ157" i="2"/>
  <c r="AK157" i="2"/>
  <c r="AJ158" i="2"/>
  <c r="AK158" i="2"/>
  <c r="AJ159" i="2"/>
  <c r="AK159" i="2"/>
  <c r="AJ160" i="2"/>
  <c r="AK160" i="2"/>
  <c r="AJ161" i="2"/>
  <c r="AK161" i="2"/>
  <c r="AJ162" i="2"/>
  <c r="AK162" i="2"/>
  <c r="AJ163" i="2"/>
  <c r="AK163" i="2"/>
  <c r="AJ164" i="2"/>
  <c r="AK164" i="2"/>
  <c r="AJ165" i="2"/>
  <c r="AK165" i="2"/>
  <c r="AJ166" i="2"/>
  <c r="AK166" i="2"/>
  <c r="AJ167" i="2"/>
  <c r="AK167" i="2"/>
  <c r="AJ168" i="2"/>
  <c r="AK168" i="2"/>
  <c r="AJ169" i="2"/>
  <c r="AK169" i="2"/>
  <c r="AJ170" i="2"/>
  <c r="AK170" i="2"/>
  <c r="AJ171" i="2"/>
  <c r="AK171" i="2"/>
  <c r="AJ172" i="2"/>
  <c r="AK172" i="2"/>
  <c r="AJ173" i="2"/>
  <c r="AK173" i="2"/>
  <c r="AJ174" i="2"/>
  <c r="AK174" i="2"/>
  <c r="AJ175" i="2"/>
  <c r="AK175" i="2"/>
  <c r="AJ176" i="2"/>
  <c r="AK176" i="2"/>
  <c r="AJ177" i="2"/>
  <c r="AK177" i="2"/>
  <c r="AJ178" i="2"/>
  <c r="AK178" i="2"/>
  <c r="AJ179" i="2"/>
  <c r="AK179" i="2"/>
  <c r="AJ180" i="2"/>
  <c r="AK180" i="2"/>
  <c r="AJ181" i="2"/>
  <c r="AK181" i="2"/>
  <c r="AJ182" i="2"/>
  <c r="AK182" i="2"/>
  <c r="AJ183" i="2"/>
  <c r="AK183" i="2"/>
  <c r="AJ184" i="2"/>
  <c r="AK184" i="2"/>
  <c r="AJ185" i="2"/>
  <c r="AK185" i="2"/>
  <c r="AJ186" i="2"/>
  <c r="AK186" i="2"/>
  <c r="AJ187" i="2"/>
  <c r="AK187" i="2"/>
  <c r="AJ188" i="2"/>
  <c r="AK188" i="2"/>
  <c r="AJ189" i="2"/>
  <c r="AK189" i="2"/>
  <c r="AJ190" i="2"/>
  <c r="AK190" i="2"/>
  <c r="AJ191" i="2"/>
  <c r="AK191" i="2"/>
  <c r="AJ192" i="2"/>
  <c r="AK192" i="2"/>
  <c r="AJ193" i="2"/>
  <c r="AK193" i="2"/>
  <c r="AJ194" i="2"/>
  <c r="AK194" i="2"/>
  <c r="AJ195" i="2"/>
  <c r="AK195" i="2"/>
  <c r="AJ196" i="2"/>
  <c r="AK196" i="2"/>
  <c r="AJ197" i="2"/>
  <c r="AK197" i="2"/>
  <c r="AJ198" i="2"/>
  <c r="AK198" i="2"/>
  <c r="AJ199" i="2"/>
  <c r="AK199" i="2"/>
  <c r="AJ200" i="2"/>
  <c r="AK200" i="2"/>
  <c r="AJ201" i="2"/>
  <c r="AK201" i="2"/>
  <c r="AJ202" i="2"/>
  <c r="AK202" i="2"/>
  <c r="AJ203" i="2"/>
  <c r="AK203" i="2"/>
  <c r="AJ204" i="2"/>
  <c r="AK204" i="2"/>
  <c r="AJ205" i="2"/>
  <c r="AK205" i="2"/>
  <c r="AJ206" i="2"/>
  <c r="AK206" i="2"/>
  <c r="AJ207" i="2"/>
  <c r="AK207" i="2"/>
  <c r="AJ208" i="2"/>
  <c r="AK208" i="2"/>
  <c r="AJ209" i="2"/>
  <c r="AK209" i="2"/>
  <c r="AJ210" i="2"/>
  <c r="AK210" i="2"/>
  <c r="AJ211" i="2"/>
  <c r="AK211" i="2"/>
  <c r="AJ212" i="2"/>
  <c r="AK212" i="2"/>
  <c r="AJ213" i="2"/>
  <c r="AK213" i="2"/>
  <c r="AJ214" i="2"/>
  <c r="AK214" i="2"/>
  <c r="AJ215" i="2"/>
  <c r="AK215" i="2"/>
  <c r="AJ216" i="2"/>
  <c r="AK216" i="2"/>
  <c r="AJ217" i="2"/>
  <c r="AK217" i="2"/>
  <c r="AJ218" i="2"/>
  <c r="AK218" i="2"/>
  <c r="AJ219" i="2"/>
  <c r="AK219" i="2"/>
  <c r="AJ220" i="2"/>
  <c r="AK220" i="2"/>
  <c r="AJ221" i="2"/>
  <c r="AK221" i="2"/>
  <c r="AJ222" i="2"/>
  <c r="AK222" i="2"/>
  <c r="AJ223" i="2"/>
  <c r="AK223" i="2"/>
  <c r="AJ224" i="2"/>
  <c r="AK224" i="2"/>
  <c r="AJ225" i="2"/>
  <c r="AK225" i="2"/>
  <c r="AJ226" i="2"/>
  <c r="AK226" i="2"/>
  <c r="AJ227" i="2"/>
  <c r="AK227" i="2"/>
  <c r="AJ228" i="2"/>
  <c r="AK228" i="2"/>
  <c r="AJ229" i="2"/>
  <c r="AK229" i="2"/>
  <c r="AJ230" i="2"/>
  <c r="AK230" i="2"/>
  <c r="AJ231" i="2"/>
  <c r="AK231" i="2"/>
  <c r="AJ232" i="2"/>
  <c r="AK232" i="2"/>
  <c r="AJ233" i="2"/>
  <c r="AK233" i="2"/>
  <c r="AJ234" i="2"/>
  <c r="AK234" i="2"/>
  <c r="AJ235" i="2"/>
  <c r="AK235" i="2"/>
  <c r="AJ236" i="2"/>
  <c r="AK236" i="2"/>
  <c r="AJ237" i="2"/>
  <c r="AK237" i="2"/>
  <c r="AJ238" i="2"/>
  <c r="AK238" i="2"/>
  <c r="AJ239" i="2"/>
  <c r="AK239" i="2"/>
  <c r="AJ240" i="2"/>
  <c r="AK240" i="2"/>
  <c r="AJ241" i="2"/>
  <c r="AK241" i="2"/>
  <c r="AJ242" i="2"/>
  <c r="AK242" i="2"/>
  <c r="AJ243" i="2"/>
  <c r="AK243" i="2"/>
  <c r="AJ244" i="2"/>
  <c r="AK244" i="2"/>
  <c r="AJ245" i="2"/>
  <c r="AK245" i="2"/>
  <c r="AJ246" i="2"/>
  <c r="AK246" i="2"/>
  <c r="AJ247" i="2"/>
  <c r="AK247" i="2"/>
  <c r="AJ248" i="2"/>
  <c r="AK248" i="2"/>
  <c r="AJ249" i="2"/>
  <c r="AK249" i="2"/>
  <c r="AJ250" i="2"/>
  <c r="AK250" i="2"/>
  <c r="AJ251" i="2"/>
  <c r="AK251" i="2"/>
  <c r="AJ252" i="2"/>
  <c r="AK252" i="2"/>
  <c r="AJ253" i="2"/>
  <c r="AK253" i="2"/>
  <c r="AJ254" i="2"/>
  <c r="AK254" i="2"/>
  <c r="AJ255" i="2"/>
  <c r="AK255" i="2"/>
  <c r="AJ256" i="2"/>
  <c r="AK256" i="2"/>
  <c r="AJ257" i="2"/>
  <c r="AK257" i="2"/>
  <c r="AJ258" i="2"/>
  <c r="AK258" i="2"/>
  <c r="AJ259" i="2"/>
  <c r="AK259" i="2"/>
  <c r="AJ260" i="2"/>
  <c r="AK260" i="2"/>
  <c r="AJ261" i="2"/>
  <c r="AK261" i="2"/>
  <c r="AJ262" i="2"/>
  <c r="AK262" i="2"/>
  <c r="AJ263" i="2"/>
  <c r="AK263" i="2"/>
  <c r="AJ264" i="2"/>
  <c r="AK264" i="2"/>
  <c r="AJ265" i="2"/>
  <c r="AK265" i="2"/>
  <c r="AJ266" i="2"/>
  <c r="AK266" i="2"/>
  <c r="AJ267" i="2"/>
  <c r="AK267" i="2"/>
  <c r="AJ268" i="2"/>
  <c r="AK268" i="2"/>
  <c r="AJ269" i="2"/>
  <c r="AK269" i="2"/>
  <c r="AJ270" i="2"/>
  <c r="AK270" i="2"/>
  <c r="AJ271" i="2"/>
  <c r="AK271" i="2"/>
  <c r="AJ272" i="2"/>
  <c r="AK272" i="2"/>
  <c r="AJ273" i="2"/>
  <c r="AK273" i="2"/>
  <c r="AJ274" i="2"/>
  <c r="AK274" i="2"/>
  <c r="AJ275" i="2"/>
  <c r="AK275" i="2"/>
  <c r="AJ276" i="2"/>
  <c r="AK276" i="2"/>
  <c r="AJ277" i="2"/>
  <c r="AK277" i="2"/>
  <c r="AJ278" i="2"/>
  <c r="AK278" i="2"/>
  <c r="AJ279" i="2"/>
  <c r="AK279" i="2"/>
  <c r="AJ280" i="2"/>
  <c r="AK280" i="2"/>
  <c r="AJ281" i="2"/>
  <c r="AK281" i="2"/>
  <c r="AJ282" i="2"/>
  <c r="AK282" i="2"/>
  <c r="AJ283" i="2"/>
  <c r="AK283" i="2"/>
  <c r="AJ284" i="2"/>
  <c r="AK284" i="2"/>
  <c r="AJ285" i="2"/>
  <c r="AK285" i="2"/>
  <c r="AJ286" i="2"/>
  <c r="AK286" i="2"/>
  <c r="AJ287" i="2"/>
  <c r="AK287" i="2"/>
  <c r="AJ288" i="2"/>
  <c r="AK288" i="2"/>
  <c r="AJ289" i="2"/>
  <c r="AK289" i="2"/>
  <c r="AJ290" i="2"/>
  <c r="AK290" i="2"/>
  <c r="AJ291" i="2"/>
  <c r="AK291" i="2"/>
  <c r="AJ292" i="2"/>
  <c r="AK292" i="2"/>
  <c r="AJ293" i="2"/>
  <c r="AK293" i="2"/>
  <c r="AJ294" i="2"/>
  <c r="AK294" i="2"/>
  <c r="AJ295" i="2"/>
  <c r="AK295" i="2"/>
  <c r="AJ296" i="2"/>
  <c r="AK296" i="2"/>
  <c r="AJ297" i="2"/>
  <c r="AK297" i="2"/>
  <c r="AJ298" i="2"/>
  <c r="AK298" i="2"/>
  <c r="AJ299" i="2"/>
  <c r="AK299" i="2"/>
  <c r="AJ300" i="2"/>
  <c r="AK300" i="2"/>
  <c r="AJ301" i="2"/>
  <c r="AK301" i="2"/>
  <c r="AJ302" i="2"/>
  <c r="AK302" i="2"/>
  <c r="AJ303" i="2"/>
  <c r="AK303" i="2"/>
  <c r="AJ304" i="2"/>
  <c r="AK304" i="2"/>
  <c r="AJ305" i="2"/>
  <c r="AK305" i="2"/>
  <c r="AJ306" i="2"/>
  <c r="AK306" i="2"/>
  <c r="AJ307" i="2"/>
  <c r="AK307" i="2"/>
  <c r="AJ308" i="2"/>
  <c r="AK308" i="2"/>
  <c r="AJ309" i="2"/>
  <c r="AK309" i="2"/>
  <c r="AJ310" i="2"/>
  <c r="AK310" i="2"/>
  <c r="AJ311" i="2"/>
  <c r="AK311" i="2"/>
  <c r="AJ312" i="2"/>
  <c r="AK312" i="2"/>
  <c r="AJ313" i="2"/>
  <c r="AK313" i="2"/>
  <c r="AJ314" i="2"/>
  <c r="AK314" i="2"/>
  <c r="AJ315" i="2"/>
  <c r="AK315" i="2"/>
  <c r="AJ316" i="2"/>
  <c r="AK316" i="2"/>
  <c r="AJ317" i="2"/>
  <c r="AK317" i="2"/>
  <c r="AJ318" i="2"/>
  <c r="AK318" i="2"/>
  <c r="AJ319" i="2"/>
  <c r="AK319" i="2"/>
  <c r="AJ320" i="2"/>
  <c r="AK320" i="2"/>
  <c r="AJ321" i="2"/>
  <c r="AK321" i="2"/>
  <c r="AJ322" i="2"/>
  <c r="AK322" i="2"/>
  <c r="AJ323" i="2"/>
  <c r="AK323" i="2"/>
  <c r="AJ324" i="2"/>
  <c r="AK324" i="2"/>
  <c r="AJ325" i="2"/>
  <c r="AK325" i="2"/>
  <c r="AJ326" i="2"/>
  <c r="AK326" i="2"/>
  <c r="AJ327" i="2"/>
  <c r="AK327" i="2"/>
  <c r="AJ328" i="2"/>
  <c r="AK328" i="2"/>
  <c r="AJ329" i="2"/>
  <c r="AK329" i="2"/>
  <c r="AJ330" i="2"/>
  <c r="AK330" i="2"/>
  <c r="AJ331" i="2"/>
  <c r="AK331" i="2"/>
  <c r="AJ332" i="2"/>
  <c r="AK332" i="2"/>
  <c r="AJ333" i="2"/>
  <c r="AK333" i="2"/>
  <c r="AJ334" i="2"/>
  <c r="AK334" i="2"/>
  <c r="AJ335" i="2"/>
  <c r="AK335" i="2"/>
  <c r="AJ336" i="2"/>
  <c r="AK336" i="2"/>
  <c r="AJ337" i="2"/>
  <c r="AK337" i="2"/>
  <c r="AJ338" i="2"/>
  <c r="AK338" i="2"/>
  <c r="AJ339" i="2"/>
  <c r="AK339" i="2"/>
  <c r="AJ340" i="2"/>
  <c r="AK340" i="2"/>
  <c r="AJ341" i="2"/>
  <c r="AK341" i="2"/>
  <c r="AJ342" i="2"/>
  <c r="AK342" i="2"/>
  <c r="AJ343" i="2"/>
  <c r="AK343" i="2"/>
  <c r="AJ344" i="2"/>
  <c r="AK344" i="2"/>
  <c r="AJ345" i="2"/>
  <c r="AK345" i="2"/>
  <c r="AJ346" i="2"/>
  <c r="AK346" i="2"/>
  <c r="AJ347" i="2"/>
  <c r="AK347" i="2"/>
  <c r="AJ348" i="2"/>
  <c r="AK348" i="2"/>
  <c r="AJ349" i="2"/>
  <c r="AK349" i="2"/>
  <c r="AJ350" i="2"/>
  <c r="AK350" i="2"/>
  <c r="AJ351" i="2"/>
  <c r="AK351" i="2"/>
  <c r="AJ352" i="2"/>
  <c r="AK352" i="2"/>
  <c r="AJ353" i="2"/>
  <c r="AK353" i="2"/>
  <c r="AJ354" i="2"/>
  <c r="AK354" i="2"/>
  <c r="AJ355" i="2"/>
  <c r="AK355" i="2"/>
  <c r="AJ356" i="2"/>
  <c r="AK356" i="2"/>
  <c r="AJ357" i="2"/>
  <c r="AK357" i="2"/>
  <c r="AJ358" i="2"/>
  <c r="AK358" i="2"/>
  <c r="AJ359" i="2"/>
  <c r="AK359" i="2"/>
  <c r="AJ360" i="2"/>
  <c r="AK360" i="2"/>
  <c r="AJ361" i="2"/>
  <c r="AK361" i="2"/>
  <c r="AJ362" i="2"/>
  <c r="AK362" i="2"/>
  <c r="AJ363" i="2"/>
  <c r="AK363" i="2"/>
  <c r="AJ364" i="2"/>
  <c r="AK364" i="2"/>
  <c r="AJ365" i="2"/>
  <c r="AK365" i="2"/>
  <c r="AJ366" i="2"/>
  <c r="AK366" i="2"/>
  <c r="AJ367" i="2"/>
  <c r="AK367" i="2"/>
  <c r="AJ368" i="2"/>
  <c r="AK368" i="2"/>
  <c r="AJ369" i="2"/>
  <c r="AK369" i="2"/>
  <c r="AJ370" i="2"/>
  <c r="AK370" i="2"/>
  <c r="AJ6" i="2"/>
  <c r="AK6" i="2"/>
  <c r="AK5" i="2"/>
  <c r="AJ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T5" i="2"/>
  <c r="R5" i="2"/>
  <c r="B5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5" i="2"/>
  <c r="L5" i="1"/>
  <c r="V5" i="2" s="1"/>
  <c r="M5" i="1"/>
  <c r="X5" i="2" s="1"/>
  <c r="A7" i="1"/>
  <c r="A5" i="1"/>
  <c r="A6" i="1"/>
  <c r="AB6" i="1"/>
  <c r="BC6" i="2" s="1"/>
  <c r="AA6" i="1"/>
  <c r="BB6" i="2" s="1"/>
  <c r="Z6" i="1"/>
  <c r="BA6" i="2" s="1"/>
  <c r="Y6" i="1"/>
  <c r="AZ6" i="2" s="1"/>
  <c r="X6" i="1"/>
  <c r="AY6" i="2" s="1"/>
  <c r="W6" i="1"/>
  <c r="AX6" i="2" s="1"/>
  <c r="V6" i="1"/>
  <c r="AG6" i="2" s="1"/>
  <c r="U6" i="1"/>
  <c r="AF6" i="2" s="1"/>
  <c r="T6" i="1"/>
  <c r="AE6" i="2" s="1"/>
  <c r="S6" i="1"/>
  <c r="AD6" i="2" s="1"/>
  <c r="R6" i="1"/>
  <c r="AC6" i="2" s="1"/>
  <c r="Q6" i="1"/>
  <c r="AB6" i="2" s="1"/>
  <c r="P6" i="1"/>
  <c r="AA6" i="2" s="1"/>
  <c r="O6" i="1"/>
  <c r="Z6" i="2" s="1"/>
  <c r="N6" i="1"/>
  <c r="Y6" i="2" s="1"/>
  <c r="M6" i="1"/>
  <c r="X6" i="2" s="1"/>
  <c r="L6" i="1"/>
  <c r="V6" i="2" s="1"/>
  <c r="B6" i="2"/>
  <c r="AI5" i="2"/>
  <c r="AH5" i="2"/>
  <c r="W7" i="1"/>
  <c r="AX7" i="2" s="1"/>
  <c r="X7" i="1"/>
  <c r="AY7" i="2" s="1"/>
  <c r="Y7" i="1"/>
  <c r="AZ7" i="2" s="1"/>
  <c r="Z7" i="1"/>
  <c r="BA7" i="2" s="1"/>
  <c r="AA7" i="1"/>
  <c r="BB7" i="2" s="1"/>
  <c r="AB7" i="1"/>
  <c r="BC7" i="2" s="1"/>
  <c r="W8" i="1"/>
  <c r="AX8" i="2" s="1"/>
  <c r="X8" i="1"/>
  <c r="AY8" i="2" s="1"/>
  <c r="Y8" i="1"/>
  <c r="AZ8" i="2" s="1"/>
  <c r="Z8" i="1"/>
  <c r="BA8" i="2" s="1"/>
  <c r="AA8" i="1"/>
  <c r="BB8" i="2" s="1"/>
  <c r="AB8" i="1"/>
  <c r="BC8" i="2" s="1"/>
  <c r="W9" i="1"/>
  <c r="AX9" i="2" s="1"/>
  <c r="X9" i="1"/>
  <c r="AY9" i="2" s="1"/>
  <c r="Y9" i="1"/>
  <c r="AZ9" i="2" s="1"/>
  <c r="Z9" i="1"/>
  <c r="BA9" i="2" s="1"/>
  <c r="AA9" i="1"/>
  <c r="BB9" i="2" s="1"/>
  <c r="AB9" i="1"/>
  <c r="BC9" i="2" s="1"/>
  <c r="W10" i="1"/>
  <c r="AX10" i="2" s="1"/>
  <c r="X10" i="1"/>
  <c r="AY10" i="2" s="1"/>
  <c r="Y10" i="1"/>
  <c r="AZ10" i="2" s="1"/>
  <c r="Z10" i="1"/>
  <c r="BA10" i="2" s="1"/>
  <c r="AA10" i="1"/>
  <c r="BB10" i="2" s="1"/>
  <c r="AB10" i="1"/>
  <c r="BC10" i="2" s="1"/>
  <c r="W11" i="1"/>
  <c r="AX11" i="2" s="1"/>
  <c r="X11" i="1"/>
  <c r="AY11" i="2" s="1"/>
  <c r="Y11" i="1"/>
  <c r="AZ11" i="2" s="1"/>
  <c r="Z11" i="1"/>
  <c r="BA11" i="2" s="1"/>
  <c r="AA11" i="1"/>
  <c r="BB11" i="2" s="1"/>
  <c r="AB11" i="1"/>
  <c r="BC11" i="2" s="1"/>
  <c r="W12" i="1"/>
  <c r="AX12" i="2" s="1"/>
  <c r="X12" i="1"/>
  <c r="AY12" i="2" s="1"/>
  <c r="Y12" i="1"/>
  <c r="AZ12" i="2" s="1"/>
  <c r="Z12" i="1"/>
  <c r="BA12" i="2" s="1"/>
  <c r="AA12" i="1"/>
  <c r="BB12" i="2" s="1"/>
  <c r="AB12" i="1"/>
  <c r="BC12" i="2" s="1"/>
  <c r="W13" i="1"/>
  <c r="AX13" i="2" s="1"/>
  <c r="X13" i="1"/>
  <c r="AY13" i="2" s="1"/>
  <c r="Y13" i="1"/>
  <c r="AZ13" i="2" s="1"/>
  <c r="Z13" i="1"/>
  <c r="BA13" i="2" s="1"/>
  <c r="AA13" i="1"/>
  <c r="BB13" i="2" s="1"/>
  <c r="AB13" i="1"/>
  <c r="BC13" i="2" s="1"/>
  <c r="W14" i="1"/>
  <c r="AX14" i="2" s="1"/>
  <c r="X14" i="1"/>
  <c r="AY14" i="2" s="1"/>
  <c r="Y14" i="1"/>
  <c r="AZ14" i="2" s="1"/>
  <c r="Z14" i="1"/>
  <c r="BA14" i="2" s="1"/>
  <c r="AA14" i="1"/>
  <c r="BB14" i="2" s="1"/>
  <c r="AB14" i="1"/>
  <c r="BC14" i="2" s="1"/>
  <c r="W15" i="1"/>
  <c r="AX15" i="2" s="1"/>
  <c r="X15" i="1"/>
  <c r="AY15" i="2" s="1"/>
  <c r="Y15" i="1"/>
  <c r="AZ15" i="2" s="1"/>
  <c r="Z15" i="1"/>
  <c r="BA15" i="2" s="1"/>
  <c r="AA15" i="1"/>
  <c r="BB15" i="2" s="1"/>
  <c r="AB15" i="1"/>
  <c r="BC15" i="2" s="1"/>
  <c r="W16" i="1"/>
  <c r="AX16" i="2" s="1"/>
  <c r="X16" i="1"/>
  <c r="AY16" i="2" s="1"/>
  <c r="Y16" i="1"/>
  <c r="AZ16" i="2" s="1"/>
  <c r="Z16" i="1"/>
  <c r="BA16" i="2" s="1"/>
  <c r="AA16" i="1"/>
  <c r="BB16" i="2" s="1"/>
  <c r="AB16" i="1"/>
  <c r="BC16" i="2" s="1"/>
  <c r="W17" i="1"/>
  <c r="AX17" i="2" s="1"/>
  <c r="X17" i="1"/>
  <c r="AY17" i="2" s="1"/>
  <c r="Y17" i="1"/>
  <c r="AZ17" i="2" s="1"/>
  <c r="Z17" i="1"/>
  <c r="BA17" i="2" s="1"/>
  <c r="AA17" i="1"/>
  <c r="BB17" i="2" s="1"/>
  <c r="AB17" i="1"/>
  <c r="BC17" i="2" s="1"/>
  <c r="W18" i="1"/>
  <c r="AX18" i="2" s="1"/>
  <c r="X18" i="1"/>
  <c r="AY18" i="2" s="1"/>
  <c r="Y18" i="1"/>
  <c r="AZ18" i="2" s="1"/>
  <c r="Z18" i="1"/>
  <c r="BA18" i="2" s="1"/>
  <c r="AA18" i="1"/>
  <c r="BB18" i="2" s="1"/>
  <c r="AB18" i="1"/>
  <c r="BC18" i="2" s="1"/>
  <c r="W19" i="1"/>
  <c r="AX19" i="2" s="1"/>
  <c r="X19" i="1"/>
  <c r="AY19" i="2" s="1"/>
  <c r="Y19" i="1"/>
  <c r="AZ19" i="2" s="1"/>
  <c r="Z19" i="1"/>
  <c r="BA19" i="2" s="1"/>
  <c r="AA19" i="1"/>
  <c r="BB19" i="2" s="1"/>
  <c r="AB19" i="1"/>
  <c r="BC19" i="2" s="1"/>
  <c r="W20" i="1"/>
  <c r="AX20" i="2" s="1"/>
  <c r="X20" i="1"/>
  <c r="AY20" i="2" s="1"/>
  <c r="Y20" i="1"/>
  <c r="AZ20" i="2" s="1"/>
  <c r="Z20" i="1"/>
  <c r="BA20" i="2" s="1"/>
  <c r="AA20" i="1"/>
  <c r="BB20" i="2" s="1"/>
  <c r="AB20" i="1"/>
  <c r="BC20" i="2" s="1"/>
  <c r="W21" i="1"/>
  <c r="AX21" i="2" s="1"/>
  <c r="X21" i="1"/>
  <c r="AY21" i="2" s="1"/>
  <c r="Y21" i="1"/>
  <c r="AZ21" i="2" s="1"/>
  <c r="Z21" i="1"/>
  <c r="BA21" i="2" s="1"/>
  <c r="AA21" i="1"/>
  <c r="BB21" i="2" s="1"/>
  <c r="AB21" i="1"/>
  <c r="BC21" i="2" s="1"/>
  <c r="W22" i="1"/>
  <c r="AX22" i="2" s="1"/>
  <c r="X22" i="1"/>
  <c r="AY22" i="2" s="1"/>
  <c r="Y22" i="1"/>
  <c r="AZ22" i="2" s="1"/>
  <c r="Z22" i="1"/>
  <c r="BA22" i="2" s="1"/>
  <c r="AA22" i="1"/>
  <c r="BB22" i="2" s="1"/>
  <c r="AB22" i="1"/>
  <c r="BC22" i="2" s="1"/>
  <c r="W23" i="1"/>
  <c r="AX23" i="2" s="1"/>
  <c r="X23" i="1"/>
  <c r="AY23" i="2" s="1"/>
  <c r="Y23" i="1"/>
  <c r="AZ23" i="2" s="1"/>
  <c r="Z23" i="1"/>
  <c r="BA23" i="2" s="1"/>
  <c r="AA23" i="1"/>
  <c r="BB23" i="2" s="1"/>
  <c r="AB23" i="1"/>
  <c r="BC23" i="2" s="1"/>
  <c r="W24" i="1"/>
  <c r="AX24" i="2" s="1"/>
  <c r="X24" i="1"/>
  <c r="AY24" i="2" s="1"/>
  <c r="Y24" i="1"/>
  <c r="AZ24" i="2" s="1"/>
  <c r="Z24" i="1"/>
  <c r="BA24" i="2" s="1"/>
  <c r="AA24" i="1"/>
  <c r="BB24" i="2" s="1"/>
  <c r="AB24" i="1"/>
  <c r="BC24" i="2" s="1"/>
  <c r="W25" i="1"/>
  <c r="AX25" i="2" s="1"/>
  <c r="X25" i="1"/>
  <c r="AY25" i="2" s="1"/>
  <c r="Y25" i="1"/>
  <c r="AZ25" i="2" s="1"/>
  <c r="Z25" i="1"/>
  <c r="BA25" i="2" s="1"/>
  <c r="AA25" i="1"/>
  <c r="BB25" i="2" s="1"/>
  <c r="AB25" i="1"/>
  <c r="BC25" i="2" s="1"/>
  <c r="W26" i="1"/>
  <c r="AX26" i="2" s="1"/>
  <c r="X26" i="1"/>
  <c r="AY26" i="2" s="1"/>
  <c r="Y26" i="1"/>
  <c r="AZ26" i="2" s="1"/>
  <c r="Z26" i="1"/>
  <c r="BA26" i="2" s="1"/>
  <c r="AA26" i="1"/>
  <c r="BB26" i="2" s="1"/>
  <c r="AB26" i="1"/>
  <c r="BC26" i="2" s="1"/>
  <c r="W27" i="1"/>
  <c r="AX27" i="2" s="1"/>
  <c r="X27" i="1"/>
  <c r="AY27" i="2" s="1"/>
  <c r="Y27" i="1"/>
  <c r="AZ27" i="2" s="1"/>
  <c r="Z27" i="1"/>
  <c r="BA27" i="2" s="1"/>
  <c r="AA27" i="1"/>
  <c r="BB27" i="2" s="1"/>
  <c r="AB27" i="1"/>
  <c r="BC27" i="2" s="1"/>
  <c r="W28" i="1"/>
  <c r="AX28" i="2" s="1"/>
  <c r="X28" i="1"/>
  <c r="AY28" i="2" s="1"/>
  <c r="Y28" i="1"/>
  <c r="AZ28" i="2" s="1"/>
  <c r="Z28" i="1"/>
  <c r="BA28" i="2" s="1"/>
  <c r="AA28" i="1"/>
  <c r="BB28" i="2" s="1"/>
  <c r="AB28" i="1"/>
  <c r="BC28" i="2" s="1"/>
  <c r="W29" i="1"/>
  <c r="AX29" i="2" s="1"/>
  <c r="X29" i="1"/>
  <c r="AY29" i="2" s="1"/>
  <c r="Y29" i="1"/>
  <c r="AZ29" i="2" s="1"/>
  <c r="Z29" i="1"/>
  <c r="BA29" i="2" s="1"/>
  <c r="AA29" i="1"/>
  <c r="BB29" i="2" s="1"/>
  <c r="AB29" i="1"/>
  <c r="BC29" i="2" s="1"/>
  <c r="W30" i="1"/>
  <c r="AX30" i="2" s="1"/>
  <c r="X30" i="1"/>
  <c r="AY30" i="2" s="1"/>
  <c r="Y30" i="1"/>
  <c r="AZ30" i="2" s="1"/>
  <c r="Z30" i="1"/>
  <c r="BA30" i="2" s="1"/>
  <c r="AA30" i="1"/>
  <c r="BB30" i="2" s="1"/>
  <c r="AB30" i="1"/>
  <c r="BC30" i="2" s="1"/>
  <c r="W31" i="1"/>
  <c r="AX31" i="2" s="1"/>
  <c r="X31" i="1"/>
  <c r="AY31" i="2" s="1"/>
  <c r="Y31" i="1"/>
  <c r="AZ31" i="2" s="1"/>
  <c r="Z31" i="1"/>
  <c r="BA31" i="2" s="1"/>
  <c r="AA31" i="1"/>
  <c r="BB31" i="2" s="1"/>
  <c r="AB31" i="1"/>
  <c r="BC31" i="2" s="1"/>
  <c r="W32" i="1"/>
  <c r="AX32" i="2" s="1"/>
  <c r="X32" i="1"/>
  <c r="AY32" i="2" s="1"/>
  <c r="Y32" i="1"/>
  <c r="AZ32" i="2" s="1"/>
  <c r="Z32" i="1"/>
  <c r="BA32" i="2" s="1"/>
  <c r="AA32" i="1"/>
  <c r="BB32" i="2" s="1"/>
  <c r="AB32" i="1"/>
  <c r="BC32" i="2" s="1"/>
  <c r="W33" i="1"/>
  <c r="AX33" i="2" s="1"/>
  <c r="X33" i="1"/>
  <c r="AY33" i="2" s="1"/>
  <c r="Y33" i="1"/>
  <c r="AZ33" i="2" s="1"/>
  <c r="Z33" i="1"/>
  <c r="BA33" i="2" s="1"/>
  <c r="AA33" i="1"/>
  <c r="BB33" i="2" s="1"/>
  <c r="AB33" i="1"/>
  <c r="BC33" i="2" s="1"/>
  <c r="W34" i="1"/>
  <c r="AX34" i="2" s="1"/>
  <c r="X34" i="1"/>
  <c r="AY34" i="2" s="1"/>
  <c r="Y34" i="1"/>
  <c r="AZ34" i="2" s="1"/>
  <c r="Z34" i="1"/>
  <c r="BA34" i="2" s="1"/>
  <c r="AA34" i="1"/>
  <c r="BB34" i="2" s="1"/>
  <c r="AB34" i="1"/>
  <c r="BC34" i="2" s="1"/>
  <c r="W35" i="1"/>
  <c r="AX35" i="2" s="1"/>
  <c r="X35" i="1"/>
  <c r="AY35" i="2" s="1"/>
  <c r="Y35" i="1"/>
  <c r="AZ35" i="2" s="1"/>
  <c r="Z35" i="1"/>
  <c r="BA35" i="2" s="1"/>
  <c r="AA35" i="1"/>
  <c r="BB35" i="2" s="1"/>
  <c r="AB35" i="1"/>
  <c r="BC35" i="2" s="1"/>
  <c r="W36" i="1"/>
  <c r="AX36" i="2" s="1"/>
  <c r="X36" i="1"/>
  <c r="AY36" i="2" s="1"/>
  <c r="Y36" i="1"/>
  <c r="AZ36" i="2" s="1"/>
  <c r="Z36" i="1"/>
  <c r="BA36" i="2" s="1"/>
  <c r="AA36" i="1"/>
  <c r="BB36" i="2" s="1"/>
  <c r="AB36" i="1"/>
  <c r="BC36" i="2" s="1"/>
  <c r="W37" i="1"/>
  <c r="AX37" i="2" s="1"/>
  <c r="X37" i="1"/>
  <c r="AY37" i="2" s="1"/>
  <c r="Y37" i="1"/>
  <c r="AZ37" i="2" s="1"/>
  <c r="Z37" i="1"/>
  <c r="BA37" i="2" s="1"/>
  <c r="AA37" i="1"/>
  <c r="BB37" i="2" s="1"/>
  <c r="AB37" i="1"/>
  <c r="BC37" i="2" s="1"/>
  <c r="W38" i="1"/>
  <c r="AX38" i="2" s="1"/>
  <c r="X38" i="1"/>
  <c r="AY38" i="2" s="1"/>
  <c r="Y38" i="1"/>
  <c r="AZ38" i="2" s="1"/>
  <c r="Z38" i="1"/>
  <c r="BA38" i="2" s="1"/>
  <c r="AA38" i="1"/>
  <c r="BB38" i="2" s="1"/>
  <c r="AB38" i="1"/>
  <c r="BC38" i="2" s="1"/>
  <c r="W39" i="1"/>
  <c r="AX39" i="2" s="1"/>
  <c r="X39" i="1"/>
  <c r="AY39" i="2" s="1"/>
  <c r="Y39" i="1"/>
  <c r="AZ39" i="2" s="1"/>
  <c r="Z39" i="1"/>
  <c r="BA39" i="2" s="1"/>
  <c r="AA39" i="1"/>
  <c r="BB39" i="2" s="1"/>
  <c r="AB39" i="1"/>
  <c r="BC39" i="2" s="1"/>
  <c r="W40" i="1"/>
  <c r="AX40" i="2" s="1"/>
  <c r="X40" i="1"/>
  <c r="AY40" i="2" s="1"/>
  <c r="Y40" i="1"/>
  <c r="AZ40" i="2" s="1"/>
  <c r="Z40" i="1"/>
  <c r="BA40" i="2" s="1"/>
  <c r="AA40" i="1"/>
  <c r="BB40" i="2" s="1"/>
  <c r="AB40" i="1"/>
  <c r="BC40" i="2" s="1"/>
  <c r="W41" i="1"/>
  <c r="AX41" i="2" s="1"/>
  <c r="X41" i="1"/>
  <c r="AY41" i="2" s="1"/>
  <c r="Y41" i="1"/>
  <c r="AZ41" i="2" s="1"/>
  <c r="Z41" i="1"/>
  <c r="BA41" i="2" s="1"/>
  <c r="AA41" i="1"/>
  <c r="BB41" i="2" s="1"/>
  <c r="AB41" i="1"/>
  <c r="BC41" i="2" s="1"/>
  <c r="W42" i="1"/>
  <c r="AX42" i="2" s="1"/>
  <c r="X42" i="1"/>
  <c r="AY42" i="2" s="1"/>
  <c r="Y42" i="1"/>
  <c r="AZ42" i="2" s="1"/>
  <c r="Z42" i="1"/>
  <c r="BA42" i="2" s="1"/>
  <c r="AA42" i="1"/>
  <c r="BB42" i="2" s="1"/>
  <c r="AB42" i="1"/>
  <c r="BC42" i="2" s="1"/>
  <c r="W43" i="1"/>
  <c r="AX43" i="2" s="1"/>
  <c r="X43" i="1"/>
  <c r="AY43" i="2" s="1"/>
  <c r="Y43" i="1"/>
  <c r="AZ43" i="2" s="1"/>
  <c r="Z43" i="1"/>
  <c r="BA43" i="2" s="1"/>
  <c r="AA43" i="1"/>
  <c r="BB43" i="2" s="1"/>
  <c r="AB43" i="1"/>
  <c r="BC43" i="2" s="1"/>
  <c r="W44" i="1"/>
  <c r="AX44" i="2" s="1"/>
  <c r="X44" i="1"/>
  <c r="AY44" i="2" s="1"/>
  <c r="Y44" i="1"/>
  <c r="AZ44" i="2" s="1"/>
  <c r="Z44" i="1"/>
  <c r="BA44" i="2" s="1"/>
  <c r="AA44" i="1"/>
  <c r="BB44" i="2" s="1"/>
  <c r="AB44" i="1"/>
  <c r="BC44" i="2" s="1"/>
  <c r="W45" i="1"/>
  <c r="AX45" i="2" s="1"/>
  <c r="X45" i="1"/>
  <c r="AY45" i="2" s="1"/>
  <c r="Y45" i="1"/>
  <c r="AZ45" i="2" s="1"/>
  <c r="Z45" i="1"/>
  <c r="BA45" i="2" s="1"/>
  <c r="AA45" i="1"/>
  <c r="BB45" i="2" s="1"/>
  <c r="AB45" i="1"/>
  <c r="BC45" i="2" s="1"/>
  <c r="W46" i="1"/>
  <c r="AX46" i="2" s="1"/>
  <c r="X46" i="1"/>
  <c r="AY46" i="2" s="1"/>
  <c r="Y46" i="1"/>
  <c r="AZ46" i="2" s="1"/>
  <c r="Z46" i="1"/>
  <c r="BA46" i="2" s="1"/>
  <c r="AA46" i="1"/>
  <c r="BB46" i="2" s="1"/>
  <c r="AB46" i="1"/>
  <c r="BC46" i="2" s="1"/>
  <c r="W47" i="1"/>
  <c r="AX47" i="2" s="1"/>
  <c r="X47" i="1"/>
  <c r="AY47" i="2" s="1"/>
  <c r="Y47" i="1"/>
  <c r="AZ47" i="2" s="1"/>
  <c r="Z47" i="1"/>
  <c r="BA47" i="2" s="1"/>
  <c r="AA47" i="1"/>
  <c r="BB47" i="2" s="1"/>
  <c r="AB47" i="1"/>
  <c r="BC47" i="2" s="1"/>
  <c r="W48" i="1"/>
  <c r="AX48" i="2" s="1"/>
  <c r="X48" i="1"/>
  <c r="AY48" i="2" s="1"/>
  <c r="Y48" i="1"/>
  <c r="AZ48" i="2" s="1"/>
  <c r="Z48" i="1"/>
  <c r="BA48" i="2" s="1"/>
  <c r="AA48" i="1"/>
  <c r="BB48" i="2" s="1"/>
  <c r="AB48" i="1"/>
  <c r="BC48" i="2" s="1"/>
  <c r="W49" i="1"/>
  <c r="AX49" i="2" s="1"/>
  <c r="X49" i="1"/>
  <c r="AY49" i="2" s="1"/>
  <c r="Y49" i="1"/>
  <c r="AZ49" i="2" s="1"/>
  <c r="Z49" i="1"/>
  <c r="BA49" i="2" s="1"/>
  <c r="AA49" i="1"/>
  <c r="BB49" i="2" s="1"/>
  <c r="AB49" i="1"/>
  <c r="BC49" i="2" s="1"/>
  <c r="W50" i="1"/>
  <c r="AX50" i="2" s="1"/>
  <c r="X50" i="1"/>
  <c r="AY50" i="2" s="1"/>
  <c r="Y50" i="1"/>
  <c r="AZ50" i="2" s="1"/>
  <c r="Z50" i="1"/>
  <c r="BA50" i="2" s="1"/>
  <c r="AA50" i="1"/>
  <c r="BB50" i="2" s="1"/>
  <c r="AB50" i="1"/>
  <c r="BC50" i="2" s="1"/>
  <c r="W51" i="1"/>
  <c r="AX51" i="2" s="1"/>
  <c r="X51" i="1"/>
  <c r="AY51" i="2" s="1"/>
  <c r="Y51" i="1"/>
  <c r="AZ51" i="2" s="1"/>
  <c r="Z51" i="1"/>
  <c r="BA51" i="2" s="1"/>
  <c r="AA51" i="1"/>
  <c r="BB51" i="2" s="1"/>
  <c r="AB51" i="1"/>
  <c r="BC51" i="2" s="1"/>
  <c r="W52" i="1"/>
  <c r="AX52" i="2" s="1"/>
  <c r="X52" i="1"/>
  <c r="AY52" i="2" s="1"/>
  <c r="Y52" i="1"/>
  <c r="AZ52" i="2" s="1"/>
  <c r="Z52" i="1"/>
  <c r="BA52" i="2" s="1"/>
  <c r="AA52" i="1"/>
  <c r="BB52" i="2" s="1"/>
  <c r="AB52" i="1"/>
  <c r="BC52" i="2" s="1"/>
  <c r="W53" i="1"/>
  <c r="AX53" i="2" s="1"/>
  <c r="X53" i="1"/>
  <c r="AY53" i="2" s="1"/>
  <c r="Y53" i="1"/>
  <c r="AZ53" i="2" s="1"/>
  <c r="Z53" i="1"/>
  <c r="BA53" i="2" s="1"/>
  <c r="AA53" i="1"/>
  <c r="BB53" i="2" s="1"/>
  <c r="AB53" i="1"/>
  <c r="BC53" i="2" s="1"/>
  <c r="W54" i="1"/>
  <c r="AX54" i="2" s="1"/>
  <c r="X54" i="1"/>
  <c r="AY54" i="2" s="1"/>
  <c r="Y54" i="1"/>
  <c r="AZ54" i="2" s="1"/>
  <c r="Z54" i="1"/>
  <c r="BA54" i="2" s="1"/>
  <c r="AA54" i="1"/>
  <c r="BB54" i="2" s="1"/>
  <c r="AB54" i="1"/>
  <c r="BC54" i="2" s="1"/>
  <c r="W55" i="1"/>
  <c r="AX55" i="2" s="1"/>
  <c r="X55" i="1"/>
  <c r="AY55" i="2" s="1"/>
  <c r="Y55" i="1"/>
  <c r="AZ55" i="2" s="1"/>
  <c r="Z55" i="1"/>
  <c r="BA55" i="2" s="1"/>
  <c r="AA55" i="1"/>
  <c r="BB55" i="2" s="1"/>
  <c r="AB55" i="1"/>
  <c r="BC55" i="2" s="1"/>
  <c r="W56" i="1"/>
  <c r="AX56" i="2" s="1"/>
  <c r="X56" i="1"/>
  <c r="AY56" i="2" s="1"/>
  <c r="Y56" i="1"/>
  <c r="AZ56" i="2" s="1"/>
  <c r="Z56" i="1"/>
  <c r="BA56" i="2" s="1"/>
  <c r="AA56" i="1"/>
  <c r="BB56" i="2" s="1"/>
  <c r="AB56" i="1"/>
  <c r="BC56" i="2" s="1"/>
  <c r="W57" i="1"/>
  <c r="AX57" i="2" s="1"/>
  <c r="X57" i="1"/>
  <c r="AY57" i="2" s="1"/>
  <c r="Y57" i="1"/>
  <c r="AZ57" i="2" s="1"/>
  <c r="Z57" i="1"/>
  <c r="BA57" i="2" s="1"/>
  <c r="AA57" i="1"/>
  <c r="BB57" i="2" s="1"/>
  <c r="AB57" i="1"/>
  <c r="BC57" i="2" s="1"/>
  <c r="W58" i="1"/>
  <c r="AX58" i="2" s="1"/>
  <c r="X58" i="1"/>
  <c r="AY58" i="2" s="1"/>
  <c r="Y58" i="1"/>
  <c r="AZ58" i="2" s="1"/>
  <c r="Z58" i="1"/>
  <c r="BA58" i="2" s="1"/>
  <c r="AA58" i="1"/>
  <c r="BB58" i="2" s="1"/>
  <c r="AB58" i="1"/>
  <c r="BC58" i="2" s="1"/>
  <c r="W59" i="1"/>
  <c r="AX59" i="2" s="1"/>
  <c r="X59" i="1"/>
  <c r="AY59" i="2" s="1"/>
  <c r="Y59" i="1"/>
  <c r="AZ59" i="2" s="1"/>
  <c r="Z59" i="1"/>
  <c r="BA59" i="2" s="1"/>
  <c r="AA59" i="1"/>
  <c r="BB59" i="2" s="1"/>
  <c r="AB59" i="1"/>
  <c r="BC59" i="2" s="1"/>
  <c r="W60" i="1"/>
  <c r="AX60" i="2" s="1"/>
  <c r="X60" i="1"/>
  <c r="AY60" i="2" s="1"/>
  <c r="Y60" i="1"/>
  <c r="AZ60" i="2" s="1"/>
  <c r="Z60" i="1"/>
  <c r="BA60" i="2" s="1"/>
  <c r="AA60" i="1"/>
  <c r="BB60" i="2" s="1"/>
  <c r="AB60" i="1"/>
  <c r="BC60" i="2" s="1"/>
  <c r="W61" i="1"/>
  <c r="AX61" i="2" s="1"/>
  <c r="X61" i="1"/>
  <c r="AY61" i="2" s="1"/>
  <c r="Y61" i="1"/>
  <c r="AZ61" i="2" s="1"/>
  <c r="Z61" i="1"/>
  <c r="BA61" i="2" s="1"/>
  <c r="AA61" i="1"/>
  <c r="BB61" i="2" s="1"/>
  <c r="AB61" i="1"/>
  <c r="BC61" i="2" s="1"/>
  <c r="W62" i="1"/>
  <c r="AX62" i="2" s="1"/>
  <c r="X62" i="1"/>
  <c r="AY62" i="2" s="1"/>
  <c r="Y62" i="1"/>
  <c r="AZ62" i="2" s="1"/>
  <c r="Z62" i="1"/>
  <c r="BA62" i="2" s="1"/>
  <c r="AA62" i="1"/>
  <c r="BB62" i="2" s="1"/>
  <c r="AB62" i="1"/>
  <c r="BC62" i="2" s="1"/>
  <c r="W63" i="1"/>
  <c r="AX63" i="2" s="1"/>
  <c r="X63" i="1"/>
  <c r="AY63" i="2" s="1"/>
  <c r="Y63" i="1"/>
  <c r="AZ63" i="2" s="1"/>
  <c r="Z63" i="1"/>
  <c r="BA63" i="2" s="1"/>
  <c r="AA63" i="1"/>
  <c r="BB63" i="2" s="1"/>
  <c r="AB63" i="1"/>
  <c r="BC63" i="2" s="1"/>
  <c r="W64" i="1"/>
  <c r="AX64" i="2" s="1"/>
  <c r="X64" i="1"/>
  <c r="AY64" i="2" s="1"/>
  <c r="Y64" i="1"/>
  <c r="AZ64" i="2" s="1"/>
  <c r="Z64" i="1"/>
  <c r="BA64" i="2" s="1"/>
  <c r="AA64" i="1"/>
  <c r="BB64" i="2" s="1"/>
  <c r="AB64" i="1"/>
  <c r="BC64" i="2" s="1"/>
  <c r="W65" i="1"/>
  <c r="AX65" i="2" s="1"/>
  <c r="X65" i="1"/>
  <c r="AY65" i="2" s="1"/>
  <c r="Y65" i="1"/>
  <c r="AZ65" i="2" s="1"/>
  <c r="Z65" i="1"/>
  <c r="BA65" i="2" s="1"/>
  <c r="AA65" i="1"/>
  <c r="BB65" i="2" s="1"/>
  <c r="AB65" i="1"/>
  <c r="BC65" i="2" s="1"/>
  <c r="W66" i="1"/>
  <c r="AX66" i="2" s="1"/>
  <c r="X66" i="1"/>
  <c r="AY66" i="2" s="1"/>
  <c r="Y66" i="1"/>
  <c r="AZ66" i="2" s="1"/>
  <c r="Z66" i="1"/>
  <c r="BA66" i="2" s="1"/>
  <c r="AA66" i="1"/>
  <c r="BB66" i="2" s="1"/>
  <c r="AB66" i="1"/>
  <c r="BC66" i="2" s="1"/>
  <c r="W67" i="1"/>
  <c r="AX67" i="2" s="1"/>
  <c r="X67" i="1"/>
  <c r="AY67" i="2" s="1"/>
  <c r="Y67" i="1"/>
  <c r="AZ67" i="2" s="1"/>
  <c r="Z67" i="1"/>
  <c r="BA67" i="2" s="1"/>
  <c r="AA67" i="1"/>
  <c r="BB67" i="2" s="1"/>
  <c r="AB67" i="1"/>
  <c r="BC67" i="2" s="1"/>
  <c r="W68" i="1"/>
  <c r="AX68" i="2" s="1"/>
  <c r="X68" i="1"/>
  <c r="AY68" i="2" s="1"/>
  <c r="Y68" i="1"/>
  <c r="AZ68" i="2" s="1"/>
  <c r="Z68" i="1"/>
  <c r="BA68" i="2" s="1"/>
  <c r="AA68" i="1"/>
  <c r="BB68" i="2" s="1"/>
  <c r="AB68" i="1"/>
  <c r="BC68" i="2" s="1"/>
  <c r="W69" i="1"/>
  <c r="AX69" i="2" s="1"/>
  <c r="X69" i="1"/>
  <c r="AY69" i="2" s="1"/>
  <c r="Y69" i="1"/>
  <c r="AZ69" i="2" s="1"/>
  <c r="Z69" i="1"/>
  <c r="BA69" i="2" s="1"/>
  <c r="AA69" i="1"/>
  <c r="BB69" i="2" s="1"/>
  <c r="AB69" i="1"/>
  <c r="BC69" i="2" s="1"/>
  <c r="W70" i="1"/>
  <c r="AX70" i="2" s="1"/>
  <c r="X70" i="1"/>
  <c r="AY70" i="2" s="1"/>
  <c r="Y70" i="1"/>
  <c r="AZ70" i="2" s="1"/>
  <c r="Z70" i="1"/>
  <c r="BA70" i="2" s="1"/>
  <c r="AA70" i="1"/>
  <c r="BB70" i="2" s="1"/>
  <c r="AB70" i="1"/>
  <c r="BC70" i="2" s="1"/>
  <c r="W71" i="1"/>
  <c r="AX71" i="2" s="1"/>
  <c r="X71" i="1"/>
  <c r="AY71" i="2" s="1"/>
  <c r="Y71" i="1"/>
  <c r="AZ71" i="2" s="1"/>
  <c r="Z71" i="1"/>
  <c r="BA71" i="2" s="1"/>
  <c r="AA71" i="1"/>
  <c r="BB71" i="2" s="1"/>
  <c r="AB71" i="1"/>
  <c r="BC71" i="2" s="1"/>
  <c r="W72" i="1"/>
  <c r="AX72" i="2" s="1"/>
  <c r="X72" i="1"/>
  <c r="AY72" i="2" s="1"/>
  <c r="Y72" i="1"/>
  <c r="AZ72" i="2" s="1"/>
  <c r="Z72" i="1"/>
  <c r="BA72" i="2" s="1"/>
  <c r="AA72" i="1"/>
  <c r="BB72" i="2" s="1"/>
  <c r="AB72" i="1"/>
  <c r="BC72" i="2" s="1"/>
  <c r="W73" i="1"/>
  <c r="AX73" i="2" s="1"/>
  <c r="X73" i="1"/>
  <c r="AY73" i="2" s="1"/>
  <c r="Y73" i="1"/>
  <c r="AZ73" i="2" s="1"/>
  <c r="Z73" i="1"/>
  <c r="BA73" i="2" s="1"/>
  <c r="AA73" i="1"/>
  <c r="BB73" i="2" s="1"/>
  <c r="AB73" i="1"/>
  <c r="BC73" i="2" s="1"/>
  <c r="W74" i="1"/>
  <c r="AX74" i="2" s="1"/>
  <c r="X74" i="1"/>
  <c r="AY74" i="2" s="1"/>
  <c r="Y74" i="1"/>
  <c r="AZ74" i="2" s="1"/>
  <c r="Z74" i="1"/>
  <c r="BA74" i="2" s="1"/>
  <c r="AA74" i="1"/>
  <c r="BB74" i="2" s="1"/>
  <c r="AB74" i="1"/>
  <c r="BC74" i="2" s="1"/>
  <c r="W75" i="1"/>
  <c r="AX75" i="2" s="1"/>
  <c r="X75" i="1"/>
  <c r="AY75" i="2" s="1"/>
  <c r="Y75" i="1"/>
  <c r="AZ75" i="2" s="1"/>
  <c r="Z75" i="1"/>
  <c r="BA75" i="2" s="1"/>
  <c r="AA75" i="1"/>
  <c r="BB75" i="2" s="1"/>
  <c r="AB75" i="1"/>
  <c r="BC75" i="2" s="1"/>
  <c r="W76" i="1"/>
  <c r="AX76" i="2" s="1"/>
  <c r="X76" i="1"/>
  <c r="AY76" i="2" s="1"/>
  <c r="Y76" i="1"/>
  <c r="AZ76" i="2" s="1"/>
  <c r="Z76" i="1"/>
  <c r="BA76" i="2" s="1"/>
  <c r="AA76" i="1"/>
  <c r="BB76" i="2" s="1"/>
  <c r="AB76" i="1"/>
  <c r="BC76" i="2" s="1"/>
  <c r="W77" i="1"/>
  <c r="AX77" i="2" s="1"/>
  <c r="X77" i="1"/>
  <c r="AY77" i="2" s="1"/>
  <c r="Y77" i="1"/>
  <c r="AZ77" i="2" s="1"/>
  <c r="Z77" i="1"/>
  <c r="BA77" i="2" s="1"/>
  <c r="AA77" i="1"/>
  <c r="BB77" i="2" s="1"/>
  <c r="AB77" i="1"/>
  <c r="BC77" i="2" s="1"/>
  <c r="W78" i="1"/>
  <c r="AX78" i="2" s="1"/>
  <c r="X78" i="1"/>
  <c r="AY78" i="2" s="1"/>
  <c r="Y78" i="1"/>
  <c r="AZ78" i="2" s="1"/>
  <c r="Z78" i="1"/>
  <c r="BA78" i="2" s="1"/>
  <c r="AA78" i="1"/>
  <c r="BB78" i="2" s="1"/>
  <c r="AB78" i="1"/>
  <c r="BC78" i="2" s="1"/>
  <c r="W79" i="1"/>
  <c r="AX79" i="2" s="1"/>
  <c r="X79" i="1"/>
  <c r="AY79" i="2" s="1"/>
  <c r="Y79" i="1"/>
  <c r="AZ79" i="2" s="1"/>
  <c r="Z79" i="1"/>
  <c r="BA79" i="2" s="1"/>
  <c r="AA79" i="1"/>
  <c r="BB79" i="2" s="1"/>
  <c r="AB79" i="1"/>
  <c r="BC79" i="2" s="1"/>
  <c r="W80" i="1"/>
  <c r="AX80" i="2" s="1"/>
  <c r="X80" i="1"/>
  <c r="AY80" i="2" s="1"/>
  <c r="Y80" i="1"/>
  <c r="AZ80" i="2" s="1"/>
  <c r="Z80" i="1"/>
  <c r="BA80" i="2" s="1"/>
  <c r="AA80" i="1"/>
  <c r="BB80" i="2" s="1"/>
  <c r="AB80" i="1"/>
  <c r="BC80" i="2" s="1"/>
  <c r="W81" i="1"/>
  <c r="AX81" i="2" s="1"/>
  <c r="X81" i="1"/>
  <c r="AY81" i="2" s="1"/>
  <c r="Y81" i="1"/>
  <c r="AZ81" i="2" s="1"/>
  <c r="Z81" i="1"/>
  <c r="BA81" i="2" s="1"/>
  <c r="AA81" i="1"/>
  <c r="BB81" i="2" s="1"/>
  <c r="AB81" i="1"/>
  <c r="BC81" i="2" s="1"/>
  <c r="W82" i="1"/>
  <c r="AX82" i="2" s="1"/>
  <c r="X82" i="1"/>
  <c r="AY82" i="2" s="1"/>
  <c r="Y82" i="1"/>
  <c r="AZ82" i="2" s="1"/>
  <c r="Z82" i="1"/>
  <c r="BA82" i="2" s="1"/>
  <c r="AA82" i="1"/>
  <c r="BB82" i="2" s="1"/>
  <c r="AB82" i="1"/>
  <c r="BC82" i="2" s="1"/>
  <c r="W83" i="1"/>
  <c r="AX83" i="2" s="1"/>
  <c r="X83" i="1"/>
  <c r="AY83" i="2" s="1"/>
  <c r="Y83" i="1"/>
  <c r="AZ83" i="2" s="1"/>
  <c r="Z83" i="1"/>
  <c r="BA83" i="2" s="1"/>
  <c r="AA83" i="1"/>
  <c r="BB83" i="2" s="1"/>
  <c r="AB83" i="1"/>
  <c r="BC83" i="2" s="1"/>
  <c r="W84" i="1"/>
  <c r="AX84" i="2" s="1"/>
  <c r="X84" i="1"/>
  <c r="AY84" i="2" s="1"/>
  <c r="Y84" i="1"/>
  <c r="AZ84" i="2" s="1"/>
  <c r="Z84" i="1"/>
  <c r="BA84" i="2" s="1"/>
  <c r="AA84" i="1"/>
  <c r="BB84" i="2" s="1"/>
  <c r="AB84" i="1"/>
  <c r="BC84" i="2" s="1"/>
  <c r="W85" i="1"/>
  <c r="AX85" i="2" s="1"/>
  <c r="X85" i="1"/>
  <c r="AY85" i="2" s="1"/>
  <c r="Y85" i="1"/>
  <c r="AZ85" i="2" s="1"/>
  <c r="Z85" i="1"/>
  <c r="BA85" i="2" s="1"/>
  <c r="AA85" i="1"/>
  <c r="BB85" i="2" s="1"/>
  <c r="AB85" i="1"/>
  <c r="BC85" i="2" s="1"/>
  <c r="W86" i="1"/>
  <c r="AX86" i="2" s="1"/>
  <c r="X86" i="1"/>
  <c r="AY86" i="2" s="1"/>
  <c r="Y86" i="1"/>
  <c r="AZ86" i="2" s="1"/>
  <c r="Z86" i="1"/>
  <c r="BA86" i="2" s="1"/>
  <c r="AA86" i="1"/>
  <c r="BB86" i="2" s="1"/>
  <c r="AB86" i="1"/>
  <c r="BC86" i="2" s="1"/>
  <c r="W87" i="1"/>
  <c r="AX87" i="2" s="1"/>
  <c r="X87" i="1"/>
  <c r="AY87" i="2" s="1"/>
  <c r="Y87" i="1"/>
  <c r="AZ87" i="2" s="1"/>
  <c r="Z87" i="1"/>
  <c r="BA87" i="2" s="1"/>
  <c r="AA87" i="1"/>
  <c r="BB87" i="2" s="1"/>
  <c r="AB87" i="1"/>
  <c r="BC87" i="2" s="1"/>
  <c r="W88" i="1"/>
  <c r="AX88" i="2" s="1"/>
  <c r="X88" i="1"/>
  <c r="AY88" i="2" s="1"/>
  <c r="Y88" i="1"/>
  <c r="AZ88" i="2" s="1"/>
  <c r="Z88" i="1"/>
  <c r="BA88" i="2" s="1"/>
  <c r="AA88" i="1"/>
  <c r="BB88" i="2" s="1"/>
  <c r="AB88" i="1"/>
  <c r="BC88" i="2" s="1"/>
  <c r="W89" i="1"/>
  <c r="AX89" i="2" s="1"/>
  <c r="X89" i="1"/>
  <c r="AY89" i="2" s="1"/>
  <c r="Y89" i="1"/>
  <c r="AZ89" i="2" s="1"/>
  <c r="Z89" i="1"/>
  <c r="BA89" i="2" s="1"/>
  <c r="AA89" i="1"/>
  <c r="BB89" i="2" s="1"/>
  <c r="AB89" i="1"/>
  <c r="BC89" i="2" s="1"/>
  <c r="W90" i="1"/>
  <c r="AX90" i="2" s="1"/>
  <c r="X90" i="1"/>
  <c r="AY90" i="2" s="1"/>
  <c r="Y90" i="1"/>
  <c r="AZ90" i="2" s="1"/>
  <c r="Z90" i="1"/>
  <c r="BA90" i="2" s="1"/>
  <c r="AA90" i="1"/>
  <c r="BB90" i="2" s="1"/>
  <c r="AB90" i="1"/>
  <c r="BC90" i="2" s="1"/>
  <c r="W91" i="1"/>
  <c r="AX91" i="2" s="1"/>
  <c r="X91" i="1"/>
  <c r="AY91" i="2" s="1"/>
  <c r="Y91" i="1"/>
  <c r="AZ91" i="2" s="1"/>
  <c r="Z91" i="1"/>
  <c r="BA91" i="2" s="1"/>
  <c r="AA91" i="1"/>
  <c r="BB91" i="2" s="1"/>
  <c r="AB91" i="1"/>
  <c r="BC91" i="2" s="1"/>
  <c r="W92" i="1"/>
  <c r="AX92" i="2" s="1"/>
  <c r="X92" i="1"/>
  <c r="AY92" i="2" s="1"/>
  <c r="Y92" i="1"/>
  <c r="AZ92" i="2" s="1"/>
  <c r="Z92" i="1"/>
  <c r="BA92" i="2" s="1"/>
  <c r="AA92" i="1"/>
  <c r="BB92" i="2" s="1"/>
  <c r="AB92" i="1"/>
  <c r="BC92" i="2" s="1"/>
  <c r="W93" i="1"/>
  <c r="AX93" i="2" s="1"/>
  <c r="X93" i="1"/>
  <c r="AY93" i="2" s="1"/>
  <c r="Y93" i="1"/>
  <c r="AZ93" i="2" s="1"/>
  <c r="Z93" i="1"/>
  <c r="BA93" i="2" s="1"/>
  <c r="AA93" i="1"/>
  <c r="BB93" i="2" s="1"/>
  <c r="AB93" i="1"/>
  <c r="BC93" i="2" s="1"/>
  <c r="W94" i="1"/>
  <c r="AX94" i="2" s="1"/>
  <c r="X94" i="1"/>
  <c r="AY94" i="2" s="1"/>
  <c r="Y94" i="1"/>
  <c r="AZ94" i="2" s="1"/>
  <c r="Z94" i="1"/>
  <c r="BA94" i="2" s="1"/>
  <c r="AA94" i="1"/>
  <c r="BB94" i="2" s="1"/>
  <c r="AB94" i="1"/>
  <c r="BC94" i="2" s="1"/>
  <c r="W95" i="1"/>
  <c r="AX95" i="2" s="1"/>
  <c r="X95" i="1"/>
  <c r="AY95" i="2" s="1"/>
  <c r="Y95" i="1"/>
  <c r="AZ95" i="2" s="1"/>
  <c r="Z95" i="1"/>
  <c r="BA95" i="2" s="1"/>
  <c r="AA95" i="1"/>
  <c r="BB95" i="2" s="1"/>
  <c r="AB95" i="1"/>
  <c r="BC95" i="2" s="1"/>
  <c r="W96" i="1"/>
  <c r="AX96" i="2" s="1"/>
  <c r="X96" i="1"/>
  <c r="AY96" i="2" s="1"/>
  <c r="Y96" i="1"/>
  <c r="AZ96" i="2" s="1"/>
  <c r="Z96" i="1"/>
  <c r="BA96" i="2" s="1"/>
  <c r="AA96" i="1"/>
  <c r="BB96" i="2" s="1"/>
  <c r="AB96" i="1"/>
  <c r="BC96" i="2" s="1"/>
  <c r="W97" i="1"/>
  <c r="AX97" i="2" s="1"/>
  <c r="X97" i="1"/>
  <c r="AY97" i="2" s="1"/>
  <c r="Y97" i="1"/>
  <c r="AZ97" i="2" s="1"/>
  <c r="Z97" i="1"/>
  <c r="BA97" i="2" s="1"/>
  <c r="AA97" i="1"/>
  <c r="BB97" i="2" s="1"/>
  <c r="AB97" i="1"/>
  <c r="BC97" i="2" s="1"/>
  <c r="W98" i="1"/>
  <c r="AX98" i="2" s="1"/>
  <c r="X98" i="1"/>
  <c r="AY98" i="2" s="1"/>
  <c r="Y98" i="1"/>
  <c r="AZ98" i="2" s="1"/>
  <c r="Z98" i="1"/>
  <c r="BA98" i="2" s="1"/>
  <c r="AA98" i="1"/>
  <c r="BB98" i="2" s="1"/>
  <c r="AB98" i="1"/>
  <c r="BC98" i="2" s="1"/>
  <c r="W99" i="1"/>
  <c r="AX99" i="2" s="1"/>
  <c r="X99" i="1"/>
  <c r="AY99" i="2" s="1"/>
  <c r="Y99" i="1"/>
  <c r="AZ99" i="2" s="1"/>
  <c r="Z99" i="1"/>
  <c r="BA99" i="2" s="1"/>
  <c r="AA99" i="1"/>
  <c r="BB99" i="2" s="1"/>
  <c r="AB99" i="1"/>
  <c r="BC99" i="2" s="1"/>
  <c r="W100" i="1"/>
  <c r="AX100" i="2" s="1"/>
  <c r="X100" i="1"/>
  <c r="AY100" i="2" s="1"/>
  <c r="Y100" i="1"/>
  <c r="AZ100" i="2" s="1"/>
  <c r="Z100" i="1"/>
  <c r="BA100" i="2" s="1"/>
  <c r="AA100" i="1"/>
  <c r="BB100" i="2" s="1"/>
  <c r="AB100" i="1"/>
  <c r="BC100" i="2" s="1"/>
  <c r="W101" i="1"/>
  <c r="AX101" i="2" s="1"/>
  <c r="X101" i="1"/>
  <c r="AY101" i="2" s="1"/>
  <c r="Y101" i="1"/>
  <c r="AZ101" i="2" s="1"/>
  <c r="Z101" i="1"/>
  <c r="BA101" i="2" s="1"/>
  <c r="AA101" i="1"/>
  <c r="BB101" i="2" s="1"/>
  <c r="AB101" i="1"/>
  <c r="BC101" i="2" s="1"/>
  <c r="W102" i="1"/>
  <c r="AX102" i="2" s="1"/>
  <c r="X102" i="1"/>
  <c r="AY102" i="2" s="1"/>
  <c r="Y102" i="1"/>
  <c r="AZ102" i="2" s="1"/>
  <c r="Z102" i="1"/>
  <c r="BA102" i="2" s="1"/>
  <c r="AA102" i="1"/>
  <c r="BB102" i="2" s="1"/>
  <c r="AB102" i="1"/>
  <c r="BC102" i="2" s="1"/>
  <c r="W103" i="1"/>
  <c r="AX103" i="2" s="1"/>
  <c r="X103" i="1"/>
  <c r="AY103" i="2" s="1"/>
  <c r="Y103" i="1"/>
  <c r="AZ103" i="2" s="1"/>
  <c r="Z103" i="1"/>
  <c r="BA103" i="2" s="1"/>
  <c r="AA103" i="1"/>
  <c r="BB103" i="2" s="1"/>
  <c r="AB103" i="1"/>
  <c r="BC103" i="2" s="1"/>
  <c r="W104" i="1"/>
  <c r="AX104" i="2" s="1"/>
  <c r="X104" i="1"/>
  <c r="AY104" i="2" s="1"/>
  <c r="Y104" i="1"/>
  <c r="AZ104" i="2" s="1"/>
  <c r="Z104" i="1"/>
  <c r="BA104" i="2" s="1"/>
  <c r="AA104" i="1"/>
  <c r="BB104" i="2" s="1"/>
  <c r="AB104" i="1"/>
  <c r="BC104" i="2" s="1"/>
  <c r="W105" i="1"/>
  <c r="AX105" i="2" s="1"/>
  <c r="X105" i="1"/>
  <c r="AY105" i="2" s="1"/>
  <c r="Y105" i="1"/>
  <c r="AZ105" i="2" s="1"/>
  <c r="Z105" i="1"/>
  <c r="BA105" i="2" s="1"/>
  <c r="AA105" i="1"/>
  <c r="BB105" i="2" s="1"/>
  <c r="AB105" i="1"/>
  <c r="BC105" i="2" s="1"/>
  <c r="W106" i="1"/>
  <c r="AX106" i="2" s="1"/>
  <c r="X106" i="1"/>
  <c r="AY106" i="2" s="1"/>
  <c r="Y106" i="1"/>
  <c r="AZ106" i="2" s="1"/>
  <c r="Z106" i="1"/>
  <c r="BA106" i="2" s="1"/>
  <c r="AA106" i="1"/>
  <c r="BB106" i="2" s="1"/>
  <c r="AB106" i="1"/>
  <c r="BC106" i="2" s="1"/>
  <c r="W107" i="1"/>
  <c r="AX107" i="2" s="1"/>
  <c r="X107" i="1"/>
  <c r="AY107" i="2" s="1"/>
  <c r="Y107" i="1"/>
  <c r="AZ107" i="2" s="1"/>
  <c r="Z107" i="1"/>
  <c r="BA107" i="2" s="1"/>
  <c r="AA107" i="1"/>
  <c r="BB107" i="2" s="1"/>
  <c r="AB107" i="1"/>
  <c r="BC107" i="2" s="1"/>
  <c r="W108" i="1"/>
  <c r="AX108" i="2" s="1"/>
  <c r="X108" i="1"/>
  <c r="AY108" i="2" s="1"/>
  <c r="Y108" i="1"/>
  <c r="AZ108" i="2" s="1"/>
  <c r="Z108" i="1"/>
  <c r="BA108" i="2" s="1"/>
  <c r="AA108" i="1"/>
  <c r="BB108" i="2" s="1"/>
  <c r="AB108" i="1"/>
  <c r="BC108" i="2" s="1"/>
  <c r="W109" i="1"/>
  <c r="AX109" i="2" s="1"/>
  <c r="X109" i="1"/>
  <c r="AY109" i="2" s="1"/>
  <c r="Y109" i="1"/>
  <c r="AZ109" i="2" s="1"/>
  <c r="Z109" i="1"/>
  <c r="BA109" i="2" s="1"/>
  <c r="AA109" i="1"/>
  <c r="BB109" i="2" s="1"/>
  <c r="AB109" i="1"/>
  <c r="BC109" i="2" s="1"/>
  <c r="W110" i="1"/>
  <c r="AX110" i="2" s="1"/>
  <c r="X110" i="1"/>
  <c r="AY110" i="2" s="1"/>
  <c r="Y110" i="1"/>
  <c r="AZ110" i="2" s="1"/>
  <c r="Z110" i="1"/>
  <c r="BA110" i="2" s="1"/>
  <c r="AA110" i="1"/>
  <c r="BB110" i="2" s="1"/>
  <c r="AB110" i="1"/>
  <c r="BC110" i="2" s="1"/>
  <c r="W111" i="1"/>
  <c r="AX111" i="2" s="1"/>
  <c r="X111" i="1"/>
  <c r="AY111" i="2" s="1"/>
  <c r="Y111" i="1"/>
  <c r="AZ111" i="2" s="1"/>
  <c r="Z111" i="1"/>
  <c r="BA111" i="2" s="1"/>
  <c r="AA111" i="1"/>
  <c r="BB111" i="2" s="1"/>
  <c r="AB111" i="1"/>
  <c r="BC111" i="2" s="1"/>
  <c r="W112" i="1"/>
  <c r="AX112" i="2" s="1"/>
  <c r="X112" i="1"/>
  <c r="AY112" i="2" s="1"/>
  <c r="Y112" i="1"/>
  <c r="AZ112" i="2" s="1"/>
  <c r="Z112" i="1"/>
  <c r="BA112" i="2" s="1"/>
  <c r="AA112" i="1"/>
  <c r="BB112" i="2" s="1"/>
  <c r="AB112" i="1"/>
  <c r="BC112" i="2" s="1"/>
  <c r="W113" i="1"/>
  <c r="AX113" i="2" s="1"/>
  <c r="X113" i="1"/>
  <c r="AY113" i="2" s="1"/>
  <c r="Y113" i="1"/>
  <c r="AZ113" i="2" s="1"/>
  <c r="Z113" i="1"/>
  <c r="BA113" i="2" s="1"/>
  <c r="AA113" i="1"/>
  <c r="BB113" i="2" s="1"/>
  <c r="AB113" i="1"/>
  <c r="BC113" i="2" s="1"/>
  <c r="W114" i="1"/>
  <c r="AX114" i="2" s="1"/>
  <c r="X114" i="1"/>
  <c r="AY114" i="2" s="1"/>
  <c r="Y114" i="1"/>
  <c r="AZ114" i="2" s="1"/>
  <c r="Z114" i="1"/>
  <c r="BA114" i="2" s="1"/>
  <c r="AA114" i="1"/>
  <c r="BB114" i="2" s="1"/>
  <c r="AB114" i="1"/>
  <c r="BC114" i="2" s="1"/>
  <c r="W115" i="1"/>
  <c r="AX115" i="2" s="1"/>
  <c r="X115" i="1"/>
  <c r="AY115" i="2" s="1"/>
  <c r="Y115" i="1"/>
  <c r="AZ115" i="2" s="1"/>
  <c r="Z115" i="1"/>
  <c r="BA115" i="2" s="1"/>
  <c r="AA115" i="1"/>
  <c r="BB115" i="2" s="1"/>
  <c r="AB115" i="1"/>
  <c r="BC115" i="2" s="1"/>
  <c r="W116" i="1"/>
  <c r="AX116" i="2" s="1"/>
  <c r="X116" i="1"/>
  <c r="AY116" i="2" s="1"/>
  <c r="Y116" i="1"/>
  <c r="AZ116" i="2" s="1"/>
  <c r="Z116" i="1"/>
  <c r="BA116" i="2" s="1"/>
  <c r="AA116" i="1"/>
  <c r="BB116" i="2" s="1"/>
  <c r="AB116" i="1"/>
  <c r="BC116" i="2" s="1"/>
  <c r="W117" i="1"/>
  <c r="AX117" i="2" s="1"/>
  <c r="X117" i="1"/>
  <c r="AY117" i="2" s="1"/>
  <c r="Y117" i="1"/>
  <c r="AZ117" i="2" s="1"/>
  <c r="Z117" i="1"/>
  <c r="BA117" i="2" s="1"/>
  <c r="AA117" i="1"/>
  <c r="BB117" i="2" s="1"/>
  <c r="AB117" i="1"/>
  <c r="BC117" i="2" s="1"/>
  <c r="W118" i="1"/>
  <c r="AX118" i="2" s="1"/>
  <c r="X118" i="1"/>
  <c r="AY118" i="2" s="1"/>
  <c r="Y118" i="1"/>
  <c r="AZ118" i="2" s="1"/>
  <c r="Z118" i="1"/>
  <c r="BA118" i="2" s="1"/>
  <c r="AA118" i="1"/>
  <c r="BB118" i="2" s="1"/>
  <c r="AB118" i="1"/>
  <c r="BC118" i="2" s="1"/>
  <c r="W119" i="1"/>
  <c r="AX119" i="2" s="1"/>
  <c r="X119" i="1"/>
  <c r="AY119" i="2" s="1"/>
  <c r="Y119" i="1"/>
  <c r="AZ119" i="2" s="1"/>
  <c r="Z119" i="1"/>
  <c r="BA119" i="2" s="1"/>
  <c r="AA119" i="1"/>
  <c r="BB119" i="2" s="1"/>
  <c r="AB119" i="1"/>
  <c r="BC119" i="2" s="1"/>
  <c r="W120" i="1"/>
  <c r="AX120" i="2" s="1"/>
  <c r="X120" i="1"/>
  <c r="AY120" i="2" s="1"/>
  <c r="Y120" i="1"/>
  <c r="AZ120" i="2" s="1"/>
  <c r="Z120" i="1"/>
  <c r="BA120" i="2" s="1"/>
  <c r="AA120" i="1"/>
  <c r="BB120" i="2" s="1"/>
  <c r="AB120" i="1"/>
  <c r="BC120" i="2" s="1"/>
  <c r="W121" i="1"/>
  <c r="AX121" i="2" s="1"/>
  <c r="X121" i="1"/>
  <c r="AY121" i="2" s="1"/>
  <c r="Y121" i="1"/>
  <c r="AZ121" i="2" s="1"/>
  <c r="Z121" i="1"/>
  <c r="BA121" i="2" s="1"/>
  <c r="AA121" i="1"/>
  <c r="BB121" i="2" s="1"/>
  <c r="AB121" i="1"/>
  <c r="BC121" i="2" s="1"/>
  <c r="W122" i="1"/>
  <c r="AX122" i="2" s="1"/>
  <c r="X122" i="1"/>
  <c r="AY122" i="2" s="1"/>
  <c r="Y122" i="1"/>
  <c r="AZ122" i="2" s="1"/>
  <c r="Z122" i="1"/>
  <c r="BA122" i="2" s="1"/>
  <c r="AA122" i="1"/>
  <c r="BB122" i="2" s="1"/>
  <c r="AB122" i="1"/>
  <c r="BC122" i="2" s="1"/>
  <c r="W123" i="1"/>
  <c r="AX123" i="2" s="1"/>
  <c r="X123" i="1"/>
  <c r="AY123" i="2" s="1"/>
  <c r="Y123" i="1"/>
  <c r="AZ123" i="2" s="1"/>
  <c r="Z123" i="1"/>
  <c r="BA123" i="2" s="1"/>
  <c r="AA123" i="1"/>
  <c r="BB123" i="2" s="1"/>
  <c r="AB123" i="1"/>
  <c r="BC123" i="2" s="1"/>
  <c r="W124" i="1"/>
  <c r="AX124" i="2" s="1"/>
  <c r="X124" i="1"/>
  <c r="AY124" i="2" s="1"/>
  <c r="Y124" i="1"/>
  <c r="AZ124" i="2" s="1"/>
  <c r="Z124" i="1"/>
  <c r="BA124" i="2" s="1"/>
  <c r="AA124" i="1"/>
  <c r="BB124" i="2" s="1"/>
  <c r="AB124" i="1"/>
  <c r="BC124" i="2" s="1"/>
  <c r="W125" i="1"/>
  <c r="AX125" i="2" s="1"/>
  <c r="X125" i="1"/>
  <c r="AY125" i="2" s="1"/>
  <c r="Y125" i="1"/>
  <c r="AZ125" i="2" s="1"/>
  <c r="Z125" i="1"/>
  <c r="BA125" i="2" s="1"/>
  <c r="AA125" i="1"/>
  <c r="BB125" i="2" s="1"/>
  <c r="AB125" i="1"/>
  <c r="BC125" i="2" s="1"/>
  <c r="W126" i="1"/>
  <c r="AX126" i="2" s="1"/>
  <c r="X126" i="1"/>
  <c r="AY126" i="2" s="1"/>
  <c r="Y126" i="1"/>
  <c r="AZ126" i="2" s="1"/>
  <c r="Z126" i="1"/>
  <c r="BA126" i="2" s="1"/>
  <c r="AA126" i="1"/>
  <c r="BB126" i="2" s="1"/>
  <c r="AB126" i="1"/>
  <c r="BC126" i="2" s="1"/>
  <c r="W127" i="1"/>
  <c r="AX127" i="2" s="1"/>
  <c r="X127" i="1"/>
  <c r="AY127" i="2" s="1"/>
  <c r="Y127" i="1"/>
  <c r="AZ127" i="2" s="1"/>
  <c r="Z127" i="1"/>
  <c r="BA127" i="2" s="1"/>
  <c r="AA127" i="1"/>
  <c r="BB127" i="2" s="1"/>
  <c r="AB127" i="1"/>
  <c r="BC127" i="2" s="1"/>
  <c r="W128" i="1"/>
  <c r="AX128" i="2" s="1"/>
  <c r="X128" i="1"/>
  <c r="AY128" i="2" s="1"/>
  <c r="Y128" i="1"/>
  <c r="AZ128" i="2" s="1"/>
  <c r="Z128" i="1"/>
  <c r="BA128" i="2" s="1"/>
  <c r="AA128" i="1"/>
  <c r="BB128" i="2" s="1"/>
  <c r="AB128" i="1"/>
  <c r="BC128" i="2" s="1"/>
  <c r="W129" i="1"/>
  <c r="AX129" i="2" s="1"/>
  <c r="X129" i="1"/>
  <c r="AY129" i="2" s="1"/>
  <c r="Y129" i="1"/>
  <c r="AZ129" i="2" s="1"/>
  <c r="Z129" i="1"/>
  <c r="BA129" i="2" s="1"/>
  <c r="AA129" i="1"/>
  <c r="BB129" i="2" s="1"/>
  <c r="AB129" i="1"/>
  <c r="BC129" i="2" s="1"/>
  <c r="W130" i="1"/>
  <c r="AX130" i="2" s="1"/>
  <c r="X130" i="1"/>
  <c r="AY130" i="2" s="1"/>
  <c r="Y130" i="1"/>
  <c r="AZ130" i="2" s="1"/>
  <c r="Z130" i="1"/>
  <c r="BA130" i="2" s="1"/>
  <c r="AA130" i="1"/>
  <c r="BB130" i="2" s="1"/>
  <c r="AB130" i="1"/>
  <c r="BC130" i="2" s="1"/>
  <c r="W131" i="1"/>
  <c r="AX131" i="2" s="1"/>
  <c r="X131" i="1"/>
  <c r="AY131" i="2" s="1"/>
  <c r="Y131" i="1"/>
  <c r="AZ131" i="2" s="1"/>
  <c r="Z131" i="1"/>
  <c r="BA131" i="2" s="1"/>
  <c r="AA131" i="1"/>
  <c r="BB131" i="2" s="1"/>
  <c r="AB131" i="1"/>
  <c r="BC131" i="2" s="1"/>
  <c r="W132" i="1"/>
  <c r="AX132" i="2" s="1"/>
  <c r="X132" i="1"/>
  <c r="AY132" i="2" s="1"/>
  <c r="Y132" i="1"/>
  <c r="AZ132" i="2" s="1"/>
  <c r="Z132" i="1"/>
  <c r="BA132" i="2" s="1"/>
  <c r="AA132" i="1"/>
  <c r="BB132" i="2" s="1"/>
  <c r="AB132" i="1"/>
  <c r="BC132" i="2" s="1"/>
  <c r="W133" i="1"/>
  <c r="AX133" i="2" s="1"/>
  <c r="X133" i="1"/>
  <c r="AY133" i="2" s="1"/>
  <c r="Y133" i="1"/>
  <c r="AZ133" i="2" s="1"/>
  <c r="Z133" i="1"/>
  <c r="BA133" i="2" s="1"/>
  <c r="AA133" i="1"/>
  <c r="BB133" i="2" s="1"/>
  <c r="AB133" i="1"/>
  <c r="BC133" i="2" s="1"/>
  <c r="W134" i="1"/>
  <c r="AX134" i="2" s="1"/>
  <c r="X134" i="1"/>
  <c r="AY134" i="2" s="1"/>
  <c r="Y134" i="1"/>
  <c r="AZ134" i="2" s="1"/>
  <c r="Z134" i="1"/>
  <c r="BA134" i="2" s="1"/>
  <c r="AA134" i="1"/>
  <c r="BB134" i="2" s="1"/>
  <c r="AB134" i="1"/>
  <c r="BC134" i="2" s="1"/>
  <c r="W135" i="1"/>
  <c r="AX135" i="2" s="1"/>
  <c r="X135" i="1"/>
  <c r="AY135" i="2" s="1"/>
  <c r="Y135" i="1"/>
  <c r="AZ135" i="2" s="1"/>
  <c r="Z135" i="1"/>
  <c r="BA135" i="2" s="1"/>
  <c r="AA135" i="1"/>
  <c r="BB135" i="2" s="1"/>
  <c r="AB135" i="1"/>
  <c r="BC135" i="2" s="1"/>
  <c r="W136" i="1"/>
  <c r="AX136" i="2" s="1"/>
  <c r="X136" i="1"/>
  <c r="AY136" i="2" s="1"/>
  <c r="Y136" i="1"/>
  <c r="AZ136" i="2" s="1"/>
  <c r="Z136" i="1"/>
  <c r="BA136" i="2" s="1"/>
  <c r="AA136" i="1"/>
  <c r="BB136" i="2" s="1"/>
  <c r="AB136" i="1"/>
  <c r="BC136" i="2" s="1"/>
  <c r="W137" i="1"/>
  <c r="AX137" i="2" s="1"/>
  <c r="X137" i="1"/>
  <c r="AY137" i="2" s="1"/>
  <c r="Y137" i="1"/>
  <c r="AZ137" i="2" s="1"/>
  <c r="Z137" i="1"/>
  <c r="BA137" i="2" s="1"/>
  <c r="AA137" i="1"/>
  <c r="BB137" i="2" s="1"/>
  <c r="AB137" i="1"/>
  <c r="BC137" i="2" s="1"/>
  <c r="W138" i="1"/>
  <c r="AX138" i="2" s="1"/>
  <c r="X138" i="1"/>
  <c r="AY138" i="2" s="1"/>
  <c r="Y138" i="1"/>
  <c r="AZ138" i="2" s="1"/>
  <c r="Z138" i="1"/>
  <c r="BA138" i="2" s="1"/>
  <c r="AA138" i="1"/>
  <c r="BB138" i="2" s="1"/>
  <c r="AB138" i="1"/>
  <c r="BC138" i="2" s="1"/>
  <c r="W139" i="1"/>
  <c r="AX139" i="2" s="1"/>
  <c r="X139" i="1"/>
  <c r="AY139" i="2" s="1"/>
  <c r="Y139" i="1"/>
  <c r="AZ139" i="2" s="1"/>
  <c r="Z139" i="1"/>
  <c r="BA139" i="2" s="1"/>
  <c r="AA139" i="1"/>
  <c r="BB139" i="2" s="1"/>
  <c r="AB139" i="1"/>
  <c r="BC139" i="2" s="1"/>
  <c r="W140" i="1"/>
  <c r="AX140" i="2" s="1"/>
  <c r="X140" i="1"/>
  <c r="AY140" i="2" s="1"/>
  <c r="Y140" i="1"/>
  <c r="AZ140" i="2" s="1"/>
  <c r="Z140" i="1"/>
  <c r="BA140" i="2" s="1"/>
  <c r="AA140" i="1"/>
  <c r="BB140" i="2" s="1"/>
  <c r="AB140" i="1"/>
  <c r="BC140" i="2" s="1"/>
  <c r="W141" i="1"/>
  <c r="AX141" i="2" s="1"/>
  <c r="X141" i="1"/>
  <c r="AY141" i="2" s="1"/>
  <c r="Y141" i="1"/>
  <c r="AZ141" i="2" s="1"/>
  <c r="Z141" i="1"/>
  <c r="BA141" i="2" s="1"/>
  <c r="AA141" i="1"/>
  <c r="BB141" i="2" s="1"/>
  <c r="AB141" i="1"/>
  <c r="BC141" i="2" s="1"/>
  <c r="W142" i="1"/>
  <c r="AX142" i="2" s="1"/>
  <c r="X142" i="1"/>
  <c r="AY142" i="2" s="1"/>
  <c r="Y142" i="1"/>
  <c r="AZ142" i="2" s="1"/>
  <c r="Z142" i="1"/>
  <c r="BA142" i="2" s="1"/>
  <c r="AA142" i="1"/>
  <c r="BB142" i="2" s="1"/>
  <c r="AB142" i="1"/>
  <c r="BC142" i="2" s="1"/>
  <c r="W143" i="1"/>
  <c r="AX143" i="2" s="1"/>
  <c r="X143" i="1"/>
  <c r="AY143" i="2" s="1"/>
  <c r="Y143" i="1"/>
  <c r="AZ143" i="2" s="1"/>
  <c r="Z143" i="1"/>
  <c r="BA143" i="2" s="1"/>
  <c r="AA143" i="1"/>
  <c r="BB143" i="2" s="1"/>
  <c r="AB143" i="1"/>
  <c r="BC143" i="2" s="1"/>
  <c r="W144" i="1"/>
  <c r="AX144" i="2" s="1"/>
  <c r="X144" i="1"/>
  <c r="AY144" i="2" s="1"/>
  <c r="Y144" i="1"/>
  <c r="AZ144" i="2" s="1"/>
  <c r="Z144" i="1"/>
  <c r="BA144" i="2" s="1"/>
  <c r="AA144" i="1"/>
  <c r="BB144" i="2" s="1"/>
  <c r="AB144" i="1"/>
  <c r="BC144" i="2" s="1"/>
  <c r="W145" i="1"/>
  <c r="AX145" i="2" s="1"/>
  <c r="X145" i="1"/>
  <c r="AY145" i="2" s="1"/>
  <c r="Y145" i="1"/>
  <c r="AZ145" i="2" s="1"/>
  <c r="Z145" i="1"/>
  <c r="BA145" i="2" s="1"/>
  <c r="AA145" i="1"/>
  <c r="BB145" i="2" s="1"/>
  <c r="AB145" i="1"/>
  <c r="BC145" i="2" s="1"/>
  <c r="W146" i="1"/>
  <c r="AX146" i="2" s="1"/>
  <c r="X146" i="1"/>
  <c r="AY146" i="2" s="1"/>
  <c r="Y146" i="1"/>
  <c r="AZ146" i="2" s="1"/>
  <c r="Z146" i="1"/>
  <c r="BA146" i="2" s="1"/>
  <c r="AA146" i="1"/>
  <c r="BB146" i="2" s="1"/>
  <c r="AB146" i="1"/>
  <c r="BC146" i="2" s="1"/>
  <c r="W147" i="1"/>
  <c r="AX147" i="2" s="1"/>
  <c r="X147" i="1"/>
  <c r="AY147" i="2" s="1"/>
  <c r="Y147" i="1"/>
  <c r="AZ147" i="2" s="1"/>
  <c r="Z147" i="1"/>
  <c r="BA147" i="2" s="1"/>
  <c r="AA147" i="1"/>
  <c r="BB147" i="2" s="1"/>
  <c r="AB147" i="1"/>
  <c r="BC147" i="2" s="1"/>
  <c r="W148" i="1"/>
  <c r="AX148" i="2" s="1"/>
  <c r="X148" i="1"/>
  <c r="AY148" i="2" s="1"/>
  <c r="Y148" i="1"/>
  <c r="AZ148" i="2" s="1"/>
  <c r="Z148" i="1"/>
  <c r="BA148" i="2" s="1"/>
  <c r="AA148" i="1"/>
  <c r="BB148" i="2" s="1"/>
  <c r="AB148" i="1"/>
  <c r="BC148" i="2" s="1"/>
  <c r="W149" i="1"/>
  <c r="AX149" i="2" s="1"/>
  <c r="X149" i="1"/>
  <c r="AY149" i="2" s="1"/>
  <c r="Y149" i="1"/>
  <c r="AZ149" i="2" s="1"/>
  <c r="Z149" i="1"/>
  <c r="BA149" i="2" s="1"/>
  <c r="AA149" i="1"/>
  <c r="BB149" i="2" s="1"/>
  <c r="AB149" i="1"/>
  <c r="BC149" i="2" s="1"/>
  <c r="W150" i="1"/>
  <c r="AX150" i="2" s="1"/>
  <c r="X150" i="1"/>
  <c r="AY150" i="2" s="1"/>
  <c r="Y150" i="1"/>
  <c r="AZ150" i="2" s="1"/>
  <c r="Z150" i="1"/>
  <c r="BA150" i="2" s="1"/>
  <c r="AA150" i="1"/>
  <c r="BB150" i="2" s="1"/>
  <c r="AB150" i="1"/>
  <c r="BC150" i="2" s="1"/>
  <c r="W151" i="1"/>
  <c r="AX151" i="2" s="1"/>
  <c r="X151" i="1"/>
  <c r="AY151" i="2" s="1"/>
  <c r="Y151" i="1"/>
  <c r="AZ151" i="2" s="1"/>
  <c r="Z151" i="1"/>
  <c r="BA151" i="2" s="1"/>
  <c r="AA151" i="1"/>
  <c r="BB151" i="2" s="1"/>
  <c r="AB151" i="1"/>
  <c r="BC151" i="2" s="1"/>
  <c r="W152" i="1"/>
  <c r="AX152" i="2" s="1"/>
  <c r="X152" i="1"/>
  <c r="AY152" i="2" s="1"/>
  <c r="Y152" i="1"/>
  <c r="AZ152" i="2" s="1"/>
  <c r="Z152" i="1"/>
  <c r="BA152" i="2" s="1"/>
  <c r="AA152" i="1"/>
  <c r="BB152" i="2" s="1"/>
  <c r="AB152" i="1"/>
  <c r="BC152" i="2" s="1"/>
  <c r="W153" i="1"/>
  <c r="AX153" i="2" s="1"/>
  <c r="X153" i="1"/>
  <c r="AY153" i="2" s="1"/>
  <c r="Y153" i="1"/>
  <c r="AZ153" i="2" s="1"/>
  <c r="Z153" i="1"/>
  <c r="BA153" i="2" s="1"/>
  <c r="AA153" i="1"/>
  <c r="BB153" i="2" s="1"/>
  <c r="AB153" i="1"/>
  <c r="BC153" i="2" s="1"/>
  <c r="W154" i="1"/>
  <c r="AX154" i="2" s="1"/>
  <c r="X154" i="1"/>
  <c r="AY154" i="2" s="1"/>
  <c r="Y154" i="1"/>
  <c r="AZ154" i="2" s="1"/>
  <c r="Z154" i="1"/>
  <c r="BA154" i="2" s="1"/>
  <c r="AA154" i="1"/>
  <c r="BB154" i="2" s="1"/>
  <c r="AB154" i="1"/>
  <c r="BC154" i="2" s="1"/>
  <c r="W155" i="1"/>
  <c r="AX155" i="2" s="1"/>
  <c r="X155" i="1"/>
  <c r="AY155" i="2" s="1"/>
  <c r="Y155" i="1"/>
  <c r="AZ155" i="2" s="1"/>
  <c r="Z155" i="1"/>
  <c r="BA155" i="2" s="1"/>
  <c r="AA155" i="1"/>
  <c r="BB155" i="2" s="1"/>
  <c r="AB155" i="1"/>
  <c r="BC155" i="2" s="1"/>
  <c r="W156" i="1"/>
  <c r="AX156" i="2" s="1"/>
  <c r="X156" i="1"/>
  <c r="AY156" i="2" s="1"/>
  <c r="Y156" i="1"/>
  <c r="AZ156" i="2" s="1"/>
  <c r="Z156" i="1"/>
  <c r="BA156" i="2" s="1"/>
  <c r="AA156" i="1"/>
  <c r="BB156" i="2" s="1"/>
  <c r="AB156" i="1"/>
  <c r="BC156" i="2" s="1"/>
  <c r="W157" i="1"/>
  <c r="AX157" i="2" s="1"/>
  <c r="X157" i="1"/>
  <c r="AY157" i="2" s="1"/>
  <c r="Y157" i="1"/>
  <c r="AZ157" i="2" s="1"/>
  <c r="Z157" i="1"/>
  <c r="BA157" i="2" s="1"/>
  <c r="AA157" i="1"/>
  <c r="BB157" i="2" s="1"/>
  <c r="AB157" i="1"/>
  <c r="BC157" i="2" s="1"/>
  <c r="W158" i="1"/>
  <c r="AX158" i="2" s="1"/>
  <c r="X158" i="1"/>
  <c r="AY158" i="2" s="1"/>
  <c r="Y158" i="1"/>
  <c r="AZ158" i="2" s="1"/>
  <c r="Z158" i="1"/>
  <c r="BA158" i="2" s="1"/>
  <c r="AA158" i="1"/>
  <c r="BB158" i="2" s="1"/>
  <c r="AB158" i="1"/>
  <c r="BC158" i="2" s="1"/>
  <c r="W159" i="1"/>
  <c r="AX159" i="2" s="1"/>
  <c r="X159" i="1"/>
  <c r="AY159" i="2" s="1"/>
  <c r="Y159" i="1"/>
  <c r="AZ159" i="2" s="1"/>
  <c r="Z159" i="1"/>
  <c r="BA159" i="2" s="1"/>
  <c r="AA159" i="1"/>
  <c r="BB159" i="2" s="1"/>
  <c r="AB159" i="1"/>
  <c r="BC159" i="2" s="1"/>
  <c r="W160" i="1"/>
  <c r="AX160" i="2" s="1"/>
  <c r="X160" i="1"/>
  <c r="AY160" i="2" s="1"/>
  <c r="Y160" i="1"/>
  <c r="AZ160" i="2" s="1"/>
  <c r="Z160" i="1"/>
  <c r="BA160" i="2" s="1"/>
  <c r="AA160" i="1"/>
  <c r="BB160" i="2" s="1"/>
  <c r="AB160" i="1"/>
  <c r="BC160" i="2" s="1"/>
  <c r="W161" i="1"/>
  <c r="AX161" i="2" s="1"/>
  <c r="X161" i="1"/>
  <c r="AY161" i="2" s="1"/>
  <c r="Y161" i="1"/>
  <c r="AZ161" i="2" s="1"/>
  <c r="Z161" i="1"/>
  <c r="BA161" i="2" s="1"/>
  <c r="AA161" i="1"/>
  <c r="BB161" i="2" s="1"/>
  <c r="AB161" i="1"/>
  <c r="BC161" i="2" s="1"/>
  <c r="W162" i="1"/>
  <c r="AX162" i="2" s="1"/>
  <c r="X162" i="1"/>
  <c r="AY162" i="2" s="1"/>
  <c r="Y162" i="1"/>
  <c r="AZ162" i="2" s="1"/>
  <c r="Z162" i="1"/>
  <c r="BA162" i="2" s="1"/>
  <c r="AA162" i="1"/>
  <c r="BB162" i="2" s="1"/>
  <c r="AB162" i="1"/>
  <c r="BC162" i="2" s="1"/>
  <c r="W163" i="1"/>
  <c r="AX163" i="2" s="1"/>
  <c r="X163" i="1"/>
  <c r="AY163" i="2" s="1"/>
  <c r="Y163" i="1"/>
  <c r="AZ163" i="2" s="1"/>
  <c r="Z163" i="1"/>
  <c r="BA163" i="2" s="1"/>
  <c r="AA163" i="1"/>
  <c r="BB163" i="2" s="1"/>
  <c r="AB163" i="1"/>
  <c r="BC163" i="2" s="1"/>
  <c r="W164" i="1"/>
  <c r="AX164" i="2" s="1"/>
  <c r="X164" i="1"/>
  <c r="AY164" i="2" s="1"/>
  <c r="Y164" i="1"/>
  <c r="AZ164" i="2" s="1"/>
  <c r="Z164" i="1"/>
  <c r="BA164" i="2" s="1"/>
  <c r="AA164" i="1"/>
  <c r="BB164" i="2" s="1"/>
  <c r="AB164" i="1"/>
  <c r="BC164" i="2" s="1"/>
  <c r="W165" i="1"/>
  <c r="AX165" i="2" s="1"/>
  <c r="X165" i="1"/>
  <c r="AY165" i="2" s="1"/>
  <c r="Y165" i="1"/>
  <c r="AZ165" i="2" s="1"/>
  <c r="Z165" i="1"/>
  <c r="BA165" i="2" s="1"/>
  <c r="AA165" i="1"/>
  <c r="BB165" i="2" s="1"/>
  <c r="AB165" i="1"/>
  <c r="BC165" i="2" s="1"/>
  <c r="W166" i="1"/>
  <c r="AX166" i="2" s="1"/>
  <c r="X166" i="1"/>
  <c r="AY166" i="2" s="1"/>
  <c r="Y166" i="1"/>
  <c r="AZ166" i="2" s="1"/>
  <c r="Z166" i="1"/>
  <c r="BA166" i="2" s="1"/>
  <c r="AA166" i="1"/>
  <c r="BB166" i="2" s="1"/>
  <c r="AB166" i="1"/>
  <c r="BC166" i="2" s="1"/>
  <c r="W167" i="1"/>
  <c r="AX167" i="2" s="1"/>
  <c r="X167" i="1"/>
  <c r="AY167" i="2" s="1"/>
  <c r="Y167" i="1"/>
  <c r="AZ167" i="2" s="1"/>
  <c r="Z167" i="1"/>
  <c r="BA167" i="2" s="1"/>
  <c r="AA167" i="1"/>
  <c r="BB167" i="2" s="1"/>
  <c r="AB167" i="1"/>
  <c r="BC167" i="2" s="1"/>
  <c r="W168" i="1"/>
  <c r="AX168" i="2" s="1"/>
  <c r="X168" i="1"/>
  <c r="AY168" i="2" s="1"/>
  <c r="Y168" i="1"/>
  <c r="AZ168" i="2" s="1"/>
  <c r="Z168" i="1"/>
  <c r="BA168" i="2" s="1"/>
  <c r="AA168" i="1"/>
  <c r="BB168" i="2" s="1"/>
  <c r="AB168" i="1"/>
  <c r="BC168" i="2" s="1"/>
  <c r="W169" i="1"/>
  <c r="AX169" i="2" s="1"/>
  <c r="X169" i="1"/>
  <c r="AY169" i="2" s="1"/>
  <c r="Y169" i="1"/>
  <c r="AZ169" i="2" s="1"/>
  <c r="Z169" i="1"/>
  <c r="BA169" i="2" s="1"/>
  <c r="AA169" i="1"/>
  <c r="BB169" i="2" s="1"/>
  <c r="AB169" i="1"/>
  <c r="BC169" i="2" s="1"/>
  <c r="W170" i="1"/>
  <c r="AX170" i="2" s="1"/>
  <c r="X170" i="1"/>
  <c r="AY170" i="2" s="1"/>
  <c r="Y170" i="1"/>
  <c r="AZ170" i="2" s="1"/>
  <c r="Z170" i="1"/>
  <c r="BA170" i="2" s="1"/>
  <c r="AA170" i="1"/>
  <c r="BB170" i="2" s="1"/>
  <c r="AB170" i="1"/>
  <c r="BC170" i="2" s="1"/>
  <c r="W171" i="1"/>
  <c r="AX171" i="2" s="1"/>
  <c r="X171" i="1"/>
  <c r="AY171" i="2" s="1"/>
  <c r="Y171" i="1"/>
  <c r="AZ171" i="2" s="1"/>
  <c r="Z171" i="1"/>
  <c r="BA171" i="2" s="1"/>
  <c r="AA171" i="1"/>
  <c r="BB171" i="2" s="1"/>
  <c r="AB171" i="1"/>
  <c r="BC171" i="2" s="1"/>
  <c r="W172" i="1"/>
  <c r="AX172" i="2" s="1"/>
  <c r="X172" i="1"/>
  <c r="AY172" i="2" s="1"/>
  <c r="Y172" i="1"/>
  <c r="AZ172" i="2" s="1"/>
  <c r="Z172" i="1"/>
  <c r="BA172" i="2" s="1"/>
  <c r="AA172" i="1"/>
  <c r="BB172" i="2" s="1"/>
  <c r="AB172" i="1"/>
  <c r="BC172" i="2" s="1"/>
  <c r="W173" i="1"/>
  <c r="AX173" i="2" s="1"/>
  <c r="X173" i="1"/>
  <c r="AY173" i="2" s="1"/>
  <c r="Y173" i="1"/>
  <c r="AZ173" i="2" s="1"/>
  <c r="Z173" i="1"/>
  <c r="BA173" i="2" s="1"/>
  <c r="AA173" i="1"/>
  <c r="BB173" i="2" s="1"/>
  <c r="AB173" i="1"/>
  <c r="BC173" i="2" s="1"/>
  <c r="W174" i="1"/>
  <c r="AX174" i="2" s="1"/>
  <c r="X174" i="1"/>
  <c r="AY174" i="2" s="1"/>
  <c r="Y174" i="1"/>
  <c r="AZ174" i="2" s="1"/>
  <c r="Z174" i="1"/>
  <c r="BA174" i="2" s="1"/>
  <c r="AA174" i="1"/>
  <c r="BB174" i="2" s="1"/>
  <c r="AB174" i="1"/>
  <c r="BC174" i="2" s="1"/>
  <c r="W175" i="1"/>
  <c r="AX175" i="2" s="1"/>
  <c r="X175" i="1"/>
  <c r="AY175" i="2" s="1"/>
  <c r="Y175" i="1"/>
  <c r="AZ175" i="2" s="1"/>
  <c r="Z175" i="1"/>
  <c r="BA175" i="2" s="1"/>
  <c r="AA175" i="1"/>
  <c r="BB175" i="2" s="1"/>
  <c r="AB175" i="1"/>
  <c r="BC175" i="2" s="1"/>
  <c r="W176" i="1"/>
  <c r="AX176" i="2" s="1"/>
  <c r="X176" i="1"/>
  <c r="AY176" i="2" s="1"/>
  <c r="Y176" i="1"/>
  <c r="AZ176" i="2" s="1"/>
  <c r="Z176" i="1"/>
  <c r="BA176" i="2" s="1"/>
  <c r="AA176" i="1"/>
  <c r="BB176" i="2" s="1"/>
  <c r="AB176" i="1"/>
  <c r="BC176" i="2" s="1"/>
  <c r="W177" i="1"/>
  <c r="AX177" i="2" s="1"/>
  <c r="X177" i="1"/>
  <c r="AY177" i="2" s="1"/>
  <c r="Y177" i="1"/>
  <c r="AZ177" i="2" s="1"/>
  <c r="Z177" i="1"/>
  <c r="BA177" i="2" s="1"/>
  <c r="AA177" i="1"/>
  <c r="BB177" i="2" s="1"/>
  <c r="AB177" i="1"/>
  <c r="BC177" i="2" s="1"/>
  <c r="W178" i="1"/>
  <c r="AX178" i="2" s="1"/>
  <c r="X178" i="1"/>
  <c r="AY178" i="2" s="1"/>
  <c r="Y178" i="1"/>
  <c r="AZ178" i="2" s="1"/>
  <c r="Z178" i="1"/>
  <c r="BA178" i="2" s="1"/>
  <c r="AA178" i="1"/>
  <c r="BB178" i="2" s="1"/>
  <c r="AB178" i="1"/>
  <c r="BC178" i="2" s="1"/>
  <c r="W179" i="1"/>
  <c r="AX179" i="2" s="1"/>
  <c r="X179" i="1"/>
  <c r="AY179" i="2" s="1"/>
  <c r="Y179" i="1"/>
  <c r="AZ179" i="2" s="1"/>
  <c r="Z179" i="1"/>
  <c r="BA179" i="2" s="1"/>
  <c r="AA179" i="1"/>
  <c r="BB179" i="2" s="1"/>
  <c r="AB179" i="1"/>
  <c r="BC179" i="2" s="1"/>
  <c r="W180" i="1"/>
  <c r="AX180" i="2" s="1"/>
  <c r="X180" i="1"/>
  <c r="AY180" i="2" s="1"/>
  <c r="Y180" i="1"/>
  <c r="AZ180" i="2" s="1"/>
  <c r="Z180" i="1"/>
  <c r="BA180" i="2" s="1"/>
  <c r="AA180" i="1"/>
  <c r="BB180" i="2" s="1"/>
  <c r="AB180" i="1"/>
  <c r="BC180" i="2" s="1"/>
  <c r="W181" i="1"/>
  <c r="AX181" i="2" s="1"/>
  <c r="X181" i="1"/>
  <c r="AY181" i="2" s="1"/>
  <c r="Y181" i="1"/>
  <c r="AZ181" i="2" s="1"/>
  <c r="Z181" i="1"/>
  <c r="BA181" i="2" s="1"/>
  <c r="AA181" i="1"/>
  <c r="BB181" i="2" s="1"/>
  <c r="AB181" i="1"/>
  <c r="BC181" i="2" s="1"/>
  <c r="W182" i="1"/>
  <c r="AX182" i="2" s="1"/>
  <c r="X182" i="1"/>
  <c r="AY182" i="2" s="1"/>
  <c r="Y182" i="1"/>
  <c r="AZ182" i="2" s="1"/>
  <c r="Z182" i="1"/>
  <c r="BA182" i="2" s="1"/>
  <c r="AA182" i="1"/>
  <c r="BB182" i="2" s="1"/>
  <c r="AB182" i="1"/>
  <c r="BC182" i="2" s="1"/>
  <c r="W183" i="1"/>
  <c r="AX183" i="2" s="1"/>
  <c r="X183" i="1"/>
  <c r="AY183" i="2" s="1"/>
  <c r="Y183" i="1"/>
  <c r="AZ183" i="2" s="1"/>
  <c r="Z183" i="1"/>
  <c r="BA183" i="2" s="1"/>
  <c r="AA183" i="1"/>
  <c r="BB183" i="2" s="1"/>
  <c r="AB183" i="1"/>
  <c r="BC183" i="2" s="1"/>
  <c r="W184" i="1"/>
  <c r="AX184" i="2" s="1"/>
  <c r="X184" i="1"/>
  <c r="AY184" i="2" s="1"/>
  <c r="Y184" i="1"/>
  <c r="AZ184" i="2" s="1"/>
  <c r="Z184" i="1"/>
  <c r="BA184" i="2" s="1"/>
  <c r="AA184" i="1"/>
  <c r="BB184" i="2" s="1"/>
  <c r="AB184" i="1"/>
  <c r="BC184" i="2" s="1"/>
  <c r="W185" i="1"/>
  <c r="AX185" i="2" s="1"/>
  <c r="X185" i="1"/>
  <c r="AY185" i="2" s="1"/>
  <c r="Y185" i="1"/>
  <c r="AZ185" i="2" s="1"/>
  <c r="Z185" i="1"/>
  <c r="BA185" i="2" s="1"/>
  <c r="AA185" i="1"/>
  <c r="BB185" i="2" s="1"/>
  <c r="AB185" i="1"/>
  <c r="BC185" i="2" s="1"/>
  <c r="W186" i="1"/>
  <c r="AX186" i="2" s="1"/>
  <c r="X186" i="1"/>
  <c r="AY186" i="2" s="1"/>
  <c r="Y186" i="1"/>
  <c r="AZ186" i="2" s="1"/>
  <c r="Z186" i="1"/>
  <c r="BA186" i="2" s="1"/>
  <c r="AA186" i="1"/>
  <c r="BB186" i="2" s="1"/>
  <c r="AB186" i="1"/>
  <c r="BC186" i="2" s="1"/>
  <c r="W187" i="1"/>
  <c r="AX187" i="2" s="1"/>
  <c r="X187" i="1"/>
  <c r="AY187" i="2" s="1"/>
  <c r="Y187" i="1"/>
  <c r="AZ187" i="2" s="1"/>
  <c r="Z187" i="1"/>
  <c r="BA187" i="2" s="1"/>
  <c r="AA187" i="1"/>
  <c r="BB187" i="2" s="1"/>
  <c r="AB187" i="1"/>
  <c r="BC187" i="2" s="1"/>
  <c r="W188" i="1"/>
  <c r="AX188" i="2" s="1"/>
  <c r="X188" i="1"/>
  <c r="AY188" i="2" s="1"/>
  <c r="Y188" i="1"/>
  <c r="AZ188" i="2" s="1"/>
  <c r="Z188" i="1"/>
  <c r="BA188" i="2" s="1"/>
  <c r="AA188" i="1"/>
  <c r="BB188" i="2" s="1"/>
  <c r="AB188" i="1"/>
  <c r="BC188" i="2" s="1"/>
  <c r="W189" i="1"/>
  <c r="AX189" i="2" s="1"/>
  <c r="X189" i="1"/>
  <c r="AY189" i="2" s="1"/>
  <c r="Y189" i="1"/>
  <c r="AZ189" i="2" s="1"/>
  <c r="Z189" i="1"/>
  <c r="BA189" i="2" s="1"/>
  <c r="AA189" i="1"/>
  <c r="BB189" i="2" s="1"/>
  <c r="AB189" i="1"/>
  <c r="BC189" i="2" s="1"/>
  <c r="W190" i="1"/>
  <c r="AX190" i="2" s="1"/>
  <c r="X190" i="1"/>
  <c r="AY190" i="2" s="1"/>
  <c r="Y190" i="1"/>
  <c r="AZ190" i="2" s="1"/>
  <c r="Z190" i="1"/>
  <c r="BA190" i="2" s="1"/>
  <c r="AA190" i="1"/>
  <c r="BB190" i="2" s="1"/>
  <c r="AB190" i="1"/>
  <c r="BC190" i="2" s="1"/>
  <c r="W191" i="1"/>
  <c r="AX191" i="2" s="1"/>
  <c r="X191" i="1"/>
  <c r="AY191" i="2" s="1"/>
  <c r="Y191" i="1"/>
  <c r="AZ191" i="2" s="1"/>
  <c r="Z191" i="1"/>
  <c r="BA191" i="2" s="1"/>
  <c r="AA191" i="1"/>
  <c r="BB191" i="2" s="1"/>
  <c r="AB191" i="1"/>
  <c r="BC191" i="2" s="1"/>
  <c r="W192" i="1"/>
  <c r="AX192" i="2" s="1"/>
  <c r="X192" i="1"/>
  <c r="AY192" i="2" s="1"/>
  <c r="Y192" i="1"/>
  <c r="AZ192" i="2" s="1"/>
  <c r="Z192" i="1"/>
  <c r="BA192" i="2" s="1"/>
  <c r="AA192" i="1"/>
  <c r="BB192" i="2" s="1"/>
  <c r="AB192" i="1"/>
  <c r="BC192" i="2" s="1"/>
  <c r="W193" i="1"/>
  <c r="AX193" i="2" s="1"/>
  <c r="X193" i="1"/>
  <c r="AY193" i="2" s="1"/>
  <c r="Y193" i="1"/>
  <c r="AZ193" i="2" s="1"/>
  <c r="Z193" i="1"/>
  <c r="BA193" i="2" s="1"/>
  <c r="AA193" i="1"/>
  <c r="BB193" i="2" s="1"/>
  <c r="AB193" i="1"/>
  <c r="BC193" i="2" s="1"/>
  <c r="W194" i="1"/>
  <c r="AX194" i="2" s="1"/>
  <c r="X194" i="1"/>
  <c r="AY194" i="2" s="1"/>
  <c r="Y194" i="1"/>
  <c r="AZ194" i="2" s="1"/>
  <c r="Z194" i="1"/>
  <c r="BA194" i="2" s="1"/>
  <c r="AA194" i="1"/>
  <c r="BB194" i="2" s="1"/>
  <c r="AB194" i="1"/>
  <c r="BC194" i="2" s="1"/>
  <c r="W195" i="1"/>
  <c r="AX195" i="2" s="1"/>
  <c r="X195" i="1"/>
  <c r="AY195" i="2" s="1"/>
  <c r="Y195" i="1"/>
  <c r="AZ195" i="2" s="1"/>
  <c r="Z195" i="1"/>
  <c r="BA195" i="2" s="1"/>
  <c r="AA195" i="1"/>
  <c r="BB195" i="2" s="1"/>
  <c r="AB195" i="1"/>
  <c r="BC195" i="2" s="1"/>
  <c r="W196" i="1"/>
  <c r="AX196" i="2" s="1"/>
  <c r="X196" i="1"/>
  <c r="AY196" i="2" s="1"/>
  <c r="Y196" i="1"/>
  <c r="AZ196" i="2" s="1"/>
  <c r="Z196" i="1"/>
  <c r="BA196" i="2" s="1"/>
  <c r="AA196" i="1"/>
  <c r="BB196" i="2" s="1"/>
  <c r="AB196" i="1"/>
  <c r="BC196" i="2" s="1"/>
  <c r="W197" i="1"/>
  <c r="AX197" i="2" s="1"/>
  <c r="X197" i="1"/>
  <c r="AY197" i="2" s="1"/>
  <c r="Y197" i="1"/>
  <c r="AZ197" i="2" s="1"/>
  <c r="Z197" i="1"/>
  <c r="BA197" i="2" s="1"/>
  <c r="AA197" i="1"/>
  <c r="BB197" i="2" s="1"/>
  <c r="AB197" i="1"/>
  <c r="BC197" i="2" s="1"/>
  <c r="W198" i="1"/>
  <c r="AX198" i="2" s="1"/>
  <c r="X198" i="1"/>
  <c r="AY198" i="2" s="1"/>
  <c r="Y198" i="1"/>
  <c r="AZ198" i="2" s="1"/>
  <c r="Z198" i="1"/>
  <c r="BA198" i="2" s="1"/>
  <c r="AA198" i="1"/>
  <c r="BB198" i="2" s="1"/>
  <c r="AB198" i="1"/>
  <c r="BC198" i="2" s="1"/>
  <c r="W199" i="1"/>
  <c r="AX199" i="2" s="1"/>
  <c r="X199" i="1"/>
  <c r="AY199" i="2" s="1"/>
  <c r="Y199" i="1"/>
  <c r="AZ199" i="2" s="1"/>
  <c r="Z199" i="1"/>
  <c r="BA199" i="2" s="1"/>
  <c r="AA199" i="1"/>
  <c r="BB199" i="2" s="1"/>
  <c r="AB199" i="1"/>
  <c r="BC199" i="2" s="1"/>
  <c r="W200" i="1"/>
  <c r="AX200" i="2" s="1"/>
  <c r="X200" i="1"/>
  <c r="AY200" i="2" s="1"/>
  <c r="Y200" i="1"/>
  <c r="AZ200" i="2" s="1"/>
  <c r="Z200" i="1"/>
  <c r="BA200" i="2" s="1"/>
  <c r="AA200" i="1"/>
  <c r="BB200" i="2" s="1"/>
  <c r="AB200" i="1"/>
  <c r="BC200" i="2" s="1"/>
  <c r="W201" i="1"/>
  <c r="AX201" i="2" s="1"/>
  <c r="X201" i="1"/>
  <c r="AY201" i="2" s="1"/>
  <c r="Y201" i="1"/>
  <c r="AZ201" i="2" s="1"/>
  <c r="Z201" i="1"/>
  <c r="BA201" i="2" s="1"/>
  <c r="AA201" i="1"/>
  <c r="BB201" i="2" s="1"/>
  <c r="AB201" i="1"/>
  <c r="BC201" i="2" s="1"/>
  <c r="W202" i="1"/>
  <c r="AX202" i="2" s="1"/>
  <c r="X202" i="1"/>
  <c r="AY202" i="2" s="1"/>
  <c r="Y202" i="1"/>
  <c r="AZ202" i="2" s="1"/>
  <c r="Z202" i="1"/>
  <c r="BA202" i="2" s="1"/>
  <c r="AA202" i="1"/>
  <c r="BB202" i="2" s="1"/>
  <c r="AB202" i="1"/>
  <c r="BC202" i="2" s="1"/>
  <c r="W203" i="1"/>
  <c r="AX203" i="2" s="1"/>
  <c r="X203" i="1"/>
  <c r="AY203" i="2" s="1"/>
  <c r="Y203" i="1"/>
  <c r="AZ203" i="2" s="1"/>
  <c r="Z203" i="1"/>
  <c r="BA203" i="2" s="1"/>
  <c r="AA203" i="1"/>
  <c r="BB203" i="2" s="1"/>
  <c r="AB203" i="1"/>
  <c r="BC203" i="2" s="1"/>
  <c r="W204" i="1"/>
  <c r="AX204" i="2" s="1"/>
  <c r="X204" i="1"/>
  <c r="AY204" i="2" s="1"/>
  <c r="Y204" i="1"/>
  <c r="AZ204" i="2" s="1"/>
  <c r="Z204" i="1"/>
  <c r="BA204" i="2" s="1"/>
  <c r="AA204" i="1"/>
  <c r="BB204" i="2" s="1"/>
  <c r="AB204" i="1"/>
  <c r="BC204" i="2" s="1"/>
  <c r="W205" i="1"/>
  <c r="AX205" i="2" s="1"/>
  <c r="X205" i="1"/>
  <c r="AY205" i="2" s="1"/>
  <c r="Y205" i="1"/>
  <c r="AZ205" i="2" s="1"/>
  <c r="Z205" i="1"/>
  <c r="BA205" i="2" s="1"/>
  <c r="AA205" i="1"/>
  <c r="BB205" i="2" s="1"/>
  <c r="AB205" i="1"/>
  <c r="BC205" i="2" s="1"/>
  <c r="W206" i="1"/>
  <c r="AX206" i="2" s="1"/>
  <c r="X206" i="1"/>
  <c r="AY206" i="2" s="1"/>
  <c r="Y206" i="1"/>
  <c r="AZ206" i="2" s="1"/>
  <c r="Z206" i="1"/>
  <c r="BA206" i="2" s="1"/>
  <c r="AA206" i="1"/>
  <c r="BB206" i="2" s="1"/>
  <c r="AB206" i="1"/>
  <c r="BC206" i="2" s="1"/>
  <c r="W207" i="1"/>
  <c r="AX207" i="2" s="1"/>
  <c r="X207" i="1"/>
  <c r="AY207" i="2" s="1"/>
  <c r="Y207" i="1"/>
  <c r="AZ207" i="2" s="1"/>
  <c r="Z207" i="1"/>
  <c r="BA207" i="2" s="1"/>
  <c r="AA207" i="1"/>
  <c r="BB207" i="2" s="1"/>
  <c r="AB207" i="1"/>
  <c r="BC207" i="2" s="1"/>
  <c r="W208" i="1"/>
  <c r="AX208" i="2" s="1"/>
  <c r="X208" i="1"/>
  <c r="AY208" i="2" s="1"/>
  <c r="Y208" i="1"/>
  <c r="AZ208" i="2" s="1"/>
  <c r="Z208" i="1"/>
  <c r="BA208" i="2" s="1"/>
  <c r="AA208" i="1"/>
  <c r="BB208" i="2" s="1"/>
  <c r="AB208" i="1"/>
  <c r="BC208" i="2" s="1"/>
  <c r="W209" i="1"/>
  <c r="AX209" i="2" s="1"/>
  <c r="X209" i="1"/>
  <c r="AY209" i="2" s="1"/>
  <c r="Y209" i="1"/>
  <c r="AZ209" i="2" s="1"/>
  <c r="Z209" i="1"/>
  <c r="BA209" i="2" s="1"/>
  <c r="AA209" i="1"/>
  <c r="BB209" i="2" s="1"/>
  <c r="AB209" i="1"/>
  <c r="BC209" i="2" s="1"/>
  <c r="W210" i="1"/>
  <c r="AX210" i="2" s="1"/>
  <c r="X210" i="1"/>
  <c r="AY210" i="2" s="1"/>
  <c r="Y210" i="1"/>
  <c r="AZ210" i="2" s="1"/>
  <c r="Z210" i="1"/>
  <c r="BA210" i="2" s="1"/>
  <c r="AA210" i="1"/>
  <c r="BB210" i="2" s="1"/>
  <c r="AB210" i="1"/>
  <c r="BC210" i="2" s="1"/>
  <c r="W211" i="1"/>
  <c r="AX211" i="2" s="1"/>
  <c r="X211" i="1"/>
  <c r="AY211" i="2" s="1"/>
  <c r="Y211" i="1"/>
  <c r="AZ211" i="2" s="1"/>
  <c r="Z211" i="1"/>
  <c r="BA211" i="2" s="1"/>
  <c r="AA211" i="1"/>
  <c r="BB211" i="2" s="1"/>
  <c r="AB211" i="1"/>
  <c r="BC211" i="2" s="1"/>
  <c r="W212" i="1"/>
  <c r="AX212" i="2" s="1"/>
  <c r="X212" i="1"/>
  <c r="AY212" i="2" s="1"/>
  <c r="Y212" i="1"/>
  <c r="AZ212" i="2" s="1"/>
  <c r="Z212" i="1"/>
  <c r="BA212" i="2" s="1"/>
  <c r="AA212" i="1"/>
  <c r="BB212" i="2" s="1"/>
  <c r="AB212" i="1"/>
  <c r="BC212" i="2" s="1"/>
  <c r="W213" i="1"/>
  <c r="AX213" i="2" s="1"/>
  <c r="X213" i="1"/>
  <c r="AY213" i="2" s="1"/>
  <c r="Y213" i="1"/>
  <c r="AZ213" i="2" s="1"/>
  <c r="Z213" i="1"/>
  <c r="BA213" i="2" s="1"/>
  <c r="AA213" i="1"/>
  <c r="BB213" i="2" s="1"/>
  <c r="AB213" i="1"/>
  <c r="BC213" i="2" s="1"/>
  <c r="W214" i="1"/>
  <c r="AX214" i="2" s="1"/>
  <c r="X214" i="1"/>
  <c r="AY214" i="2" s="1"/>
  <c r="Y214" i="1"/>
  <c r="AZ214" i="2" s="1"/>
  <c r="Z214" i="1"/>
  <c r="BA214" i="2" s="1"/>
  <c r="AA214" i="1"/>
  <c r="BB214" i="2" s="1"/>
  <c r="AB214" i="1"/>
  <c r="BC214" i="2" s="1"/>
  <c r="W215" i="1"/>
  <c r="AX215" i="2" s="1"/>
  <c r="X215" i="1"/>
  <c r="AY215" i="2" s="1"/>
  <c r="Y215" i="1"/>
  <c r="AZ215" i="2" s="1"/>
  <c r="Z215" i="1"/>
  <c r="BA215" i="2" s="1"/>
  <c r="AA215" i="1"/>
  <c r="BB215" i="2" s="1"/>
  <c r="AB215" i="1"/>
  <c r="BC215" i="2" s="1"/>
  <c r="W216" i="1"/>
  <c r="AX216" i="2" s="1"/>
  <c r="X216" i="1"/>
  <c r="AY216" i="2" s="1"/>
  <c r="Y216" i="1"/>
  <c r="AZ216" i="2" s="1"/>
  <c r="Z216" i="1"/>
  <c r="BA216" i="2" s="1"/>
  <c r="AA216" i="1"/>
  <c r="BB216" i="2" s="1"/>
  <c r="AB216" i="1"/>
  <c r="BC216" i="2" s="1"/>
  <c r="W217" i="1"/>
  <c r="AX217" i="2" s="1"/>
  <c r="X217" i="1"/>
  <c r="AY217" i="2" s="1"/>
  <c r="Y217" i="1"/>
  <c r="AZ217" i="2" s="1"/>
  <c r="Z217" i="1"/>
  <c r="BA217" i="2" s="1"/>
  <c r="AA217" i="1"/>
  <c r="BB217" i="2" s="1"/>
  <c r="AB217" i="1"/>
  <c r="BC217" i="2" s="1"/>
  <c r="W218" i="1"/>
  <c r="AX218" i="2" s="1"/>
  <c r="X218" i="1"/>
  <c r="AY218" i="2" s="1"/>
  <c r="Y218" i="1"/>
  <c r="AZ218" i="2" s="1"/>
  <c r="Z218" i="1"/>
  <c r="BA218" i="2" s="1"/>
  <c r="AA218" i="1"/>
  <c r="BB218" i="2" s="1"/>
  <c r="AB218" i="1"/>
  <c r="BC218" i="2" s="1"/>
  <c r="W219" i="1"/>
  <c r="AX219" i="2" s="1"/>
  <c r="X219" i="1"/>
  <c r="AY219" i="2" s="1"/>
  <c r="Y219" i="1"/>
  <c r="AZ219" i="2" s="1"/>
  <c r="Z219" i="1"/>
  <c r="BA219" i="2" s="1"/>
  <c r="AA219" i="1"/>
  <c r="BB219" i="2" s="1"/>
  <c r="AB219" i="1"/>
  <c r="BC219" i="2" s="1"/>
  <c r="W220" i="1"/>
  <c r="AX220" i="2" s="1"/>
  <c r="X220" i="1"/>
  <c r="AY220" i="2" s="1"/>
  <c r="Y220" i="1"/>
  <c r="AZ220" i="2" s="1"/>
  <c r="Z220" i="1"/>
  <c r="BA220" i="2" s="1"/>
  <c r="AA220" i="1"/>
  <c r="BB220" i="2" s="1"/>
  <c r="AB220" i="1"/>
  <c r="BC220" i="2" s="1"/>
  <c r="W221" i="1"/>
  <c r="AX221" i="2" s="1"/>
  <c r="X221" i="1"/>
  <c r="AY221" i="2" s="1"/>
  <c r="Y221" i="1"/>
  <c r="AZ221" i="2" s="1"/>
  <c r="Z221" i="1"/>
  <c r="BA221" i="2" s="1"/>
  <c r="AA221" i="1"/>
  <c r="BB221" i="2" s="1"/>
  <c r="AB221" i="1"/>
  <c r="BC221" i="2" s="1"/>
  <c r="W222" i="1"/>
  <c r="AX222" i="2" s="1"/>
  <c r="X222" i="1"/>
  <c r="AY222" i="2" s="1"/>
  <c r="Y222" i="1"/>
  <c r="AZ222" i="2" s="1"/>
  <c r="Z222" i="1"/>
  <c r="BA222" i="2" s="1"/>
  <c r="AA222" i="1"/>
  <c r="BB222" i="2" s="1"/>
  <c r="AB222" i="1"/>
  <c r="BC222" i="2" s="1"/>
  <c r="W223" i="1"/>
  <c r="AX223" i="2" s="1"/>
  <c r="X223" i="1"/>
  <c r="AY223" i="2" s="1"/>
  <c r="Y223" i="1"/>
  <c r="AZ223" i="2" s="1"/>
  <c r="Z223" i="1"/>
  <c r="BA223" i="2" s="1"/>
  <c r="AA223" i="1"/>
  <c r="BB223" i="2" s="1"/>
  <c r="AB223" i="1"/>
  <c r="BC223" i="2" s="1"/>
  <c r="W224" i="1"/>
  <c r="AX224" i="2" s="1"/>
  <c r="X224" i="1"/>
  <c r="AY224" i="2" s="1"/>
  <c r="Y224" i="1"/>
  <c r="AZ224" i="2" s="1"/>
  <c r="Z224" i="1"/>
  <c r="BA224" i="2" s="1"/>
  <c r="AA224" i="1"/>
  <c r="BB224" i="2" s="1"/>
  <c r="AB224" i="1"/>
  <c r="BC224" i="2" s="1"/>
  <c r="W225" i="1"/>
  <c r="AX225" i="2" s="1"/>
  <c r="X225" i="1"/>
  <c r="AY225" i="2" s="1"/>
  <c r="Y225" i="1"/>
  <c r="AZ225" i="2" s="1"/>
  <c r="Z225" i="1"/>
  <c r="BA225" i="2" s="1"/>
  <c r="AA225" i="1"/>
  <c r="BB225" i="2" s="1"/>
  <c r="AB225" i="1"/>
  <c r="BC225" i="2" s="1"/>
  <c r="W226" i="1"/>
  <c r="AX226" i="2" s="1"/>
  <c r="X226" i="1"/>
  <c r="AY226" i="2" s="1"/>
  <c r="Y226" i="1"/>
  <c r="AZ226" i="2" s="1"/>
  <c r="Z226" i="1"/>
  <c r="BA226" i="2" s="1"/>
  <c r="AA226" i="1"/>
  <c r="BB226" i="2" s="1"/>
  <c r="AB226" i="1"/>
  <c r="BC226" i="2" s="1"/>
  <c r="W227" i="1"/>
  <c r="AX227" i="2" s="1"/>
  <c r="X227" i="1"/>
  <c r="AY227" i="2" s="1"/>
  <c r="Y227" i="1"/>
  <c r="AZ227" i="2" s="1"/>
  <c r="Z227" i="1"/>
  <c r="BA227" i="2" s="1"/>
  <c r="AA227" i="1"/>
  <c r="BB227" i="2" s="1"/>
  <c r="AB227" i="1"/>
  <c r="BC227" i="2" s="1"/>
  <c r="W228" i="1"/>
  <c r="AX228" i="2" s="1"/>
  <c r="X228" i="1"/>
  <c r="AY228" i="2" s="1"/>
  <c r="Y228" i="1"/>
  <c r="AZ228" i="2" s="1"/>
  <c r="Z228" i="1"/>
  <c r="BA228" i="2" s="1"/>
  <c r="AA228" i="1"/>
  <c r="BB228" i="2" s="1"/>
  <c r="AB228" i="1"/>
  <c r="BC228" i="2" s="1"/>
  <c r="W229" i="1"/>
  <c r="AX229" i="2" s="1"/>
  <c r="X229" i="1"/>
  <c r="AY229" i="2" s="1"/>
  <c r="Y229" i="1"/>
  <c r="AZ229" i="2" s="1"/>
  <c r="Z229" i="1"/>
  <c r="BA229" i="2" s="1"/>
  <c r="AA229" i="1"/>
  <c r="BB229" i="2" s="1"/>
  <c r="AB229" i="1"/>
  <c r="BC229" i="2" s="1"/>
  <c r="W230" i="1"/>
  <c r="AX230" i="2" s="1"/>
  <c r="X230" i="1"/>
  <c r="AY230" i="2" s="1"/>
  <c r="Y230" i="1"/>
  <c r="AZ230" i="2" s="1"/>
  <c r="Z230" i="1"/>
  <c r="BA230" i="2" s="1"/>
  <c r="AA230" i="1"/>
  <c r="BB230" i="2" s="1"/>
  <c r="AB230" i="1"/>
  <c r="BC230" i="2" s="1"/>
  <c r="W231" i="1"/>
  <c r="AX231" i="2" s="1"/>
  <c r="X231" i="1"/>
  <c r="AY231" i="2" s="1"/>
  <c r="Y231" i="1"/>
  <c r="AZ231" i="2" s="1"/>
  <c r="Z231" i="1"/>
  <c r="BA231" i="2" s="1"/>
  <c r="AA231" i="1"/>
  <c r="BB231" i="2" s="1"/>
  <c r="AB231" i="1"/>
  <c r="BC231" i="2" s="1"/>
  <c r="W232" i="1"/>
  <c r="AX232" i="2" s="1"/>
  <c r="X232" i="1"/>
  <c r="AY232" i="2" s="1"/>
  <c r="Y232" i="1"/>
  <c r="AZ232" i="2" s="1"/>
  <c r="Z232" i="1"/>
  <c r="BA232" i="2" s="1"/>
  <c r="AA232" i="1"/>
  <c r="BB232" i="2" s="1"/>
  <c r="AB232" i="1"/>
  <c r="BC232" i="2" s="1"/>
  <c r="W233" i="1"/>
  <c r="AX233" i="2" s="1"/>
  <c r="X233" i="1"/>
  <c r="AY233" i="2" s="1"/>
  <c r="Y233" i="1"/>
  <c r="AZ233" i="2" s="1"/>
  <c r="Z233" i="1"/>
  <c r="BA233" i="2" s="1"/>
  <c r="AA233" i="1"/>
  <c r="BB233" i="2" s="1"/>
  <c r="AB233" i="1"/>
  <c r="BC233" i="2" s="1"/>
  <c r="W234" i="1"/>
  <c r="AX234" i="2" s="1"/>
  <c r="X234" i="1"/>
  <c r="AY234" i="2" s="1"/>
  <c r="Y234" i="1"/>
  <c r="AZ234" i="2" s="1"/>
  <c r="Z234" i="1"/>
  <c r="BA234" i="2" s="1"/>
  <c r="AA234" i="1"/>
  <c r="BB234" i="2" s="1"/>
  <c r="AB234" i="1"/>
  <c r="BC234" i="2" s="1"/>
  <c r="W235" i="1"/>
  <c r="AX235" i="2" s="1"/>
  <c r="X235" i="1"/>
  <c r="AY235" i="2" s="1"/>
  <c r="Y235" i="1"/>
  <c r="AZ235" i="2" s="1"/>
  <c r="Z235" i="1"/>
  <c r="BA235" i="2" s="1"/>
  <c r="AA235" i="1"/>
  <c r="BB235" i="2" s="1"/>
  <c r="AB235" i="1"/>
  <c r="BC235" i="2" s="1"/>
  <c r="W236" i="1"/>
  <c r="AX236" i="2" s="1"/>
  <c r="X236" i="1"/>
  <c r="AY236" i="2" s="1"/>
  <c r="Y236" i="1"/>
  <c r="AZ236" i="2" s="1"/>
  <c r="Z236" i="1"/>
  <c r="BA236" i="2" s="1"/>
  <c r="AA236" i="1"/>
  <c r="BB236" i="2" s="1"/>
  <c r="AB236" i="1"/>
  <c r="BC236" i="2" s="1"/>
  <c r="W237" i="1"/>
  <c r="AX237" i="2" s="1"/>
  <c r="X237" i="1"/>
  <c r="AY237" i="2" s="1"/>
  <c r="Y237" i="1"/>
  <c r="AZ237" i="2" s="1"/>
  <c r="Z237" i="1"/>
  <c r="BA237" i="2" s="1"/>
  <c r="AA237" i="1"/>
  <c r="BB237" i="2" s="1"/>
  <c r="AB237" i="1"/>
  <c r="BC237" i="2" s="1"/>
  <c r="W238" i="1"/>
  <c r="AX238" i="2" s="1"/>
  <c r="X238" i="1"/>
  <c r="AY238" i="2" s="1"/>
  <c r="Y238" i="1"/>
  <c r="AZ238" i="2" s="1"/>
  <c r="Z238" i="1"/>
  <c r="BA238" i="2" s="1"/>
  <c r="AA238" i="1"/>
  <c r="BB238" i="2" s="1"/>
  <c r="AB238" i="1"/>
  <c r="BC238" i="2" s="1"/>
  <c r="W239" i="1"/>
  <c r="AX239" i="2" s="1"/>
  <c r="X239" i="1"/>
  <c r="AY239" i="2" s="1"/>
  <c r="Y239" i="1"/>
  <c r="AZ239" i="2" s="1"/>
  <c r="Z239" i="1"/>
  <c r="BA239" i="2" s="1"/>
  <c r="AA239" i="1"/>
  <c r="BB239" i="2" s="1"/>
  <c r="AB239" i="1"/>
  <c r="BC239" i="2" s="1"/>
  <c r="W240" i="1"/>
  <c r="AX240" i="2" s="1"/>
  <c r="X240" i="1"/>
  <c r="AY240" i="2" s="1"/>
  <c r="Y240" i="1"/>
  <c r="AZ240" i="2" s="1"/>
  <c r="Z240" i="1"/>
  <c r="BA240" i="2" s="1"/>
  <c r="AA240" i="1"/>
  <c r="BB240" i="2" s="1"/>
  <c r="AB240" i="1"/>
  <c r="BC240" i="2" s="1"/>
  <c r="W241" i="1"/>
  <c r="AX241" i="2" s="1"/>
  <c r="X241" i="1"/>
  <c r="AY241" i="2" s="1"/>
  <c r="Y241" i="1"/>
  <c r="AZ241" i="2" s="1"/>
  <c r="Z241" i="1"/>
  <c r="BA241" i="2" s="1"/>
  <c r="AA241" i="1"/>
  <c r="BB241" i="2" s="1"/>
  <c r="AB241" i="1"/>
  <c r="BC241" i="2" s="1"/>
  <c r="W242" i="1"/>
  <c r="AX242" i="2" s="1"/>
  <c r="X242" i="1"/>
  <c r="AY242" i="2" s="1"/>
  <c r="Y242" i="1"/>
  <c r="AZ242" i="2" s="1"/>
  <c r="Z242" i="1"/>
  <c r="BA242" i="2" s="1"/>
  <c r="AA242" i="1"/>
  <c r="BB242" i="2" s="1"/>
  <c r="AB242" i="1"/>
  <c r="BC242" i="2" s="1"/>
  <c r="W243" i="1"/>
  <c r="AX243" i="2" s="1"/>
  <c r="X243" i="1"/>
  <c r="AY243" i="2" s="1"/>
  <c r="Y243" i="1"/>
  <c r="AZ243" i="2" s="1"/>
  <c r="Z243" i="1"/>
  <c r="BA243" i="2" s="1"/>
  <c r="AA243" i="1"/>
  <c r="BB243" i="2" s="1"/>
  <c r="AB243" i="1"/>
  <c r="BC243" i="2" s="1"/>
  <c r="W244" i="1"/>
  <c r="AX244" i="2" s="1"/>
  <c r="X244" i="1"/>
  <c r="AY244" i="2" s="1"/>
  <c r="Y244" i="1"/>
  <c r="AZ244" i="2" s="1"/>
  <c r="Z244" i="1"/>
  <c r="BA244" i="2" s="1"/>
  <c r="AA244" i="1"/>
  <c r="BB244" i="2" s="1"/>
  <c r="AB244" i="1"/>
  <c r="BC244" i="2" s="1"/>
  <c r="W245" i="1"/>
  <c r="AX245" i="2" s="1"/>
  <c r="X245" i="1"/>
  <c r="AY245" i="2" s="1"/>
  <c r="Y245" i="1"/>
  <c r="AZ245" i="2" s="1"/>
  <c r="Z245" i="1"/>
  <c r="BA245" i="2" s="1"/>
  <c r="AA245" i="1"/>
  <c r="BB245" i="2" s="1"/>
  <c r="AB245" i="1"/>
  <c r="BC245" i="2" s="1"/>
  <c r="W246" i="1"/>
  <c r="AX246" i="2" s="1"/>
  <c r="X246" i="1"/>
  <c r="AY246" i="2" s="1"/>
  <c r="Y246" i="1"/>
  <c r="AZ246" i="2" s="1"/>
  <c r="Z246" i="1"/>
  <c r="BA246" i="2" s="1"/>
  <c r="AA246" i="1"/>
  <c r="BB246" i="2" s="1"/>
  <c r="AB246" i="1"/>
  <c r="BC246" i="2" s="1"/>
  <c r="W247" i="1"/>
  <c r="AX247" i="2" s="1"/>
  <c r="X247" i="1"/>
  <c r="AY247" i="2" s="1"/>
  <c r="Y247" i="1"/>
  <c r="AZ247" i="2" s="1"/>
  <c r="Z247" i="1"/>
  <c r="BA247" i="2" s="1"/>
  <c r="AA247" i="1"/>
  <c r="BB247" i="2" s="1"/>
  <c r="AB247" i="1"/>
  <c r="BC247" i="2" s="1"/>
  <c r="W248" i="1"/>
  <c r="AX248" i="2" s="1"/>
  <c r="X248" i="1"/>
  <c r="AY248" i="2" s="1"/>
  <c r="Y248" i="1"/>
  <c r="AZ248" i="2" s="1"/>
  <c r="Z248" i="1"/>
  <c r="BA248" i="2" s="1"/>
  <c r="AA248" i="1"/>
  <c r="BB248" i="2" s="1"/>
  <c r="AB248" i="1"/>
  <c r="BC248" i="2" s="1"/>
  <c r="W249" i="1"/>
  <c r="AX249" i="2" s="1"/>
  <c r="X249" i="1"/>
  <c r="AY249" i="2" s="1"/>
  <c r="Y249" i="1"/>
  <c r="AZ249" i="2" s="1"/>
  <c r="Z249" i="1"/>
  <c r="BA249" i="2" s="1"/>
  <c r="AA249" i="1"/>
  <c r="BB249" i="2" s="1"/>
  <c r="AB249" i="1"/>
  <c r="BC249" i="2" s="1"/>
  <c r="W250" i="1"/>
  <c r="AX250" i="2" s="1"/>
  <c r="X250" i="1"/>
  <c r="AY250" i="2" s="1"/>
  <c r="Y250" i="1"/>
  <c r="AZ250" i="2" s="1"/>
  <c r="Z250" i="1"/>
  <c r="BA250" i="2" s="1"/>
  <c r="AA250" i="1"/>
  <c r="BB250" i="2" s="1"/>
  <c r="AB250" i="1"/>
  <c r="BC250" i="2" s="1"/>
  <c r="W251" i="1"/>
  <c r="AX251" i="2" s="1"/>
  <c r="X251" i="1"/>
  <c r="AY251" i="2" s="1"/>
  <c r="Y251" i="1"/>
  <c r="AZ251" i="2" s="1"/>
  <c r="Z251" i="1"/>
  <c r="BA251" i="2" s="1"/>
  <c r="AA251" i="1"/>
  <c r="BB251" i="2" s="1"/>
  <c r="AB251" i="1"/>
  <c r="BC251" i="2" s="1"/>
  <c r="W252" i="1"/>
  <c r="AX252" i="2" s="1"/>
  <c r="X252" i="1"/>
  <c r="AY252" i="2" s="1"/>
  <c r="Y252" i="1"/>
  <c r="AZ252" i="2" s="1"/>
  <c r="Z252" i="1"/>
  <c r="BA252" i="2" s="1"/>
  <c r="AA252" i="1"/>
  <c r="BB252" i="2" s="1"/>
  <c r="AB252" i="1"/>
  <c r="BC252" i="2" s="1"/>
  <c r="W253" i="1"/>
  <c r="AX253" i="2" s="1"/>
  <c r="X253" i="1"/>
  <c r="AY253" i="2" s="1"/>
  <c r="Y253" i="1"/>
  <c r="AZ253" i="2" s="1"/>
  <c r="Z253" i="1"/>
  <c r="BA253" i="2" s="1"/>
  <c r="AA253" i="1"/>
  <c r="BB253" i="2" s="1"/>
  <c r="AB253" i="1"/>
  <c r="BC253" i="2" s="1"/>
  <c r="W254" i="1"/>
  <c r="AX254" i="2" s="1"/>
  <c r="X254" i="1"/>
  <c r="AY254" i="2" s="1"/>
  <c r="Y254" i="1"/>
  <c r="AZ254" i="2" s="1"/>
  <c r="Z254" i="1"/>
  <c r="BA254" i="2" s="1"/>
  <c r="AA254" i="1"/>
  <c r="BB254" i="2" s="1"/>
  <c r="AB254" i="1"/>
  <c r="BC254" i="2" s="1"/>
  <c r="W255" i="1"/>
  <c r="AX255" i="2" s="1"/>
  <c r="X255" i="1"/>
  <c r="AY255" i="2" s="1"/>
  <c r="Y255" i="1"/>
  <c r="AZ255" i="2" s="1"/>
  <c r="Z255" i="1"/>
  <c r="BA255" i="2" s="1"/>
  <c r="AA255" i="1"/>
  <c r="BB255" i="2" s="1"/>
  <c r="AB255" i="1"/>
  <c r="BC255" i="2" s="1"/>
  <c r="W256" i="1"/>
  <c r="AX256" i="2" s="1"/>
  <c r="X256" i="1"/>
  <c r="AY256" i="2" s="1"/>
  <c r="Y256" i="1"/>
  <c r="AZ256" i="2" s="1"/>
  <c r="Z256" i="1"/>
  <c r="BA256" i="2" s="1"/>
  <c r="AA256" i="1"/>
  <c r="BB256" i="2" s="1"/>
  <c r="AB256" i="1"/>
  <c r="BC256" i="2" s="1"/>
  <c r="W257" i="1"/>
  <c r="AX257" i="2" s="1"/>
  <c r="X257" i="1"/>
  <c r="AY257" i="2" s="1"/>
  <c r="Y257" i="1"/>
  <c r="AZ257" i="2" s="1"/>
  <c r="Z257" i="1"/>
  <c r="BA257" i="2" s="1"/>
  <c r="AA257" i="1"/>
  <c r="BB257" i="2" s="1"/>
  <c r="AB257" i="1"/>
  <c r="BC257" i="2" s="1"/>
  <c r="W258" i="1"/>
  <c r="AX258" i="2" s="1"/>
  <c r="X258" i="1"/>
  <c r="AY258" i="2" s="1"/>
  <c r="Y258" i="1"/>
  <c r="AZ258" i="2" s="1"/>
  <c r="Z258" i="1"/>
  <c r="BA258" i="2" s="1"/>
  <c r="AA258" i="1"/>
  <c r="BB258" i="2" s="1"/>
  <c r="AB258" i="1"/>
  <c r="BC258" i="2" s="1"/>
  <c r="W259" i="1"/>
  <c r="AX259" i="2" s="1"/>
  <c r="X259" i="1"/>
  <c r="AY259" i="2" s="1"/>
  <c r="Y259" i="1"/>
  <c r="AZ259" i="2" s="1"/>
  <c r="Z259" i="1"/>
  <c r="BA259" i="2" s="1"/>
  <c r="AA259" i="1"/>
  <c r="BB259" i="2" s="1"/>
  <c r="AB259" i="1"/>
  <c r="BC259" i="2" s="1"/>
  <c r="W260" i="1"/>
  <c r="AX260" i="2" s="1"/>
  <c r="X260" i="1"/>
  <c r="AY260" i="2" s="1"/>
  <c r="Y260" i="1"/>
  <c r="AZ260" i="2" s="1"/>
  <c r="Z260" i="1"/>
  <c r="BA260" i="2" s="1"/>
  <c r="AA260" i="1"/>
  <c r="BB260" i="2" s="1"/>
  <c r="AB260" i="1"/>
  <c r="BC260" i="2" s="1"/>
  <c r="W261" i="1"/>
  <c r="AX261" i="2" s="1"/>
  <c r="X261" i="1"/>
  <c r="AY261" i="2" s="1"/>
  <c r="Y261" i="1"/>
  <c r="AZ261" i="2" s="1"/>
  <c r="Z261" i="1"/>
  <c r="BA261" i="2" s="1"/>
  <c r="AA261" i="1"/>
  <c r="BB261" i="2" s="1"/>
  <c r="AB261" i="1"/>
  <c r="BC261" i="2" s="1"/>
  <c r="W262" i="1"/>
  <c r="AX262" i="2" s="1"/>
  <c r="X262" i="1"/>
  <c r="AY262" i="2" s="1"/>
  <c r="Y262" i="1"/>
  <c r="AZ262" i="2" s="1"/>
  <c r="Z262" i="1"/>
  <c r="BA262" i="2" s="1"/>
  <c r="AA262" i="1"/>
  <c r="BB262" i="2" s="1"/>
  <c r="AB262" i="1"/>
  <c r="BC262" i="2" s="1"/>
  <c r="W263" i="1"/>
  <c r="AX263" i="2" s="1"/>
  <c r="X263" i="1"/>
  <c r="AY263" i="2" s="1"/>
  <c r="Y263" i="1"/>
  <c r="AZ263" i="2" s="1"/>
  <c r="Z263" i="1"/>
  <c r="BA263" i="2" s="1"/>
  <c r="AA263" i="1"/>
  <c r="BB263" i="2" s="1"/>
  <c r="AB263" i="1"/>
  <c r="BC263" i="2" s="1"/>
  <c r="W264" i="1"/>
  <c r="AX264" i="2" s="1"/>
  <c r="X264" i="1"/>
  <c r="AY264" i="2" s="1"/>
  <c r="Y264" i="1"/>
  <c r="AZ264" i="2" s="1"/>
  <c r="Z264" i="1"/>
  <c r="BA264" i="2" s="1"/>
  <c r="AA264" i="1"/>
  <c r="BB264" i="2" s="1"/>
  <c r="AB264" i="1"/>
  <c r="BC264" i="2" s="1"/>
  <c r="W265" i="1"/>
  <c r="AX265" i="2" s="1"/>
  <c r="X265" i="1"/>
  <c r="AY265" i="2" s="1"/>
  <c r="Y265" i="1"/>
  <c r="AZ265" i="2" s="1"/>
  <c r="Z265" i="1"/>
  <c r="BA265" i="2" s="1"/>
  <c r="AA265" i="1"/>
  <c r="BB265" i="2" s="1"/>
  <c r="AB265" i="1"/>
  <c r="BC265" i="2" s="1"/>
  <c r="W266" i="1"/>
  <c r="AX266" i="2" s="1"/>
  <c r="X266" i="1"/>
  <c r="AY266" i="2" s="1"/>
  <c r="Y266" i="1"/>
  <c r="AZ266" i="2" s="1"/>
  <c r="Z266" i="1"/>
  <c r="BA266" i="2" s="1"/>
  <c r="AA266" i="1"/>
  <c r="BB266" i="2" s="1"/>
  <c r="AB266" i="1"/>
  <c r="BC266" i="2" s="1"/>
  <c r="W267" i="1"/>
  <c r="AX267" i="2" s="1"/>
  <c r="X267" i="1"/>
  <c r="AY267" i="2" s="1"/>
  <c r="Y267" i="1"/>
  <c r="AZ267" i="2" s="1"/>
  <c r="Z267" i="1"/>
  <c r="BA267" i="2" s="1"/>
  <c r="AA267" i="1"/>
  <c r="BB267" i="2" s="1"/>
  <c r="AB267" i="1"/>
  <c r="BC267" i="2" s="1"/>
  <c r="W268" i="1"/>
  <c r="AX268" i="2" s="1"/>
  <c r="X268" i="1"/>
  <c r="AY268" i="2" s="1"/>
  <c r="Y268" i="1"/>
  <c r="AZ268" i="2" s="1"/>
  <c r="Z268" i="1"/>
  <c r="BA268" i="2" s="1"/>
  <c r="AA268" i="1"/>
  <c r="BB268" i="2" s="1"/>
  <c r="AB268" i="1"/>
  <c r="BC268" i="2" s="1"/>
  <c r="W269" i="1"/>
  <c r="AX269" i="2" s="1"/>
  <c r="X269" i="1"/>
  <c r="AY269" i="2" s="1"/>
  <c r="Y269" i="1"/>
  <c r="AZ269" i="2" s="1"/>
  <c r="Z269" i="1"/>
  <c r="BA269" i="2" s="1"/>
  <c r="AA269" i="1"/>
  <c r="BB269" i="2" s="1"/>
  <c r="AB269" i="1"/>
  <c r="BC269" i="2" s="1"/>
  <c r="W270" i="1"/>
  <c r="AX270" i="2" s="1"/>
  <c r="X270" i="1"/>
  <c r="AY270" i="2" s="1"/>
  <c r="Y270" i="1"/>
  <c r="AZ270" i="2" s="1"/>
  <c r="Z270" i="1"/>
  <c r="BA270" i="2" s="1"/>
  <c r="AA270" i="1"/>
  <c r="BB270" i="2" s="1"/>
  <c r="AB270" i="1"/>
  <c r="BC270" i="2" s="1"/>
  <c r="W271" i="1"/>
  <c r="AX271" i="2" s="1"/>
  <c r="X271" i="1"/>
  <c r="AY271" i="2" s="1"/>
  <c r="Y271" i="1"/>
  <c r="AZ271" i="2" s="1"/>
  <c r="Z271" i="1"/>
  <c r="BA271" i="2" s="1"/>
  <c r="AA271" i="1"/>
  <c r="BB271" i="2" s="1"/>
  <c r="AB271" i="1"/>
  <c r="BC271" i="2" s="1"/>
  <c r="W272" i="1"/>
  <c r="AX272" i="2" s="1"/>
  <c r="X272" i="1"/>
  <c r="AY272" i="2" s="1"/>
  <c r="Y272" i="1"/>
  <c r="AZ272" i="2" s="1"/>
  <c r="Z272" i="1"/>
  <c r="BA272" i="2" s="1"/>
  <c r="AA272" i="1"/>
  <c r="BB272" i="2" s="1"/>
  <c r="AB272" i="1"/>
  <c r="BC272" i="2" s="1"/>
  <c r="W273" i="1"/>
  <c r="AX273" i="2" s="1"/>
  <c r="X273" i="1"/>
  <c r="AY273" i="2" s="1"/>
  <c r="Y273" i="1"/>
  <c r="AZ273" i="2" s="1"/>
  <c r="Z273" i="1"/>
  <c r="BA273" i="2" s="1"/>
  <c r="AA273" i="1"/>
  <c r="BB273" i="2" s="1"/>
  <c r="AB273" i="1"/>
  <c r="BC273" i="2" s="1"/>
  <c r="W274" i="1"/>
  <c r="AX274" i="2" s="1"/>
  <c r="X274" i="1"/>
  <c r="AY274" i="2" s="1"/>
  <c r="Y274" i="1"/>
  <c r="AZ274" i="2" s="1"/>
  <c r="Z274" i="1"/>
  <c r="BA274" i="2" s="1"/>
  <c r="AA274" i="1"/>
  <c r="BB274" i="2" s="1"/>
  <c r="AB274" i="1"/>
  <c r="BC274" i="2" s="1"/>
  <c r="W275" i="1"/>
  <c r="AX275" i="2" s="1"/>
  <c r="X275" i="1"/>
  <c r="AY275" i="2" s="1"/>
  <c r="Y275" i="1"/>
  <c r="AZ275" i="2" s="1"/>
  <c r="Z275" i="1"/>
  <c r="BA275" i="2" s="1"/>
  <c r="AA275" i="1"/>
  <c r="BB275" i="2" s="1"/>
  <c r="AB275" i="1"/>
  <c r="BC275" i="2" s="1"/>
  <c r="W276" i="1"/>
  <c r="AX276" i="2" s="1"/>
  <c r="X276" i="1"/>
  <c r="AY276" i="2" s="1"/>
  <c r="Y276" i="1"/>
  <c r="AZ276" i="2" s="1"/>
  <c r="Z276" i="1"/>
  <c r="BA276" i="2" s="1"/>
  <c r="AA276" i="1"/>
  <c r="BB276" i="2" s="1"/>
  <c r="AB276" i="1"/>
  <c r="BC276" i="2" s="1"/>
  <c r="W277" i="1"/>
  <c r="AX277" i="2" s="1"/>
  <c r="X277" i="1"/>
  <c r="AY277" i="2" s="1"/>
  <c r="Y277" i="1"/>
  <c r="AZ277" i="2" s="1"/>
  <c r="Z277" i="1"/>
  <c r="BA277" i="2" s="1"/>
  <c r="AA277" i="1"/>
  <c r="BB277" i="2" s="1"/>
  <c r="AB277" i="1"/>
  <c r="BC277" i="2" s="1"/>
  <c r="W278" i="1"/>
  <c r="AX278" i="2" s="1"/>
  <c r="X278" i="1"/>
  <c r="AY278" i="2" s="1"/>
  <c r="Y278" i="1"/>
  <c r="AZ278" i="2" s="1"/>
  <c r="Z278" i="1"/>
  <c r="BA278" i="2" s="1"/>
  <c r="AA278" i="1"/>
  <c r="BB278" i="2" s="1"/>
  <c r="AB278" i="1"/>
  <c r="BC278" i="2" s="1"/>
  <c r="W279" i="1"/>
  <c r="AX279" i="2" s="1"/>
  <c r="X279" i="1"/>
  <c r="AY279" i="2" s="1"/>
  <c r="Y279" i="1"/>
  <c r="AZ279" i="2" s="1"/>
  <c r="Z279" i="1"/>
  <c r="BA279" i="2" s="1"/>
  <c r="AA279" i="1"/>
  <c r="BB279" i="2" s="1"/>
  <c r="AB279" i="1"/>
  <c r="BC279" i="2" s="1"/>
  <c r="W280" i="1"/>
  <c r="AX280" i="2" s="1"/>
  <c r="X280" i="1"/>
  <c r="AY280" i="2" s="1"/>
  <c r="Y280" i="1"/>
  <c r="AZ280" i="2" s="1"/>
  <c r="Z280" i="1"/>
  <c r="BA280" i="2" s="1"/>
  <c r="AA280" i="1"/>
  <c r="BB280" i="2" s="1"/>
  <c r="AB280" i="1"/>
  <c r="BC280" i="2" s="1"/>
  <c r="W281" i="1"/>
  <c r="AX281" i="2" s="1"/>
  <c r="X281" i="1"/>
  <c r="AY281" i="2" s="1"/>
  <c r="Y281" i="1"/>
  <c r="AZ281" i="2" s="1"/>
  <c r="Z281" i="1"/>
  <c r="BA281" i="2" s="1"/>
  <c r="AA281" i="1"/>
  <c r="BB281" i="2" s="1"/>
  <c r="AB281" i="1"/>
  <c r="BC281" i="2" s="1"/>
  <c r="W282" i="1"/>
  <c r="AX282" i="2" s="1"/>
  <c r="X282" i="1"/>
  <c r="AY282" i="2" s="1"/>
  <c r="Y282" i="1"/>
  <c r="AZ282" i="2" s="1"/>
  <c r="Z282" i="1"/>
  <c r="BA282" i="2" s="1"/>
  <c r="AA282" i="1"/>
  <c r="BB282" i="2" s="1"/>
  <c r="AB282" i="1"/>
  <c r="BC282" i="2" s="1"/>
  <c r="W283" i="1"/>
  <c r="AX283" i="2" s="1"/>
  <c r="X283" i="1"/>
  <c r="AY283" i="2" s="1"/>
  <c r="Y283" i="1"/>
  <c r="AZ283" i="2" s="1"/>
  <c r="Z283" i="1"/>
  <c r="BA283" i="2" s="1"/>
  <c r="AA283" i="1"/>
  <c r="BB283" i="2" s="1"/>
  <c r="AB283" i="1"/>
  <c r="BC283" i="2" s="1"/>
  <c r="W284" i="1"/>
  <c r="AX284" i="2" s="1"/>
  <c r="X284" i="1"/>
  <c r="AY284" i="2" s="1"/>
  <c r="Y284" i="1"/>
  <c r="AZ284" i="2" s="1"/>
  <c r="Z284" i="1"/>
  <c r="BA284" i="2" s="1"/>
  <c r="AA284" i="1"/>
  <c r="BB284" i="2" s="1"/>
  <c r="AB284" i="1"/>
  <c r="BC284" i="2" s="1"/>
  <c r="W285" i="1"/>
  <c r="AX285" i="2" s="1"/>
  <c r="X285" i="1"/>
  <c r="AY285" i="2" s="1"/>
  <c r="Y285" i="1"/>
  <c r="AZ285" i="2" s="1"/>
  <c r="Z285" i="1"/>
  <c r="BA285" i="2" s="1"/>
  <c r="AA285" i="1"/>
  <c r="BB285" i="2" s="1"/>
  <c r="AB285" i="1"/>
  <c r="BC285" i="2" s="1"/>
  <c r="W286" i="1"/>
  <c r="AX286" i="2" s="1"/>
  <c r="X286" i="1"/>
  <c r="AY286" i="2" s="1"/>
  <c r="Y286" i="1"/>
  <c r="AZ286" i="2" s="1"/>
  <c r="Z286" i="1"/>
  <c r="BA286" i="2" s="1"/>
  <c r="AA286" i="1"/>
  <c r="BB286" i="2" s="1"/>
  <c r="AB286" i="1"/>
  <c r="BC286" i="2" s="1"/>
  <c r="W287" i="1"/>
  <c r="AX287" i="2" s="1"/>
  <c r="X287" i="1"/>
  <c r="AY287" i="2" s="1"/>
  <c r="Y287" i="1"/>
  <c r="AZ287" i="2" s="1"/>
  <c r="Z287" i="1"/>
  <c r="BA287" i="2" s="1"/>
  <c r="AA287" i="1"/>
  <c r="BB287" i="2" s="1"/>
  <c r="AB287" i="1"/>
  <c r="BC287" i="2" s="1"/>
  <c r="W288" i="1"/>
  <c r="AX288" i="2" s="1"/>
  <c r="X288" i="1"/>
  <c r="AY288" i="2" s="1"/>
  <c r="Y288" i="1"/>
  <c r="AZ288" i="2" s="1"/>
  <c r="Z288" i="1"/>
  <c r="BA288" i="2" s="1"/>
  <c r="AA288" i="1"/>
  <c r="BB288" i="2" s="1"/>
  <c r="AB288" i="1"/>
  <c r="BC288" i="2" s="1"/>
  <c r="W289" i="1"/>
  <c r="AX289" i="2" s="1"/>
  <c r="X289" i="1"/>
  <c r="AY289" i="2" s="1"/>
  <c r="Y289" i="1"/>
  <c r="AZ289" i="2" s="1"/>
  <c r="Z289" i="1"/>
  <c r="BA289" i="2" s="1"/>
  <c r="AA289" i="1"/>
  <c r="BB289" i="2" s="1"/>
  <c r="AB289" i="1"/>
  <c r="BC289" i="2" s="1"/>
  <c r="W290" i="1"/>
  <c r="AX290" i="2" s="1"/>
  <c r="X290" i="1"/>
  <c r="AY290" i="2" s="1"/>
  <c r="Y290" i="1"/>
  <c r="AZ290" i="2" s="1"/>
  <c r="Z290" i="1"/>
  <c r="BA290" i="2" s="1"/>
  <c r="AA290" i="1"/>
  <c r="BB290" i="2" s="1"/>
  <c r="AB290" i="1"/>
  <c r="BC290" i="2" s="1"/>
  <c r="W291" i="1"/>
  <c r="AX291" i="2" s="1"/>
  <c r="X291" i="1"/>
  <c r="AY291" i="2" s="1"/>
  <c r="Y291" i="1"/>
  <c r="AZ291" i="2" s="1"/>
  <c r="Z291" i="1"/>
  <c r="BA291" i="2" s="1"/>
  <c r="AA291" i="1"/>
  <c r="BB291" i="2" s="1"/>
  <c r="AB291" i="1"/>
  <c r="BC291" i="2" s="1"/>
  <c r="W292" i="1"/>
  <c r="AX292" i="2" s="1"/>
  <c r="X292" i="1"/>
  <c r="AY292" i="2" s="1"/>
  <c r="Y292" i="1"/>
  <c r="AZ292" i="2" s="1"/>
  <c r="Z292" i="1"/>
  <c r="BA292" i="2" s="1"/>
  <c r="AA292" i="1"/>
  <c r="BB292" i="2" s="1"/>
  <c r="AB292" i="1"/>
  <c r="BC292" i="2" s="1"/>
  <c r="W293" i="1"/>
  <c r="AX293" i="2" s="1"/>
  <c r="X293" i="1"/>
  <c r="AY293" i="2" s="1"/>
  <c r="Y293" i="1"/>
  <c r="AZ293" i="2" s="1"/>
  <c r="Z293" i="1"/>
  <c r="BA293" i="2" s="1"/>
  <c r="AA293" i="1"/>
  <c r="BB293" i="2" s="1"/>
  <c r="AB293" i="1"/>
  <c r="BC293" i="2" s="1"/>
  <c r="W294" i="1"/>
  <c r="AX294" i="2" s="1"/>
  <c r="X294" i="1"/>
  <c r="AY294" i="2" s="1"/>
  <c r="Y294" i="1"/>
  <c r="AZ294" i="2" s="1"/>
  <c r="Z294" i="1"/>
  <c r="BA294" i="2" s="1"/>
  <c r="AA294" i="1"/>
  <c r="BB294" i="2" s="1"/>
  <c r="AB294" i="1"/>
  <c r="BC294" i="2" s="1"/>
  <c r="W295" i="1"/>
  <c r="AX295" i="2" s="1"/>
  <c r="X295" i="1"/>
  <c r="AY295" i="2" s="1"/>
  <c r="Y295" i="1"/>
  <c r="AZ295" i="2" s="1"/>
  <c r="Z295" i="1"/>
  <c r="BA295" i="2" s="1"/>
  <c r="AA295" i="1"/>
  <c r="BB295" i="2" s="1"/>
  <c r="AB295" i="1"/>
  <c r="BC295" i="2" s="1"/>
  <c r="W296" i="1"/>
  <c r="AX296" i="2" s="1"/>
  <c r="X296" i="1"/>
  <c r="AY296" i="2" s="1"/>
  <c r="Y296" i="1"/>
  <c r="AZ296" i="2" s="1"/>
  <c r="Z296" i="1"/>
  <c r="BA296" i="2" s="1"/>
  <c r="AA296" i="1"/>
  <c r="BB296" i="2" s="1"/>
  <c r="AB296" i="1"/>
  <c r="BC296" i="2" s="1"/>
  <c r="W297" i="1"/>
  <c r="AX297" i="2" s="1"/>
  <c r="X297" i="1"/>
  <c r="AY297" i="2" s="1"/>
  <c r="Y297" i="1"/>
  <c r="AZ297" i="2" s="1"/>
  <c r="Z297" i="1"/>
  <c r="BA297" i="2" s="1"/>
  <c r="AA297" i="1"/>
  <c r="BB297" i="2" s="1"/>
  <c r="AB297" i="1"/>
  <c r="BC297" i="2" s="1"/>
  <c r="W298" i="1"/>
  <c r="AX298" i="2" s="1"/>
  <c r="X298" i="1"/>
  <c r="AY298" i="2" s="1"/>
  <c r="Y298" i="1"/>
  <c r="AZ298" i="2" s="1"/>
  <c r="Z298" i="1"/>
  <c r="BA298" i="2" s="1"/>
  <c r="AA298" i="1"/>
  <c r="BB298" i="2" s="1"/>
  <c r="AB298" i="1"/>
  <c r="BC298" i="2" s="1"/>
  <c r="W299" i="1"/>
  <c r="AX299" i="2" s="1"/>
  <c r="X299" i="1"/>
  <c r="AY299" i="2" s="1"/>
  <c r="Y299" i="1"/>
  <c r="AZ299" i="2" s="1"/>
  <c r="Z299" i="1"/>
  <c r="BA299" i="2" s="1"/>
  <c r="AA299" i="1"/>
  <c r="BB299" i="2" s="1"/>
  <c r="AB299" i="1"/>
  <c r="BC299" i="2" s="1"/>
  <c r="W300" i="1"/>
  <c r="AX300" i="2" s="1"/>
  <c r="X300" i="1"/>
  <c r="AY300" i="2" s="1"/>
  <c r="Y300" i="1"/>
  <c r="AZ300" i="2" s="1"/>
  <c r="Z300" i="1"/>
  <c r="BA300" i="2" s="1"/>
  <c r="AA300" i="1"/>
  <c r="BB300" i="2" s="1"/>
  <c r="AB300" i="1"/>
  <c r="BC300" i="2" s="1"/>
  <c r="W301" i="1"/>
  <c r="AX301" i="2" s="1"/>
  <c r="X301" i="1"/>
  <c r="AY301" i="2" s="1"/>
  <c r="Y301" i="1"/>
  <c r="AZ301" i="2" s="1"/>
  <c r="Z301" i="1"/>
  <c r="BA301" i="2" s="1"/>
  <c r="AA301" i="1"/>
  <c r="BB301" i="2" s="1"/>
  <c r="AB301" i="1"/>
  <c r="BC301" i="2" s="1"/>
  <c r="W302" i="1"/>
  <c r="AX302" i="2" s="1"/>
  <c r="X302" i="1"/>
  <c r="AY302" i="2" s="1"/>
  <c r="Y302" i="1"/>
  <c r="AZ302" i="2" s="1"/>
  <c r="Z302" i="1"/>
  <c r="BA302" i="2" s="1"/>
  <c r="AA302" i="1"/>
  <c r="BB302" i="2" s="1"/>
  <c r="AB302" i="1"/>
  <c r="BC302" i="2" s="1"/>
  <c r="W303" i="1"/>
  <c r="AX303" i="2" s="1"/>
  <c r="X303" i="1"/>
  <c r="AY303" i="2" s="1"/>
  <c r="Y303" i="1"/>
  <c r="AZ303" i="2" s="1"/>
  <c r="Z303" i="1"/>
  <c r="BA303" i="2" s="1"/>
  <c r="AA303" i="1"/>
  <c r="BB303" i="2" s="1"/>
  <c r="AB303" i="1"/>
  <c r="BC303" i="2" s="1"/>
  <c r="W304" i="1"/>
  <c r="AX304" i="2" s="1"/>
  <c r="X304" i="1"/>
  <c r="AY304" i="2" s="1"/>
  <c r="Y304" i="1"/>
  <c r="AZ304" i="2" s="1"/>
  <c r="Z304" i="1"/>
  <c r="BA304" i="2" s="1"/>
  <c r="AA304" i="1"/>
  <c r="BB304" i="2" s="1"/>
  <c r="AB304" i="1"/>
  <c r="BC304" i="2" s="1"/>
  <c r="W305" i="1"/>
  <c r="AX305" i="2" s="1"/>
  <c r="X305" i="1"/>
  <c r="AY305" i="2" s="1"/>
  <c r="Y305" i="1"/>
  <c r="AZ305" i="2" s="1"/>
  <c r="Z305" i="1"/>
  <c r="BA305" i="2" s="1"/>
  <c r="AA305" i="1"/>
  <c r="BB305" i="2" s="1"/>
  <c r="AB305" i="1"/>
  <c r="BC305" i="2" s="1"/>
  <c r="W306" i="1"/>
  <c r="AX306" i="2" s="1"/>
  <c r="X306" i="1"/>
  <c r="AY306" i="2" s="1"/>
  <c r="Y306" i="1"/>
  <c r="AZ306" i="2" s="1"/>
  <c r="Z306" i="1"/>
  <c r="BA306" i="2" s="1"/>
  <c r="AA306" i="1"/>
  <c r="BB306" i="2" s="1"/>
  <c r="AB306" i="1"/>
  <c r="BC306" i="2" s="1"/>
  <c r="W307" i="1"/>
  <c r="AX307" i="2" s="1"/>
  <c r="X307" i="1"/>
  <c r="AY307" i="2" s="1"/>
  <c r="Y307" i="1"/>
  <c r="AZ307" i="2" s="1"/>
  <c r="Z307" i="1"/>
  <c r="BA307" i="2" s="1"/>
  <c r="AA307" i="1"/>
  <c r="BB307" i="2" s="1"/>
  <c r="AB307" i="1"/>
  <c r="BC307" i="2" s="1"/>
  <c r="W308" i="1"/>
  <c r="AX308" i="2" s="1"/>
  <c r="X308" i="1"/>
  <c r="AY308" i="2" s="1"/>
  <c r="Y308" i="1"/>
  <c r="AZ308" i="2" s="1"/>
  <c r="Z308" i="1"/>
  <c r="BA308" i="2" s="1"/>
  <c r="AA308" i="1"/>
  <c r="BB308" i="2" s="1"/>
  <c r="AB308" i="1"/>
  <c r="BC308" i="2" s="1"/>
  <c r="W309" i="1"/>
  <c r="AX309" i="2" s="1"/>
  <c r="X309" i="1"/>
  <c r="AY309" i="2" s="1"/>
  <c r="Y309" i="1"/>
  <c r="AZ309" i="2" s="1"/>
  <c r="Z309" i="1"/>
  <c r="BA309" i="2" s="1"/>
  <c r="AA309" i="1"/>
  <c r="BB309" i="2" s="1"/>
  <c r="AB309" i="1"/>
  <c r="BC309" i="2" s="1"/>
  <c r="W310" i="1"/>
  <c r="AX310" i="2" s="1"/>
  <c r="X310" i="1"/>
  <c r="AY310" i="2" s="1"/>
  <c r="Y310" i="1"/>
  <c r="AZ310" i="2" s="1"/>
  <c r="Z310" i="1"/>
  <c r="BA310" i="2" s="1"/>
  <c r="AA310" i="1"/>
  <c r="BB310" i="2" s="1"/>
  <c r="AB310" i="1"/>
  <c r="BC310" i="2" s="1"/>
  <c r="W311" i="1"/>
  <c r="AX311" i="2" s="1"/>
  <c r="X311" i="1"/>
  <c r="AY311" i="2" s="1"/>
  <c r="Y311" i="1"/>
  <c r="AZ311" i="2" s="1"/>
  <c r="Z311" i="1"/>
  <c r="BA311" i="2" s="1"/>
  <c r="AA311" i="1"/>
  <c r="BB311" i="2" s="1"/>
  <c r="AB311" i="1"/>
  <c r="BC311" i="2" s="1"/>
  <c r="W312" i="1"/>
  <c r="AX312" i="2" s="1"/>
  <c r="X312" i="1"/>
  <c r="AY312" i="2" s="1"/>
  <c r="Y312" i="1"/>
  <c r="AZ312" i="2" s="1"/>
  <c r="Z312" i="1"/>
  <c r="BA312" i="2" s="1"/>
  <c r="AA312" i="1"/>
  <c r="BB312" i="2" s="1"/>
  <c r="AB312" i="1"/>
  <c r="BC312" i="2" s="1"/>
  <c r="W313" i="1"/>
  <c r="AX313" i="2" s="1"/>
  <c r="X313" i="1"/>
  <c r="AY313" i="2" s="1"/>
  <c r="Y313" i="1"/>
  <c r="AZ313" i="2" s="1"/>
  <c r="Z313" i="1"/>
  <c r="BA313" i="2" s="1"/>
  <c r="AA313" i="1"/>
  <c r="BB313" i="2" s="1"/>
  <c r="AB313" i="1"/>
  <c r="BC313" i="2" s="1"/>
  <c r="W314" i="1"/>
  <c r="AX314" i="2" s="1"/>
  <c r="X314" i="1"/>
  <c r="AY314" i="2" s="1"/>
  <c r="Y314" i="1"/>
  <c r="AZ314" i="2" s="1"/>
  <c r="Z314" i="1"/>
  <c r="BA314" i="2" s="1"/>
  <c r="AA314" i="1"/>
  <c r="BB314" i="2" s="1"/>
  <c r="AB314" i="1"/>
  <c r="BC314" i="2" s="1"/>
  <c r="W315" i="1"/>
  <c r="AX315" i="2" s="1"/>
  <c r="X315" i="1"/>
  <c r="AY315" i="2" s="1"/>
  <c r="Y315" i="1"/>
  <c r="AZ315" i="2" s="1"/>
  <c r="Z315" i="1"/>
  <c r="BA315" i="2" s="1"/>
  <c r="AA315" i="1"/>
  <c r="BB315" i="2" s="1"/>
  <c r="AB315" i="1"/>
  <c r="BC315" i="2" s="1"/>
  <c r="W316" i="1"/>
  <c r="AX316" i="2" s="1"/>
  <c r="X316" i="1"/>
  <c r="AY316" i="2" s="1"/>
  <c r="Y316" i="1"/>
  <c r="AZ316" i="2" s="1"/>
  <c r="Z316" i="1"/>
  <c r="BA316" i="2" s="1"/>
  <c r="AA316" i="1"/>
  <c r="BB316" i="2" s="1"/>
  <c r="AB316" i="1"/>
  <c r="BC316" i="2" s="1"/>
  <c r="W317" i="1"/>
  <c r="AX317" i="2" s="1"/>
  <c r="X317" i="1"/>
  <c r="AY317" i="2" s="1"/>
  <c r="Y317" i="1"/>
  <c r="AZ317" i="2" s="1"/>
  <c r="Z317" i="1"/>
  <c r="BA317" i="2" s="1"/>
  <c r="AA317" i="1"/>
  <c r="BB317" i="2" s="1"/>
  <c r="AB317" i="1"/>
  <c r="BC317" i="2" s="1"/>
  <c r="W318" i="1"/>
  <c r="AX318" i="2" s="1"/>
  <c r="X318" i="1"/>
  <c r="AY318" i="2" s="1"/>
  <c r="Y318" i="1"/>
  <c r="AZ318" i="2" s="1"/>
  <c r="Z318" i="1"/>
  <c r="BA318" i="2" s="1"/>
  <c r="AA318" i="1"/>
  <c r="BB318" i="2" s="1"/>
  <c r="AB318" i="1"/>
  <c r="BC318" i="2" s="1"/>
  <c r="W319" i="1"/>
  <c r="AX319" i="2" s="1"/>
  <c r="X319" i="1"/>
  <c r="AY319" i="2" s="1"/>
  <c r="Y319" i="1"/>
  <c r="AZ319" i="2" s="1"/>
  <c r="Z319" i="1"/>
  <c r="BA319" i="2" s="1"/>
  <c r="AA319" i="1"/>
  <c r="BB319" i="2" s="1"/>
  <c r="AB319" i="1"/>
  <c r="BC319" i="2" s="1"/>
  <c r="W320" i="1"/>
  <c r="AX320" i="2" s="1"/>
  <c r="X320" i="1"/>
  <c r="AY320" i="2" s="1"/>
  <c r="Y320" i="1"/>
  <c r="AZ320" i="2" s="1"/>
  <c r="Z320" i="1"/>
  <c r="BA320" i="2" s="1"/>
  <c r="AA320" i="1"/>
  <c r="BB320" i="2" s="1"/>
  <c r="AB320" i="1"/>
  <c r="BC320" i="2" s="1"/>
  <c r="W321" i="1"/>
  <c r="AX321" i="2" s="1"/>
  <c r="X321" i="1"/>
  <c r="AY321" i="2" s="1"/>
  <c r="Y321" i="1"/>
  <c r="AZ321" i="2" s="1"/>
  <c r="Z321" i="1"/>
  <c r="BA321" i="2" s="1"/>
  <c r="AA321" i="1"/>
  <c r="BB321" i="2" s="1"/>
  <c r="AB321" i="1"/>
  <c r="BC321" i="2" s="1"/>
  <c r="W322" i="1"/>
  <c r="AX322" i="2" s="1"/>
  <c r="X322" i="1"/>
  <c r="AY322" i="2" s="1"/>
  <c r="Y322" i="1"/>
  <c r="AZ322" i="2" s="1"/>
  <c r="Z322" i="1"/>
  <c r="BA322" i="2" s="1"/>
  <c r="AA322" i="1"/>
  <c r="BB322" i="2" s="1"/>
  <c r="AB322" i="1"/>
  <c r="BC322" i="2" s="1"/>
  <c r="W323" i="1"/>
  <c r="AX323" i="2" s="1"/>
  <c r="X323" i="1"/>
  <c r="AY323" i="2" s="1"/>
  <c r="Y323" i="1"/>
  <c r="AZ323" i="2" s="1"/>
  <c r="Z323" i="1"/>
  <c r="BA323" i="2" s="1"/>
  <c r="AA323" i="1"/>
  <c r="BB323" i="2" s="1"/>
  <c r="AB323" i="1"/>
  <c r="BC323" i="2" s="1"/>
  <c r="W324" i="1"/>
  <c r="AX324" i="2" s="1"/>
  <c r="X324" i="1"/>
  <c r="AY324" i="2" s="1"/>
  <c r="Y324" i="1"/>
  <c r="AZ324" i="2" s="1"/>
  <c r="Z324" i="1"/>
  <c r="BA324" i="2" s="1"/>
  <c r="AA324" i="1"/>
  <c r="BB324" i="2" s="1"/>
  <c r="AB324" i="1"/>
  <c r="BC324" i="2" s="1"/>
  <c r="W325" i="1"/>
  <c r="AX325" i="2" s="1"/>
  <c r="X325" i="1"/>
  <c r="AY325" i="2" s="1"/>
  <c r="Y325" i="1"/>
  <c r="AZ325" i="2" s="1"/>
  <c r="Z325" i="1"/>
  <c r="BA325" i="2" s="1"/>
  <c r="AA325" i="1"/>
  <c r="BB325" i="2" s="1"/>
  <c r="AB325" i="1"/>
  <c r="BC325" i="2" s="1"/>
  <c r="W326" i="1"/>
  <c r="AX326" i="2" s="1"/>
  <c r="X326" i="1"/>
  <c r="AY326" i="2" s="1"/>
  <c r="Y326" i="1"/>
  <c r="AZ326" i="2" s="1"/>
  <c r="Z326" i="1"/>
  <c r="BA326" i="2" s="1"/>
  <c r="AA326" i="1"/>
  <c r="BB326" i="2" s="1"/>
  <c r="AB326" i="1"/>
  <c r="BC326" i="2" s="1"/>
  <c r="W327" i="1"/>
  <c r="AX327" i="2" s="1"/>
  <c r="X327" i="1"/>
  <c r="AY327" i="2" s="1"/>
  <c r="Y327" i="1"/>
  <c r="AZ327" i="2" s="1"/>
  <c r="Z327" i="1"/>
  <c r="BA327" i="2" s="1"/>
  <c r="AA327" i="1"/>
  <c r="BB327" i="2" s="1"/>
  <c r="AB327" i="1"/>
  <c r="BC327" i="2" s="1"/>
  <c r="W328" i="1"/>
  <c r="AX328" i="2" s="1"/>
  <c r="X328" i="1"/>
  <c r="AY328" i="2" s="1"/>
  <c r="Y328" i="1"/>
  <c r="AZ328" i="2" s="1"/>
  <c r="Z328" i="1"/>
  <c r="BA328" i="2" s="1"/>
  <c r="AA328" i="1"/>
  <c r="BB328" i="2" s="1"/>
  <c r="AB328" i="1"/>
  <c r="BC328" i="2" s="1"/>
  <c r="W329" i="1"/>
  <c r="AX329" i="2" s="1"/>
  <c r="X329" i="1"/>
  <c r="AY329" i="2" s="1"/>
  <c r="Y329" i="1"/>
  <c r="AZ329" i="2" s="1"/>
  <c r="Z329" i="1"/>
  <c r="BA329" i="2" s="1"/>
  <c r="AA329" i="1"/>
  <c r="BB329" i="2" s="1"/>
  <c r="AB329" i="1"/>
  <c r="BC329" i="2" s="1"/>
  <c r="W330" i="1"/>
  <c r="AX330" i="2" s="1"/>
  <c r="X330" i="1"/>
  <c r="AY330" i="2" s="1"/>
  <c r="Y330" i="1"/>
  <c r="AZ330" i="2" s="1"/>
  <c r="Z330" i="1"/>
  <c r="BA330" i="2" s="1"/>
  <c r="AA330" i="1"/>
  <c r="BB330" i="2" s="1"/>
  <c r="AB330" i="1"/>
  <c r="BC330" i="2" s="1"/>
  <c r="W331" i="1"/>
  <c r="AX331" i="2" s="1"/>
  <c r="X331" i="1"/>
  <c r="AY331" i="2" s="1"/>
  <c r="Y331" i="1"/>
  <c r="AZ331" i="2" s="1"/>
  <c r="Z331" i="1"/>
  <c r="BA331" i="2" s="1"/>
  <c r="AA331" i="1"/>
  <c r="BB331" i="2" s="1"/>
  <c r="AB331" i="1"/>
  <c r="BC331" i="2" s="1"/>
  <c r="W332" i="1"/>
  <c r="AX332" i="2" s="1"/>
  <c r="X332" i="1"/>
  <c r="AY332" i="2" s="1"/>
  <c r="Y332" i="1"/>
  <c r="AZ332" i="2" s="1"/>
  <c r="Z332" i="1"/>
  <c r="BA332" i="2" s="1"/>
  <c r="AA332" i="1"/>
  <c r="BB332" i="2" s="1"/>
  <c r="AB332" i="1"/>
  <c r="BC332" i="2" s="1"/>
  <c r="W333" i="1"/>
  <c r="AX333" i="2" s="1"/>
  <c r="X333" i="1"/>
  <c r="AY333" i="2" s="1"/>
  <c r="Y333" i="1"/>
  <c r="AZ333" i="2" s="1"/>
  <c r="Z333" i="1"/>
  <c r="BA333" i="2" s="1"/>
  <c r="AA333" i="1"/>
  <c r="BB333" i="2" s="1"/>
  <c r="AB333" i="1"/>
  <c r="BC333" i="2" s="1"/>
  <c r="W334" i="1"/>
  <c r="AX334" i="2" s="1"/>
  <c r="X334" i="1"/>
  <c r="AY334" i="2" s="1"/>
  <c r="Y334" i="1"/>
  <c r="AZ334" i="2" s="1"/>
  <c r="Z334" i="1"/>
  <c r="BA334" i="2" s="1"/>
  <c r="AA334" i="1"/>
  <c r="BB334" i="2" s="1"/>
  <c r="AB334" i="1"/>
  <c r="BC334" i="2" s="1"/>
  <c r="W335" i="1"/>
  <c r="AX335" i="2" s="1"/>
  <c r="X335" i="1"/>
  <c r="AY335" i="2" s="1"/>
  <c r="Y335" i="1"/>
  <c r="AZ335" i="2" s="1"/>
  <c r="Z335" i="1"/>
  <c r="BA335" i="2" s="1"/>
  <c r="AA335" i="1"/>
  <c r="BB335" i="2" s="1"/>
  <c r="AB335" i="1"/>
  <c r="BC335" i="2" s="1"/>
  <c r="W336" i="1"/>
  <c r="AX336" i="2" s="1"/>
  <c r="X336" i="1"/>
  <c r="AY336" i="2" s="1"/>
  <c r="Y336" i="1"/>
  <c r="AZ336" i="2" s="1"/>
  <c r="Z336" i="1"/>
  <c r="BA336" i="2" s="1"/>
  <c r="AA336" i="1"/>
  <c r="BB336" i="2" s="1"/>
  <c r="AB336" i="1"/>
  <c r="BC336" i="2" s="1"/>
  <c r="W337" i="1"/>
  <c r="AX337" i="2" s="1"/>
  <c r="X337" i="1"/>
  <c r="AY337" i="2" s="1"/>
  <c r="Y337" i="1"/>
  <c r="AZ337" i="2" s="1"/>
  <c r="Z337" i="1"/>
  <c r="BA337" i="2" s="1"/>
  <c r="AA337" i="1"/>
  <c r="BB337" i="2" s="1"/>
  <c r="AB337" i="1"/>
  <c r="BC337" i="2" s="1"/>
  <c r="W338" i="1"/>
  <c r="AX338" i="2" s="1"/>
  <c r="X338" i="1"/>
  <c r="AY338" i="2" s="1"/>
  <c r="Y338" i="1"/>
  <c r="AZ338" i="2" s="1"/>
  <c r="Z338" i="1"/>
  <c r="BA338" i="2" s="1"/>
  <c r="AA338" i="1"/>
  <c r="BB338" i="2" s="1"/>
  <c r="AB338" i="1"/>
  <c r="BC338" i="2" s="1"/>
  <c r="W339" i="1"/>
  <c r="AX339" i="2" s="1"/>
  <c r="X339" i="1"/>
  <c r="AY339" i="2" s="1"/>
  <c r="Y339" i="1"/>
  <c r="AZ339" i="2" s="1"/>
  <c r="Z339" i="1"/>
  <c r="BA339" i="2" s="1"/>
  <c r="AA339" i="1"/>
  <c r="BB339" i="2" s="1"/>
  <c r="AB339" i="1"/>
  <c r="BC339" i="2" s="1"/>
  <c r="W340" i="1"/>
  <c r="AX340" i="2" s="1"/>
  <c r="X340" i="1"/>
  <c r="AY340" i="2" s="1"/>
  <c r="Y340" i="1"/>
  <c r="AZ340" i="2" s="1"/>
  <c r="Z340" i="1"/>
  <c r="BA340" i="2" s="1"/>
  <c r="AA340" i="1"/>
  <c r="BB340" i="2" s="1"/>
  <c r="AB340" i="1"/>
  <c r="BC340" i="2" s="1"/>
  <c r="W341" i="1"/>
  <c r="AX341" i="2" s="1"/>
  <c r="X341" i="1"/>
  <c r="AY341" i="2" s="1"/>
  <c r="Y341" i="1"/>
  <c r="AZ341" i="2" s="1"/>
  <c r="Z341" i="1"/>
  <c r="BA341" i="2" s="1"/>
  <c r="AA341" i="1"/>
  <c r="BB341" i="2" s="1"/>
  <c r="AB341" i="1"/>
  <c r="BC341" i="2" s="1"/>
  <c r="W342" i="1"/>
  <c r="AX342" i="2" s="1"/>
  <c r="X342" i="1"/>
  <c r="AY342" i="2" s="1"/>
  <c r="Y342" i="1"/>
  <c r="AZ342" i="2" s="1"/>
  <c r="Z342" i="1"/>
  <c r="BA342" i="2" s="1"/>
  <c r="AA342" i="1"/>
  <c r="BB342" i="2" s="1"/>
  <c r="AB342" i="1"/>
  <c r="BC342" i="2" s="1"/>
  <c r="W343" i="1"/>
  <c r="AX343" i="2" s="1"/>
  <c r="X343" i="1"/>
  <c r="AY343" i="2" s="1"/>
  <c r="Y343" i="1"/>
  <c r="AZ343" i="2" s="1"/>
  <c r="Z343" i="1"/>
  <c r="BA343" i="2" s="1"/>
  <c r="AA343" i="1"/>
  <c r="BB343" i="2" s="1"/>
  <c r="AB343" i="1"/>
  <c r="BC343" i="2" s="1"/>
  <c r="W344" i="1"/>
  <c r="AX344" i="2" s="1"/>
  <c r="X344" i="1"/>
  <c r="AY344" i="2" s="1"/>
  <c r="Y344" i="1"/>
  <c r="AZ344" i="2" s="1"/>
  <c r="Z344" i="1"/>
  <c r="BA344" i="2" s="1"/>
  <c r="AA344" i="1"/>
  <c r="BB344" i="2" s="1"/>
  <c r="AB344" i="1"/>
  <c r="BC344" i="2" s="1"/>
  <c r="W345" i="1"/>
  <c r="AX345" i="2" s="1"/>
  <c r="X345" i="1"/>
  <c r="AY345" i="2" s="1"/>
  <c r="Y345" i="1"/>
  <c r="AZ345" i="2" s="1"/>
  <c r="Z345" i="1"/>
  <c r="BA345" i="2" s="1"/>
  <c r="AA345" i="1"/>
  <c r="BB345" i="2" s="1"/>
  <c r="AB345" i="1"/>
  <c r="BC345" i="2" s="1"/>
  <c r="W346" i="1"/>
  <c r="AX346" i="2" s="1"/>
  <c r="X346" i="1"/>
  <c r="AY346" i="2" s="1"/>
  <c r="Y346" i="1"/>
  <c r="AZ346" i="2" s="1"/>
  <c r="Z346" i="1"/>
  <c r="BA346" i="2" s="1"/>
  <c r="AA346" i="1"/>
  <c r="BB346" i="2" s="1"/>
  <c r="AB346" i="1"/>
  <c r="BC346" i="2" s="1"/>
  <c r="W347" i="1"/>
  <c r="AX347" i="2" s="1"/>
  <c r="X347" i="1"/>
  <c r="AY347" i="2" s="1"/>
  <c r="Y347" i="1"/>
  <c r="AZ347" i="2" s="1"/>
  <c r="Z347" i="1"/>
  <c r="BA347" i="2" s="1"/>
  <c r="AA347" i="1"/>
  <c r="BB347" i="2" s="1"/>
  <c r="AB347" i="1"/>
  <c r="BC347" i="2" s="1"/>
  <c r="W348" i="1"/>
  <c r="AX348" i="2" s="1"/>
  <c r="X348" i="1"/>
  <c r="AY348" i="2" s="1"/>
  <c r="Y348" i="1"/>
  <c r="AZ348" i="2" s="1"/>
  <c r="Z348" i="1"/>
  <c r="BA348" i="2" s="1"/>
  <c r="AA348" i="1"/>
  <c r="BB348" i="2" s="1"/>
  <c r="AB348" i="1"/>
  <c r="BC348" i="2" s="1"/>
  <c r="W349" i="1"/>
  <c r="AX349" i="2" s="1"/>
  <c r="X349" i="1"/>
  <c r="AY349" i="2" s="1"/>
  <c r="Y349" i="1"/>
  <c r="AZ349" i="2" s="1"/>
  <c r="Z349" i="1"/>
  <c r="BA349" i="2" s="1"/>
  <c r="AA349" i="1"/>
  <c r="BB349" i="2" s="1"/>
  <c r="AB349" i="1"/>
  <c r="BC349" i="2" s="1"/>
  <c r="W350" i="1"/>
  <c r="AX350" i="2" s="1"/>
  <c r="X350" i="1"/>
  <c r="AY350" i="2" s="1"/>
  <c r="Y350" i="1"/>
  <c r="AZ350" i="2" s="1"/>
  <c r="Z350" i="1"/>
  <c r="BA350" i="2" s="1"/>
  <c r="AA350" i="1"/>
  <c r="BB350" i="2" s="1"/>
  <c r="AB350" i="1"/>
  <c r="BC350" i="2" s="1"/>
  <c r="W351" i="1"/>
  <c r="AX351" i="2" s="1"/>
  <c r="X351" i="1"/>
  <c r="AY351" i="2" s="1"/>
  <c r="Y351" i="1"/>
  <c r="AZ351" i="2" s="1"/>
  <c r="Z351" i="1"/>
  <c r="BA351" i="2" s="1"/>
  <c r="AA351" i="1"/>
  <c r="BB351" i="2" s="1"/>
  <c r="AB351" i="1"/>
  <c r="BC351" i="2" s="1"/>
  <c r="W352" i="1"/>
  <c r="AX352" i="2" s="1"/>
  <c r="X352" i="1"/>
  <c r="AY352" i="2" s="1"/>
  <c r="Y352" i="1"/>
  <c r="AZ352" i="2" s="1"/>
  <c r="Z352" i="1"/>
  <c r="BA352" i="2" s="1"/>
  <c r="AA352" i="1"/>
  <c r="BB352" i="2" s="1"/>
  <c r="AB352" i="1"/>
  <c r="BC352" i="2" s="1"/>
  <c r="W353" i="1"/>
  <c r="AX353" i="2" s="1"/>
  <c r="X353" i="1"/>
  <c r="AY353" i="2" s="1"/>
  <c r="Y353" i="1"/>
  <c r="AZ353" i="2" s="1"/>
  <c r="Z353" i="1"/>
  <c r="BA353" i="2" s="1"/>
  <c r="AA353" i="1"/>
  <c r="BB353" i="2" s="1"/>
  <c r="AB353" i="1"/>
  <c r="BC353" i="2" s="1"/>
  <c r="W354" i="1"/>
  <c r="AX354" i="2" s="1"/>
  <c r="X354" i="1"/>
  <c r="AY354" i="2" s="1"/>
  <c r="Y354" i="1"/>
  <c r="AZ354" i="2" s="1"/>
  <c r="Z354" i="1"/>
  <c r="BA354" i="2" s="1"/>
  <c r="AA354" i="1"/>
  <c r="BB354" i="2" s="1"/>
  <c r="AB354" i="1"/>
  <c r="BC354" i="2" s="1"/>
  <c r="W355" i="1"/>
  <c r="AX355" i="2" s="1"/>
  <c r="X355" i="1"/>
  <c r="AY355" i="2" s="1"/>
  <c r="Y355" i="1"/>
  <c r="AZ355" i="2" s="1"/>
  <c r="Z355" i="1"/>
  <c r="BA355" i="2" s="1"/>
  <c r="AA355" i="1"/>
  <c r="BB355" i="2" s="1"/>
  <c r="AB355" i="1"/>
  <c r="BC355" i="2" s="1"/>
  <c r="W356" i="1"/>
  <c r="AX356" i="2" s="1"/>
  <c r="X356" i="1"/>
  <c r="AY356" i="2" s="1"/>
  <c r="Y356" i="1"/>
  <c r="AZ356" i="2" s="1"/>
  <c r="Z356" i="1"/>
  <c r="BA356" i="2" s="1"/>
  <c r="AA356" i="1"/>
  <c r="BB356" i="2" s="1"/>
  <c r="AB356" i="1"/>
  <c r="BC356" i="2" s="1"/>
  <c r="W357" i="1"/>
  <c r="AX357" i="2" s="1"/>
  <c r="X357" i="1"/>
  <c r="AY357" i="2" s="1"/>
  <c r="Y357" i="1"/>
  <c r="AZ357" i="2" s="1"/>
  <c r="Z357" i="1"/>
  <c r="BA357" i="2" s="1"/>
  <c r="AA357" i="1"/>
  <c r="BB357" i="2" s="1"/>
  <c r="AB357" i="1"/>
  <c r="BC357" i="2" s="1"/>
  <c r="W358" i="1"/>
  <c r="AX358" i="2" s="1"/>
  <c r="X358" i="1"/>
  <c r="AY358" i="2" s="1"/>
  <c r="Y358" i="1"/>
  <c r="AZ358" i="2" s="1"/>
  <c r="Z358" i="1"/>
  <c r="BA358" i="2" s="1"/>
  <c r="AA358" i="1"/>
  <c r="BB358" i="2" s="1"/>
  <c r="AB358" i="1"/>
  <c r="BC358" i="2" s="1"/>
  <c r="W359" i="1"/>
  <c r="AX359" i="2" s="1"/>
  <c r="X359" i="1"/>
  <c r="AY359" i="2" s="1"/>
  <c r="Y359" i="1"/>
  <c r="AZ359" i="2" s="1"/>
  <c r="Z359" i="1"/>
  <c r="BA359" i="2" s="1"/>
  <c r="AA359" i="1"/>
  <c r="BB359" i="2" s="1"/>
  <c r="AB359" i="1"/>
  <c r="BC359" i="2" s="1"/>
  <c r="W360" i="1"/>
  <c r="AX360" i="2" s="1"/>
  <c r="X360" i="1"/>
  <c r="AY360" i="2" s="1"/>
  <c r="Y360" i="1"/>
  <c r="AZ360" i="2" s="1"/>
  <c r="Z360" i="1"/>
  <c r="BA360" i="2" s="1"/>
  <c r="AA360" i="1"/>
  <c r="BB360" i="2" s="1"/>
  <c r="AB360" i="1"/>
  <c r="BC360" i="2" s="1"/>
  <c r="W361" i="1"/>
  <c r="AX361" i="2" s="1"/>
  <c r="X361" i="1"/>
  <c r="AY361" i="2" s="1"/>
  <c r="Y361" i="1"/>
  <c r="AZ361" i="2" s="1"/>
  <c r="Z361" i="1"/>
  <c r="BA361" i="2" s="1"/>
  <c r="AA361" i="1"/>
  <c r="BB361" i="2" s="1"/>
  <c r="AB361" i="1"/>
  <c r="BC361" i="2" s="1"/>
  <c r="W362" i="1"/>
  <c r="AX362" i="2" s="1"/>
  <c r="X362" i="1"/>
  <c r="AY362" i="2" s="1"/>
  <c r="Y362" i="1"/>
  <c r="AZ362" i="2" s="1"/>
  <c r="Z362" i="1"/>
  <c r="BA362" i="2" s="1"/>
  <c r="AA362" i="1"/>
  <c r="BB362" i="2" s="1"/>
  <c r="AB362" i="1"/>
  <c r="BC362" i="2" s="1"/>
  <c r="W363" i="1"/>
  <c r="AX363" i="2" s="1"/>
  <c r="X363" i="1"/>
  <c r="AY363" i="2" s="1"/>
  <c r="Y363" i="1"/>
  <c r="AZ363" i="2" s="1"/>
  <c r="Z363" i="1"/>
  <c r="BA363" i="2" s="1"/>
  <c r="AA363" i="1"/>
  <c r="BB363" i="2" s="1"/>
  <c r="AB363" i="1"/>
  <c r="BC363" i="2" s="1"/>
  <c r="W364" i="1"/>
  <c r="AX364" i="2" s="1"/>
  <c r="X364" i="1"/>
  <c r="AY364" i="2" s="1"/>
  <c r="Y364" i="1"/>
  <c r="AZ364" i="2" s="1"/>
  <c r="Z364" i="1"/>
  <c r="BA364" i="2" s="1"/>
  <c r="AA364" i="1"/>
  <c r="BB364" i="2" s="1"/>
  <c r="AB364" i="1"/>
  <c r="BC364" i="2" s="1"/>
  <c r="W365" i="1"/>
  <c r="AX365" i="2" s="1"/>
  <c r="X365" i="1"/>
  <c r="AY365" i="2" s="1"/>
  <c r="Y365" i="1"/>
  <c r="AZ365" i="2" s="1"/>
  <c r="Z365" i="1"/>
  <c r="BA365" i="2" s="1"/>
  <c r="AA365" i="1"/>
  <c r="BB365" i="2" s="1"/>
  <c r="AB365" i="1"/>
  <c r="BC365" i="2" s="1"/>
  <c r="W366" i="1"/>
  <c r="AX366" i="2" s="1"/>
  <c r="X366" i="1"/>
  <c r="AY366" i="2" s="1"/>
  <c r="Y366" i="1"/>
  <c r="AZ366" i="2" s="1"/>
  <c r="Z366" i="1"/>
  <c r="BA366" i="2" s="1"/>
  <c r="AA366" i="1"/>
  <c r="BB366" i="2" s="1"/>
  <c r="AB366" i="1"/>
  <c r="BC366" i="2" s="1"/>
  <c r="W367" i="1"/>
  <c r="AX367" i="2" s="1"/>
  <c r="X367" i="1"/>
  <c r="AY367" i="2" s="1"/>
  <c r="Y367" i="1"/>
  <c r="AZ367" i="2" s="1"/>
  <c r="Z367" i="1"/>
  <c r="BA367" i="2" s="1"/>
  <c r="AA367" i="1"/>
  <c r="BB367" i="2" s="1"/>
  <c r="AB367" i="1"/>
  <c r="BC367" i="2" s="1"/>
  <c r="W368" i="1"/>
  <c r="AX368" i="2" s="1"/>
  <c r="X368" i="1"/>
  <c r="AY368" i="2" s="1"/>
  <c r="Y368" i="1"/>
  <c r="AZ368" i="2" s="1"/>
  <c r="Z368" i="1"/>
  <c r="BA368" i="2" s="1"/>
  <c r="AA368" i="1"/>
  <c r="BB368" i="2" s="1"/>
  <c r="AB368" i="1"/>
  <c r="BC368" i="2" s="1"/>
  <c r="W369" i="1"/>
  <c r="AX369" i="2" s="1"/>
  <c r="X369" i="1"/>
  <c r="AY369" i="2" s="1"/>
  <c r="Y369" i="1"/>
  <c r="AZ369" i="2" s="1"/>
  <c r="Z369" i="1"/>
  <c r="BA369" i="2" s="1"/>
  <c r="AA369" i="1"/>
  <c r="BB369" i="2" s="1"/>
  <c r="AB369" i="1"/>
  <c r="BC369" i="2" s="1"/>
  <c r="W370" i="1"/>
  <c r="AX370" i="2" s="1"/>
  <c r="X370" i="1"/>
  <c r="AY370" i="2" s="1"/>
  <c r="Y370" i="1"/>
  <c r="AZ370" i="2" s="1"/>
  <c r="Z370" i="1"/>
  <c r="BA370" i="2" s="1"/>
  <c r="AA370" i="1"/>
  <c r="BB370" i="2" s="1"/>
  <c r="AB370" i="1"/>
  <c r="BC370" i="2" s="1"/>
  <c r="X5" i="1"/>
  <c r="AY5" i="2" s="1"/>
  <c r="Y5" i="1"/>
  <c r="AZ5" i="2" s="1"/>
  <c r="Z5" i="1"/>
  <c r="BA5" i="2" s="1"/>
  <c r="AA5" i="1"/>
  <c r="BB5" i="2" s="1"/>
  <c r="AB5" i="1"/>
  <c r="BC5" i="2" s="1"/>
  <c r="W5" i="1"/>
  <c r="AX5" i="2" s="1"/>
  <c r="S7" i="1"/>
  <c r="AD7" i="2" s="1"/>
  <c r="T7" i="1"/>
  <c r="AE7" i="2" s="1"/>
  <c r="U7" i="1"/>
  <c r="AF7" i="2" s="1"/>
  <c r="V7" i="1"/>
  <c r="AG7" i="2" s="1"/>
  <c r="S8" i="1"/>
  <c r="AD8" i="2" s="1"/>
  <c r="T8" i="1"/>
  <c r="AE8" i="2" s="1"/>
  <c r="U8" i="1"/>
  <c r="AF8" i="2" s="1"/>
  <c r="V8" i="1"/>
  <c r="AG8" i="2" s="1"/>
  <c r="S9" i="1"/>
  <c r="AD9" i="2" s="1"/>
  <c r="T9" i="1"/>
  <c r="AE9" i="2" s="1"/>
  <c r="U9" i="1"/>
  <c r="AF9" i="2" s="1"/>
  <c r="V9" i="1"/>
  <c r="AG9" i="2" s="1"/>
  <c r="S10" i="1"/>
  <c r="AD10" i="2" s="1"/>
  <c r="T10" i="1"/>
  <c r="AE10" i="2" s="1"/>
  <c r="U10" i="1"/>
  <c r="AF10" i="2" s="1"/>
  <c r="V10" i="1"/>
  <c r="AG10" i="2" s="1"/>
  <c r="S11" i="1"/>
  <c r="AD11" i="2" s="1"/>
  <c r="T11" i="1"/>
  <c r="AE11" i="2" s="1"/>
  <c r="U11" i="1"/>
  <c r="AF11" i="2" s="1"/>
  <c r="V11" i="1"/>
  <c r="AG11" i="2" s="1"/>
  <c r="S12" i="1"/>
  <c r="AD12" i="2" s="1"/>
  <c r="T12" i="1"/>
  <c r="AE12" i="2" s="1"/>
  <c r="U12" i="1"/>
  <c r="AF12" i="2" s="1"/>
  <c r="V12" i="1"/>
  <c r="AG12" i="2" s="1"/>
  <c r="S13" i="1"/>
  <c r="AD13" i="2" s="1"/>
  <c r="T13" i="1"/>
  <c r="AE13" i="2" s="1"/>
  <c r="U13" i="1"/>
  <c r="AF13" i="2" s="1"/>
  <c r="V13" i="1"/>
  <c r="AG13" i="2" s="1"/>
  <c r="S14" i="1"/>
  <c r="AD14" i="2" s="1"/>
  <c r="T14" i="1"/>
  <c r="AE14" i="2" s="1"/>
  <c r="U14" i="1"/>
  <c r="AF14" i="2" s="1"/>
  <c r="V14" i="1"/>
  <c r="AG14" i="2" s="1"/>
  <c r="S15" i="1"/>
  <c r="AD15" i="2" s="1"/>
  <c r="T15" i="1"/>
  <c r="AE15" i="2" s="1"/>
  <c r="U15" i="1"/>
  <c r="AF15" i="2" s="1"/>
  <c r="V15" i="1"/>
  <c r="AG15" i="2" s="1"/>
  <c r="S16" i="1"/>
  <c r="AD16" i="2" s="1"/>
  <c r="T16" i="1"/>
  <c r="AE16" i="2" s="1"/>
  <c r="U16" i="1"/>
  <c r="AF16" i="2" s="1"/>
  <c r="V16" i="1"/>
  <c r="AG16" i="2" s="1"/>
  <c r="S17" i="1"/>
  <c r="AD17" i="2" s="1"/>
  <c r="T17" i="1"/>
  <c r="AE17" i="2" s="1"/>
  <c r="U17" i="1"/>
  <c r="AF17" i="2" s="1"/>
  <c r="V17" i="1"/>
  <c r="AG17" i="2" s="1"/>
  <c r="S18" i="1"/>
  <c r="AD18" i="2" s="1"/>
  <c r="T18" i="1"/>
  <c r="AE18" i="2" s="1"/>
  <c r="U18" i="1"/>
  <c r="AF18" i="2" s="1"/>
  <c r="V18" i="1"/>
  <c r="AG18" i="2" s="1"/>
  <c r="S19" i="1"/>
  <c r="AD19" i="2" s="1"/>
  <c r="T19" i="1"/>
  <c r="AE19" i="2" s="1"/>
  <c r="U19" i="1"/>
  <c r="AF19" i="2" s="1"/>
  <c r="V19" i="1"/>
  <c r="AG19" i="2" s="1"/>
  <c r="S20" i="1"/>
  <c r="AD20" i="2" s="1"/>
  <c r="T20" i="1"/>
  <c r="AE20" i="2" s="1"/>
  <c r="U20" i="1"/>
  <c r="AF20" i="2" s="1"/>
  <c r="V20" i="1"/>
  <c r="AG20" i="2" s="1"/>
  <c r="S21" i="1"/>
  <c r="AD21" i="2" s="1"/>
  <c r="T21" i="1"/>
  <c r="AE21" i="2" s="1"/>
  <c r="U21" i="1"/>
  <c r="AF21" i="2" s="1"/>
  <c r="V21" i="1"/>
  <c r="AG21" i="2" s="1"/>
  <c r="S22" i="1"/>
  <c r="AD22" i="2" s="1"/>
  <c r="T22" i="1"/>
  <c r="AE22" i="2" s="1"/>
  <c r="U22" i="1"/>
  <c r="AF22" i="2" s="1"/>
  <c r="V22" i="1"/>
  <c r="AG22" i="2" s="1"/>
  <c r="S23" i="1"/>
  <c r="AD23" i="2" s="1"/>
  <c r="T23" i="1"/>
  <c r="AE23" i="2" s="1"/>
  <c r="U23" i="1"/>
  <c r="AF23" i="2" s="1"/>
  <c r="V23" i="1"/>
  <c r="AG23" i="2" s="1"/>
  <c r="S24" i="1"/>
  <c r="AD24" i="2" s="1"/>
  <c r="T24" i="1"/>
  <c r="AE24" i="2" s="1"/>
  <c r="U24" i="1"/>
  <c r="AF24" i="2" s="1"/>
  <c r="V24" i="1"/>
  <c r="AG24" i="2" s="1"/>
  <c r="S25" i="1"/>
  <c r="AD25" i="2" s="1"/>
  <c r="T25" i="1"/>
  <c r="AE25" i="2" s="1"/>
  <c r="U25" i="1"/>
  <c r="AF25" i="2" s="1"/>
  <c r="V25" i="1"/>
  <c r="AG25" i="2" s="1"/>
  <c r="S26" i="1"/>
  <c r="AD26" i="2" s="1"/>
  <c r="T26" i="1"/>
  <c r="AE26" i="2" s="1"/>
  <c r="U26" i="1"/>
  <c r="AF26" i="2" s="1"/>
  <c r="V26" i="1"/>
  <c r="AG26" i="2" s="1"/>
  <c r="S27" i="1"/>
  <c r="AD27" i="2" s="1"/>
  <c r="T27" i="1"/>
  <c r="AE27" i="2" s="1"/>
  <c r="U27" i="1"/>
  <c r="AF27" i="2" s="1"/>
  <c r="V27" i="1"/>
  <c r="AG27" i="2" s="1"/>
  <c r="S28" i="1"/>
  <c r="AD28" i="2" s="1"/>
  <c r="T28" i="1"/>
  <c r="AE28" i="2" s="1"/>
  <c r="U28" i="1"/>
  <c r="AF28" i="2" s="1"/>
  <c r="V28" i="1"/>
  <c r="AG28" i="2" s="1"/>
  <c r="S29" i="1"/>
  <c r="AD29" i="2" s="1"/>
  <c r="T29" i="1"/>
  <c r="AE29" i="2" s="1"/>
  <c r="U29" i="1"/>
  <c r="AF29" i="2" s="1"/>
  <c r="V29" i="1"/>
  <c r="AG29" i="2" s="1"/>
  <c r="S30" i="1"/>
  <c r="AD30" i="2" s="1"/>
  <c r="T30" i="1"/>
  <c r="AE30" i="2" s="1"/>
  <c r="U30" i="1"/>
  <c r="AF30" i="2" s="1"/>
  <c r="V30" i="1"/>
  <c r="AG30" i="2" s="1"/>
  <c r="S31" i="1"/>
  <c r="AD31" i="2" s="1"/>
  <c r="T31" i="1"/>
  <c r="AE31" i="2" s="1"/>
  <c r="U31" i="1"/>
  <c r="AF31" i="2" s="1"/>
  <c r="V31" i="1"/>
  <c r="AG31" i="2" s="1"/>
  <c r="S32" i="1"/>
  <c r="AD32" i="2" s="1"/>
  <c r="T32" i="1"/>
  <c r="AE32" i="2" s="1"/>
  <c r="U32" i="1"/>
  <c r="AF32" i="2" s="1"/>
  <c r="V32" i="1"/>
  <c r="AG32" i="2" s="1"/>
  <c r="S33" i="1"/>
  <c r="AD33" i="2" s="1"/>
  <c r="T33" i="1"/>
  <c r="AE33" i="2" s="1"/>
  <c r="U33" i="1"/>
  <c r="AF33" i="2" s="1"/>
  <c r="V33" i="1"/>
  <c r="AG33" i="2" s="1"/>
  <c r="S34" i="1"/>
  <c r="AD34" i="2" s="1"/>
  <c r="T34" i="1"/>
  <c r="AE34" i="2" s="1"/>
  <c r="U34" i="1"/>
  <c r="AF34" i="2" s="1"/>
  <c r="V34" i="1"/>
  <c r="AG34" i="2" s="1"/>
  <c r="S35" i="1"/>
  <c r="AD35" i="2" s="1"/>
  <c r="T35" i="1"/>
  <c r="AE35" i="2" s="1"/>
  <c r="U35" i="1"/>
  <c r="AF35" i="2" s="1"/>
  <c r="V35" i="1"/>
  <c r="AG35" i="2" s="1"/>
  <c r="S36" i="1"/>
  <c r="AD36" i="2" s="1"/>
  <c r="T36" i="1"/>
  <c r="AE36" i="2" s="1"/>
  <c r="U36" i="1"/>
  <c r="AF36" i="2" s="1"/>
  <c r="V36" i="1"/>
  <c r="AG36" i="2" s="1"/>
  <c r="S37" i="1"/>
  <c r="AD37" i="2" s="1"/>
  <c r="T37" i="1"/>
  <c r="AE37" i="2" s="1"/>
  <c r="U37" i="1"/>
  <c r="AF37" i="2" s="1"/>
  <c r="V37" i="1"/>
  <c r="AG37" i="2" s="1"/>
  <c r="S38" i="1"/>
  <c r="AD38" i="2" s="1"/>
  <c r="T38" i="1"/>
  <c r="AE38" i="2" s="1"/>
  <c r="U38" i="1"/>
  <c r="AF38" i="2" s="1"/>
  <c r="V38" i="1"/>
  <c r="AG38" i="2" s="1"/>
  <c r="S39" i="1"/>
  <c r="AD39" i="2" s="1"/>
  <c r="T39" i="1"/>
  <c r="AE39" i="2" s="1"/>
  <c r="U39" i="1"/>
  <c r="AF39" i="2" s="1"/>
  <c r="V39" i="1"/>
  <c r="AG39" i="2" s="1"/>
  <c r="S40" i="1"/>
  <c r="AD40" i="2" s="1"/>
  <c r="T40" i="1"/>
  <c r="AE40" i="2" s="1"/>
  <c r="U40" i="1"/>
  <c r="AF40" i="2" s="1"/>
  <c r="V40" i="1"/>
  <c r="AG40" i="2" s="1"/>
  <c r="S41" i="1"/>
  <c r="AD41" i="2" s="1"/>
  <c r="T41" i="1"/>
  <c r="AE41" i="2" s="1"/>
  <c r="U41" i="1"/>
  <c r="AF41" i="2" s="1"/>
  <c r="V41" i="1"/>
  <c r="AG41" i="2" s="1"/>
  <c r="S42" i="1"/>
  <c r="AD42" i="2" s="1"/>
  <c r="T42" i="1"/>
  <c r="AE42" i="2" s="1"/>
  <c r="U42" i="1"/>
  <c r="AF42" i="2" s="1"/>
  <c r="V42" i="1"/>
  <c r="AG42" i="2" s="1"/>
  <c r="S43" i="1"/>
  <c r="AD43" i="2" s="1"/>
  <c r="T43" i="1"/>
  <c r="AE43" i="2" s="1"/>
  <c r="U43" i="1"/>
  <c r="AF43" i="2" s="1"/>
  <c r="V43" i="1"/>
  <c r="AG43" i="2" s="1"/>
  <c r="S44" i="1"/>
  <c r="AD44" i="2" s="1"/>
  <c r="T44" i="1"/>
  <c r="AE44" i="2" s="1"/>
  <c r="U44" i="1"/>
  <c r="AF44" i="2" s="1"/>
  <c r="V44" i="1"/>
  <c r="AG44" i="2" s="1"/>
  <c r="S45" i="1"/>
  <c r="AD45" i="2" s="1"/>
  <c r="T45" i="1"/>
  <c r="AE45" i="2" s="1"/>
  <c r="U45" i="1"/>
  <c r="AF45" i="2" s="1"/>
  <c r="V45" i="1"/>
  <c r="AG45" i="2" s="1"/>
  <c r="S46" i="1"/>
  <c r="AD46" i="2" s="1"/>
  <c r="T46" i="1"/>
  <c r="AE46" i="2" s="1"/>
  <c r="U46" i="1"/>
  <c r="AF46" i="2" s="1"/>
  <c r="V46" i="1"/>
  <c r="AG46" i="2" s="1"/>
  <c r="S47" i="1"/>
  <c r="AD47" i="2" s="1"/>
  <c r="T47" i="1"/>
  <c r="AE47" i="2" s="1"/>
  <c r="U47" i="1"/>
  <c r="AF47" i="2" s="1"/>
  <c r="V47" i="1"/>
  <c r="AG47" i="2" s="1"/>
  <c r="S48" i="1"/>
  <c r="AD48" i="2" s="1"/>
  <c r="T48" i="1"/>
  <c r="AE48" i="2" s="1"/>
  <c r="U48" i="1"/>
  <c r="AF48" i="2" s="1"/>
  <c r="V48" i="1"/>
  <c r="AG48" i="2" s="1"/>
  <c r="S49" i="1"/>
  <c r="AD49" i="2" s="1"/>
  <c r="T49" i="1"/>
  <c r="AE49" i="2" s="1"/>
  <c r="U49" i="1"/>
  <c r="AF49" i="2" s="1"/>
  <c r="V49" i="1"/>
  <c r="AG49" i="2" s="1"/>
  <c r="S50" i="1"/>
  <c r="AD50" i="2" s="1"/>
  <c r="T50" i="1"/>
  <c r="AE50" i="2" s="1"/>
  <c r="U50" i="1"/>
  <c r="AF50" i="2" s="1"/>
  <c r="V50" i="1"/>
  <c r="AG50" i="2" s="1"/>
  <c r="S51" i="1"/>
  <c r="AD51" i="2" s="1"/>
  <c r="T51" i="1"/>
  <c r="AE51" i="2" s="1"/>
  <c r="U51" i="1"/>
  <c r="AF51" i="2" s="1"/>
  <c r="V51" i="1"/>
  <c r="AG51" i="2" s="1"/>
  <c r="S52" i="1"/>
  <c r="AD52" i="2" s="1"/>
  <c r="T52" i="1"/>
  <c r="AE52" i="2" s="1"/>
  <c r="U52" i="1"/>
  <c r="AF52" i="2" s="1"/>
  <c r="V52" i="1"/>
  <c r="AG52" i="2" s="1"/>
  <c r="S53" i="1"/>
  <c r="AD53" i="2" s="1"/>
  <c r="T53" i="1"/>
  <c r="AE53" i="2" s="1"/>
  <c r="U53" i="1"/>
  <c r="AF53" i="2" s="1"/>
  <c r="V53" i="1"/>
  <c r="AG53" i="2" s="1"/>
  <c r="S54" i="1"/>
  <c r="AD54" i="2" s="1"/>
  <c r="T54" i="1"/>
  <c r="AE54" i="2" s="1"/>
  <c r="U54" i="1"/>
  <c r="AF54" i="2" s="1"/>
  <c r="V54" i="1"/>
  <c r="AG54" i="2" s="1"/>
  <c r="S55" i="1"/>
  <c r="AD55" i="2" s="1"/>
  <c r="T55" i="1"/>
  <c r="AE55" i="2" s="1"/>
  <c r="U55" i="1"/>
  <c r="AF55" i="2" s="1"/>
  <c r="V55" i="1"/>
  <c r="AG55" i="2" s="1"/>
  <c r="S56" i="1"/>
  <c r="AD56" i="2" s="1"/>
  <c r="T56" i="1"/>
  <c r="AE56" i="2" s="1"/>
  <c r="U56" i="1"/>
  <c r="AF56" i="2" s="1"/>
  <c r="V56" i="1"/>
  <c r="AG56" i="2" s="1"/>
  <c r="S57" i="1"/>
  <c r="AD57" i="2" s="1"/>
  <c r="T57" i="1"/>
  <c r="AE57" i="2" s="1"/>
  <c r="U57" i="1"/>
  <c r="AF57" i="2" s="1"/>
  <c r="V57" i="1"/>
  <c r="AG57" i="2" s="1"/>
  <c r="S58" i="1"/>
  <c r="AD58" i="2" s="1"/>
  <c r="T58" i="1"/>
  <c r="AE58" i="2" s="1"/>
  <c r="U58" i="1"/>
  <c r="AF58" i="2" s="1"/>
  <c r="V58" i="1"/>
  <c r="AG58" i="2" s="1"/>
  <c r="S59" i="1"/>
  <c r="AD59" i="2" s="1"/>
  <c r="T59" i="1"/>
  <c r="AE59" i="2" s="1"/>
  <c r="U59" i="1"/>
  <c r="AF59" i="2" s="1"/>
  <c r="V59" i="1"/>
  <c r="AG59" i="2" s="1"/>
  <c r="S60" i="1"/>
  <c r="AD60" i="2" s="1"/>
  <c r="T60" i="1"/>
  <c r="AE60" i="2" s="1"/>
  <c r="U60" i="1"/>
  <c r="AF60" i="2" s="1"/>
  <c r="V60" i="1"/>
  <c r="AG60" i="2" s="1"/>
  <c r="S61" i="1"/>
  <c r="AD61" i="2" s="1"/>
  <c r="T61" i="1"/>
  <c r="AE61" i="2" s="1"/>
  <c r="U61" i="1"/>
  <c r="AF61" i="2" s="1"/>
  <c r="V61" i="1"/>
  <c r="AG61" i="2" s="1"/>
  <c r="S62" i="1"/>
  <c r="AD62" i="2" s="1"/>
  <c r="T62" i="1"/>
  <c r="AE62" i="2" s="1"/>
  <c r="U62" i="1"/>
  <c r="AF62" i="2" s="1"/>
  <c r="V62" i="1"/>
  <c r="AG62" i="2" s="1"/>
  <c r="S63" i="1"/>
  <c r="AD63" i="2" s="1"/>
  <c r="T63" i="1"/>
  <c r="AE63" i="2" s="1"/>
  <c r="U63" i="1"/>
  <c r="AF63" i="2" s="1"/>
  <c r="V63" i="1"/>
  <c r="AG63" i="2" s="1"/>
  <c r="S64" i="1"/>
  <c r="AD64" i="2" s="1"/>
  <c r="T64" i="1"/>
  <c r="AE64" i="2" s="1"/>
  <c r="U64" i="1"/>
  <c r="AF64" i="2" s="1"/>
  <c r="V64" i="1"/>
  <c r="AG64" i="2" s="1"/>
  <c r="S65" i="1"/>
  <c r="AD65" i="2" s="1"/>
  <c r="T65" i="1"/>
  <c r="AE65" i="2" s="1"/>
  <c r="U65" i="1"/>
  <c r="AF65" i="2" s="1"/>
  <c r="V65" i="1"/>
  <c r="AG65" i="2" s="1"/>
  <c r="S66" i="1"/>
  <c r="AD66" i="2" s="1"/>
  <c r="T66" i="1"/>
  <c r="AE66" i="2" s="1"/>
  <c r="U66" i="1"/>
  <c r="AF66" i="2" s="1"/>
  <c r="V66" i="1"/>
  <c r="AG66" i="2" s="1"/>
  <c r="S67" i="1"/>
  <c r="AD67" i="2" s="1"/>
  <c r="T67" i="1"/>
  <c r="AE67" i="2" s="1"/>
  <c r="U67" i="1"/>
  <c r="AF67" i="2" s="1"/>
  <c r="V67" i="1"/>
  <c r="AG67" i="2" s="1"/>
  <c r="S68" i="1"/>
  <c r="AD68" i="2" s="1"/>
  <c r="T68" i="1"/>
  <c r="AE68" i="2" s="1"/>
  <c r="U68" i="1"/>
  <c r="AF68" i="2" s="1"/>
  <c r="V68" i="1"/>
  <c r="AG68" i="2" s="1"/>
  <c r="S69" i="1"/>
  <c r="AD69" i="2" s="1"/>
  <c r="T69" i="1"/>
  <c r="AE69" i="2" s="1"/>
  <c r="U69" i="1"/>
  <c r="AF69" i="2" s="1"/>
  <c r="V69" i="1"/>
  <c r="AG69" i="2" s="1"/>
  <c r="S70" i="1"/>
  <c r="AD70" i="2" s="1"/>
  <c r="T70" i="1"/>
  <c r="AE70" i="2" s="1"/>
  <c r="U70" i="1"/>
  <c r="AF70" i="2" s="1"/>
  <c r="V70" i="1"/>
  <c r="AG70" i="2" s="1"/>
  <c r="S71" i="1"/>
  <c r="AD71" i="2" s="1"/>
  <c r="T71" i="1"/>
  <c r="AE71" i="2" s="1"/>
  <c r="U71" i="1"/>
  <c r="AF71" i="2" s="1"/>
  <c r="V71" i="1"/>
  <c r="AG71" i="2" s="1"/>
  <c r="S72" i="1"/>
  <c r="AD72" i="2" s="1"/>
  <c r="T72" i="1"/>
  <c r="AE72" i="2" s="1"/>
  <c r="U72" i="1"/>
  <c r="AF72" i="2" s="1"/>
  <c r="V72" i="1"/>
  <c r="AG72" i="2" s="1"/>
  <c r="S73" i="1"/>
  <c r="AD73" i="2" s="1"/>
  <c r="T73" i="1"/>
  <c r="AE73" i="2" s="1"/>
  <c r="U73" i="1"/>
  <c r="AF73" i="2" s="1"/>
  <c r="V73" i="1"/>
  <c r="AG73" i="2" s="1"/>
  <c r="S74" i="1"/>
  <c r="AD74" i="2" s="1"/>
  <c r="T74" i="1"/>
  <c r="AE74" i="2" s="1"/>
  <c r="U74" i="1"/>
  <c r="AF74" i="2" s="1"/>
  <c r="V74" i="1"/>
  <c r="AG74" i="2" s="1"/>
  <c r="S75" i="1"/>
  <c r="AD75" i="2" s="1"/>
  <c r="T75" i="1"/>
  <c r="AE75" i="2" s="1"/>
  <c r="U75" i="1"/>
  <c r="AF75" i="2" s="1"/>
  <c r="V75" i="1"/>
  <c r="AG75" i="2" s="1"/>
  <c r="S76" i="1"/>
  <c r="AD76" i="2" s="1"/>
  <c r="T76" i="1"/>
  <c r="AE76" i="2" s="1"/>
  <c r="U76" i="1"/>
  <c r="AF76" i="2" s="1"/>
  <c r="V76" i="1"/>
  <c r="AG76" i="2" s="1"/>
  <c r="S77" i="1"/>
  <c r="AD77" i="2" s="1"/>
  <c r="T77" i="1"/>
  <c r="AE77" i="2" s="1"/>
  <c r="U77" i="1"/>
  <c r="AF77" i="2" s="1"/>
  <c r="V77" i="1"/>
  <c r="AG77" i="2" s="1"/>
  <c r="S78" i="1"/>
  <c r="AD78" i="2" s="1"/>
  <c r="T78" i="1"/>
  <c r="AE78" i="2" s="1"/>
  <c r="U78" i="1"/>
  <c r="AF78" i="2" s="1"/>
  <c r="V78" i="1"/>
  <c r="AG78" i="2" s="1"/>
  <c r="S79" i="1"/>
  <c r="AD79" i="2" s="1"/>
  <c r="T79" i="1"/>
  <c r="AE79" i="2" s="1"/>
  <c r="U79" i="1"/>
  <c r="AF79" i="2" s="1"/>
  <c r="V79" i="1"/>
  <c r="AG79" i="2" s="1"/>
  <c r="S80" i="1"/>
  <c r="AD80" i="2" s="1"/>
  <c r="T80" i="1"/>
  <c r="AE80" i="2" s="1"/>
  <c r="U80" i="1"/>
  <c r="AF80" i="2" s="1"/>
  <c r="V80" i="1"/>
  <c r="AG80" i="2" s="1"/>
  <c r="S81" i="1"/>
  <c r="AD81" i="2" s="1"/>
  <c r="T81" i="1"/>
  <c r="AE81" i="2" s="1"/>
  <c r="U81" i="1"/>
  <c r="AF81" i="2" s="1"/>
  <c r="V81" i="1"/>
  <c r="AG81" i="2" s="1"/>
  <c r="S82" i="1"/>
  <c r="AD82" i="2" s="1"/>
  <c r="T82" i="1"/>
  <c r="AE82" i="2" s="1"/>
  <c r="U82" i="1"/>
  <c r="AF82" i="2" s="1"/>
  <c r="V82" i="1"/>
  <c r="AG82" i="2" s="1"/>
  <c r="S83" i="1"/>
  <c r="AD83" i="2" s="1"/>
  <c r="T83" i="1"/>
  <c r="AE83" i="2" s="1"/>
  <c r="U83" i="1"/>
  <c r="AF83" i="2" s="1"/>
  <c r="V83" i="1"/>
  <c r="AG83" i="2" s="1"/>
  <c r="S84" i="1"/>
  <c r="AD84" i="2" s="1"/>
  <c r="T84" i="1"/>
  <c r="AE84" i="2" s="1"/>
  <c r="U84" i="1"/>
  <c r="AF84" i="2" s="1"/>
  <c r="V84" i="1"/>
  <c r="AG84" i="2" s="1"/>
  <c r="S85" i="1"/>
  <c r="AD85" i="2" s="1"/>
  <c r="T85" i="1"/>
  <c r="AE85" i="2" s="1"/>
  <c r="U85" i="1"/>
  <c r="AF85" i="2" s="1"/>
  <c r="V85" i="1"/>
  <c r="AG85" i="2" s="1"/>
  <c r="S86" i="1"/>
  <c r="AD86" i="2" s="1"/>
  <c r="T86" i="1"/>
  <c r="AE86" i="2" s="1"/>
  <c r="U86" i="1"/>
  <c r="AF86" i="2" s="1"/>
  <c r="V86" i="1"/>
  <c r="AG86" i="2" s="1"/>
  <c r="S87" i="1"/>
  <c r="AD87" i="2" s="1"/>
  <c r="T87" i="1"/>
  <c r="AE87" i="2" s="1"/>
  <c r="U87" i="1"/>
  <c r="AF87" i="2" s="1"/>
  <c r="V87" i="1"/>
  <c r="AG87" i="2" s="1"/>
  <c r="S88" i="1"/>
  <c r="AD88" i="2" s="1"/>
  <c r="T88" i="1"/>
  <c r="AE88" i="2" s="1"/>
  <c r="U88" i="1"/>
  <c r="AF88" i="2" s="1"/>
  <c r="V88" i="1"/>
  <c r="AG88" i="2" s="1"/>
  <c r="S89" i="1"/>
  <c r="AD89" i="2" s="1"/>
  <c r="T89" i="1"/>
  <c r="AE89" i="2" s="1"/>
  <c r="U89" i="1"/>
  <c r="AF89" i="2" s="1"/>
  <c r="V89" i="1"/>
  <c r="AG89" i="2" s="1"/>
  <c r="S90" i="1"/>
  <c r="AD90" i="2" s="1"/>
  <c r="T90" i="1"/>
  <c r="AE90" i="2" s="1"/>
  <c r="U90" i="1"/>
  <c r="AF90" i="2" s="1"/>
  <c r="V90" i="1"/>
  <c r="AG90" i="2" s="1"/>
  <c r="S91" i="1"/>
  <c r="AD91" i="2" s="1"/>
  <c r="T91" i="1"/>
  <c r="AE91" i="2" s="1"/>
  <c r="U91" i="1"/>
  <c r="AF91" i="2" s="1"/>
  <c r="V91" i="1"/>
  <c r="AG91" i="2" s="1"/>
  <c r="S92" i="1"/>
  <c r="AD92" i="2" s="1"/>
  <c r="T92" i="1"/>
  <c r="AE92" i="2" s="1"/>
  <c r="U92" i="1"/>
  <c r="AF92" i="2" s="1"/>
  <c r="V92" i="1"/>
  <c r="AG92" i="2" s="1"/>
  <c r="S93" i="1"/>
  <c r="AD93" i="2" s="1"/>
  <c r="T93" i="1"/>
  <c r="AE93" i="2" s="1"/>
  <c r="U93" i="1"/>
  <c r="AF93" i="2" s="1"/>
  <c r="V93" i="1"/>
  <c r="AG93" i="2" s="1"/>
  <c r="S94" i="1"/>
  <c r="AD94" i="2" s="1"/>
  <c r="T94" i="1"/>
  <c r="AE94" i="2" s="1"/>
  <c r="U94" i="1"/>
  <c r="AF94" i="2" s="1"/>
  <c r="V94" i="1"/>
  <c r="AG94" i="2" s="1"/>
  <c r="S95" i="1"/>
  <c r="AD95" i="2" s="1"/>
  <c r="T95" i="1"/>
  <c r="AE95" i="2" s="1"/>
  <c r="U95" i="1"/>
  <c r="AF95" i="2" s="1"/>
  <c r="V95" i="1"/>
  <c r="AG95" i="2" s="1"/>
  <c r="S96" i="1"/>
  <c r="AD96" i="2" s="1"/>
  <c r="T96" i="1"/>
  <c r="AE96" i="2" s="1"/>
  <c r="U96" i="1"/>
  <c r="AF96" i="2" s="1"/>
  <c r="V96" i="1"/>
  <c r="AG96" i="2" s="1"/>
  <c r="S97" i="1"/>
  <c r="AD97" i="2" s="1"/>
  <c r="T97" i="1"/>
  <c r="AE97" i="2" s="1"/>
  <c r="U97" i="1"/>
  <c r="AF97" i="2" s="1"/>
  <c r="V97" i="1"/>
  <c r="AG97" i="2" s="1"/>
  <c r="S98" i="1"/>
  <c r="AD98" i="2" s="1"/>
  <c r="T98" i="1"/>
  <c r="AE98" i="2" s="1"/>
  <c r="U98" i="1"/>
  <c r="AF98" i="2" s="1"/>
  <c r="V98" i="1"/>
  <c r="AG98" i="2" s="1"/>
  <c r="S99" i="1"/>
  <c r="AD99" i="2" s="1"/>
  <c r="T99" i="1"/>
  <c r="AE99" i="2" s="1"/>
  <c r="U99" i="1"/>
  <c r="AF99" i="2" s="1"/>
  <c r="V99" i="1"/>
  <c r="AG99" i="2" s="1"/>
  <c r="S100" i="1"/>
  <c r="AD100" i="2" s="1"/>
  <c r="T100" i="1"/>
  <c r="AE100" i="2" s="1"/>
  <c r="U100" i="1"/>
  <c r="AF100" i="2" s="1"/>
  <c r="V100" i="1"/>
  <c r="AG100" i="2" s="1"/>
  <c r="S101" i="1"/>
  <c r="AD101" i="2" s="1"/>
  <c r="T101" i="1"/>
  <c r="AE101" i="2" s="1"/>
  <c r="U101" i="1"/>
  <c r="AF101" i="2" s="1"/>
  <c r="V101" i="1"/>
  <c r="AG101" i="2" s="1"/>
  <c r="S102" i="1"/>
  <c r="AD102" i="2" s="1"/>
  <c r="T102" i="1"/>
  <c r="AE102" i="2" s="1"/>
  <c r="U102" i="1"/>
  <c r="AF102" i="2" s="1"/>
  <c r="V102" i="1"/>
  <c r="AG102" i="2" s="1"/>
  <c r="S103" i="1"/>
  <c r="AD103" i="2" s="1"/>
  <c r="T103" i="1"/>
  <c r="AE103" i="2" s="1"/>
  <c r="U103" i="1"/>
  <c r="AF103" i="2" s="1"/>
  <c r="V103" i="1"/>
  <c r="AG103" i="2" s="1"/>
  <c r="S104" i="1"/>
  <c r="AD104" i="2" s="1"/>
  <c r="T104" i="1"/>
  <c r="AE104" i="2" s="1"/>
  <c r="U104" i="1"/>
  <c r="AF104" i="2" s="1"/>
  <c r="V104" i="1"/>
  <c r="AG104" i="2" s="1"/>
  <c r="S105" i="1"/>
  <c r="AD105" i="2" s="1"/>
  <c r="T105" i="1"/>
  <c r="AE105" i="2" s="1"/>
  <c r="U105" i="1"/>
  <c r="AF105" i="2" s="1"/>
  <c r="V105" i="1"/>
  <c r="AG105" i="2" s="1"/>
  <c r="S106" i="1"/>
  <c r="AD106" i="2" s="1"/>
  <c r="T106" i="1"/>
  <c r="AE106" i="2" s="1"/>
  <c r="U106" i="1"/>
  <c r="AF106" i="2" s="1"/>
  <c r="V106" i="1"/>
  <c r="AG106" i="2" s="1"/>
  <c r="S107" i="1"/>
  <c r="AD107" i="2" s="1"/>
  <c r="T107" i="1"/>
  <c r="AE107" i="2" s="1"/>
  <c r="U107" i="1"/>
  <c r="AF107" i="2" s="1"/>
  <c r="V107" i="1"/>
  <c r="AG107" i="2" s="1"/>
  <c r="S108" i="1"/>
  <c r="AD108" i="2" s="1"/>
  <c r="T108" i="1"/>
  <c r="AE108" i="2" s="1"/>
  <c r="U108" i="1"/>
  <c r="AF108" i="2" s="1"/>
  <c r="V108" i="1"/>
  <c r="AG108" i="2" s="1"/>
  <c r="S109" i="1"/>
  <c r="AD109" i="2" s="1"/>
  <c r="T109" i="1"/>
  <c r="AE109" i="2" s="1"/>
  <c r="U109" i="1"/>
  <c r="AF109" i="2" s="1"/>
  <c r="V109" i="1"/>
  <c r="AG109" i="2" s="1"/>
  <c r="S110" i="1"/>
  <c r="AD110" i="2" s="1"/>
  <c r="T110" i="1"/>
  <c r="AE110" i="2" s="1"/>
  <c r="U110" i="1"/>
  <c r="AF110" i="2" s="1"/>
  <c r="V110" i="1"/>
  <c r="AG110" i="2" s="1"/>
  <c r="S111" i="1"/>
  <c r="AD111" i="2" s="1"/>
  <c r="T111" i="1"/>
  <c r="AE111" i="2" s="1"/>
  <c r="U111" i="1"/>
  <c r="AF111" i="2" s="1"/>
  <c r="V111" i="1"/>
  <c r="AG111" i="2" s="1"/>
  <c r="S112" i="1"/>
  <c r="AD112" i="2" s="1"/>
  <c r="T112" i="1"/>
  <c r="AE112" i="2" s="1"/>
  <c r="U112" i="1"/>
  <c r="AF112" i="2" s="1"/>
  <c r="V112" i="1"/>
  <c r="AG112" i="2" s="1"/>
  <c r="S113" i="1"/>
  <c r="AD113" i="2" s="1"/>
  <c r="T113" i="1"/>
  <c r="AE113" i="2" s="1"/>
  <c r="U113" i="1"/>
  <c r="AF113" i="2" s="1"/>
  <c r="V113" i="1"/>
  <c r="AG113" i="2" s="1"/>
  <c r="S114" i="1"/>
  <c r="AD114" i="2" s="1"/>
  <c r="T114" i="1"/>
  <c r="AE114" i="2" s="1"/>
  <c r="U114" i="1"/>
  <c r="AF114" i="2" s="1"/>
  <c r="V114" i="1"/>
  <c r="AG114" i="2" s="1"/>
  <c r="S115" i="1"/>
  <c r="AD115" i="2" s="1"/>
  <c r="T115" i="1"/>
  <c r="AE115" i="2" s="1"/>
  <c r="U115" i="1"/>
  <c r="AF115" i="2" s="1"/>
  <c r="V115" i="1"/>
  <c r="AG115" i="2" s="1"/>
  <c r="S116" i="1"/>
  <c r="AD116" i="2" s="1"/>
  <c r="T116" i="1"/>
  <c r="AE116" i="2" s="1"/>
  <c r="U116" i="1"/>
  <c r="AF116" i="2" s="1"/>
  <c r="V116" i="1"/>
  <c r="AG116" i="2" s="1"/>
  <c r="S117" i="1"/>
  <c r="AD117" i="2" s="1"/>
  <c r="T117" i="1"/>
  <c r="AE117" i="2" s="1"/>
  <c r="U117" i="1"/>
  <c r="AF117" i="2" s="1"/>
  <c r="V117" i="1"/>
  <c r="AG117" i="2" s="1"/>
  <c r="S118" i="1"/>
  <c r="AD118" i="2" s="1"/>
  <c r="T118" i="1"/>
  <c r="AE118" i="2" s="1"/>
  <c r="U118" i="1"/>
  <c r="AF118" i="2" s="1"/>
  <c r="V118" i="1"/>
  <c r="AG118" i="2" s="1"/>
  <c r="S119" i="1"/>
  <c r="AD119" i="2" s="1"/>
  <c r="T119" i="1"/>
  <c r="AE119" i="2" s="1"/>
  <c r="U119" i="1"/>
  <c r="AF119" i="2" s="1"/>
  <c r="V119" i="1"/>
  <c r="AG119" i="2" s="1"/>
  <c r="S120" i="1"/>
  <c r="AD120" i="2" s="1"/>
  <c r="T120" i="1"/>
  <c r="AE120" i="2" s="1"/>
  <c r="U120" i="1"/>
  <c r="AF120" i="2" s="1"/>
  <c r="V120" i="1"/>
  <c r="AG120" i="2" s="1"/>
  <c r="S121" i="1"/>
  <c r="AD121" i="2" s="1"/>
  <c r="T121" i="1"/>
  <c r="AE121" i="2" s="1"/>
  <c r="U121" i="1"/>
  <c r="AF121" i="2" s="1"/>
  <c r="V121" i="1"/>
  <c r="AG121" i="2" s="1"/>
  <c r="S122" i="1"/>
  <c r="AD122" i="2" s="1"/>
  <c r="T122" i="1"/>
  <c r="AE122" i="2" s="1"/>
  <c r="U122" i="1"/>
  <c r="AF122" i="2" s="1"/>
  <c r="V122" i="1"/>
  <c r="AG122" i="2" s="1"/>
  <c r="S123" i="1"/>
  <c r="AD123" i="2" s="1"/>
  <c r="T123" i="1"/>
  <c r="AE123" i="2" s="1"/>
  <c r="U123" i="1"/>
  <c r="AF123" i="2" s="1"/>
  <c r="V123" i="1"/>
  <c r="AG123" i="2" s="1"/>
  <c r="S124" i="1"/>
  <c r="AD124" i="2" s="1"/>
  <c r="T124" i="1"/>
  <c r="AE124" i="2" s="1"/>
  <c r="U124" i="1"/>
  <c r="AF124" i="2" s="1"/>
  <c r="V124" i="1"/>
  <c r="AG124" i="2" s="1"/>
  <c r="S125" i="1"/>
  <c r="AD125" i="2" s="1"/>
  <c r="T125" i="1"/>
  <c r="AE125" i="2" s="1"/>
  <c r="U125" i="1"/>
  <c r="AF125" i="2" s="1"/>
  <c r="V125" i="1"/>
  <c r="AG125" i="2" s="1"/>
  <c r="S126" i="1"/>
  <c r="AD126" i="2" s="1"/>
  <c r="T126" i="1"/>
  <c r="AE126" i="2" s="1"/>
  <c r="U126" i="1"/>
  <c r="AF126" i="2" s="1"/>
  <c r="V126" i="1"/>
  <c r="AG126" i="2" s="1"/>
  <c r="S127" i="1"/>
  <c r="AD127" i="2" s="1"/>
  <c r="T127" i="1"/>
  <c r="AE127" i="2" s="1"/>
  <c r="U127" i="1"/>
  <c r="AF127" i="2" s="1"/>
  <c r="V127" i="1"/>
  <c r="AG127" i="2" s="1"/>
  <c r="S128" i="1"/>
  <c r="AD128" i="2" s="1"/>
  <c r="T128" i="1"/>
  <c r="AE128" i="2" s="1"/>
  <c r="U128" i="1"/>
  <c r="AF128" i="2" s="1"/>
  <c r="V128" i="1"/>
  <c r="AG128" i="2" s="1"/>
  <c r="S129" i="1"/>
  <c r="AD129" i="2" s="1"/>
  <c r="T129" i="1"/>
  <c r="AE129" i="2" s="1"/>
  <c r="U129" i="1"/>
  <c r="AF129" i="2" s="1"/>
  <c r="V129" i="1"/>
  <c r="AG129" i="2" s="1"/>
  <c r="S130" i="1"/>
  <c r="AD130" i="2" s="1"/>
  <c r="T130" i="1"/>
  <c r="AE130" i="2" s="1"/>
  <c r="U130" i="1"/>
  <c r="AF130" i="2" s="1"/>
  <c r="V130" i="1"/>
  <c r="AG130" i="2" s="1"/>
  <c r="S131" i="1"/>
  <c r="AD131" i="2" s="1"/>
  <c r="T131" i="1"/>
  <c r="AE131" i="2" s="1"/>
  <c r="U131" i="1"/>
  <c r="AF131" i="2" s="1"/>
  <c r="V131" i="1"/>
  <c r="AG131" i="2" s="1"/>
  <c r="S132" i="1"/>
  <c r="AD132" i="2" s="1"/>
  <c r="T132" i="1"/>
  <c r="AE132" i="2" s="1"/>
  <c r="U132" i="1"/>
  <c r="AF132" i="2" s="1"/>
  <c r="V132" i="1"/>
  <c r="AG132" i="2" s="1"/>
  <c r="S133" i="1"/>
  <c r="AD133" i="2" s="1"/>
  <c r="T133" i="1"/>
  <c r="AE133" i="2" s="1"/>
  <c r="U133" i="1"/>
  <c r="AF133" i="2" s="1"/>
  <c r="V133" i="1"/>
  <c r="AG133" i="2" s="1"/>
  <c r="S134" i="1"/>
  <c r="AD134" i="2" s="1"/>
  <c r="T134" i="1"/>
  <c r="AE134" i="2" s="1"/>
  <c r="U134" i="1"/>
  <c r="AF134" i="2" s="1"/>
  <c r="V134" i="1"/>
  <c r="AG134" i="2" s="1"/>
  <c r="S135" i="1"/>
  <c r="AD135" i="2" s="1"/>
  <c r="T135" i="1"/>
  <c r="AE135" i="2" s="1"/>
  <c r="U135" i="1"/>
  <c r="AF135" i="2" s="1"/>
  <c r="V135" i="1"/>
  <c r="AG135" i="2" s="1"/>
  <c r="S136" i="1"/>
  <c r="AD136" i="2" s="1"/>
  <c r="T136" i="1"/>
  <c r="AE136" i="2" s="1"/>
  <c r="U136" i="1"/>
  <c r="AF136" i="2" s="1"/>
  <c r="V136" i="1"/>
  <c r="AG136" i="2" s="1"/>
  <c r="S137" i="1"/>
  <c r="AD137" i="2" s="1"/>
  <c r="T137" i="1"/>
  <c r="AE137" i="2" s="1"/>
  <c r="U137" i="1"/>
  <c r="AF137" i="2" s="1"/>
  <c r="V137" i="1"/>
  <c r="AG137" i="2" s="1"/>
  <c r="S138" i="1"/>
  <c r="AD138" i="2" s="1"/>
  <c r="T138" i="1"/>
  <c r="AE138" i="2" s="1"/>
  <c r="U138" i="1"/>
  <c r="AF138" i="2" s="1"/>
  <c r="V138" i="1"/>
  <c r="AG138" i="2" s="1"/>
  <c r="S139" i="1"/>
  <c r="AD139" i="2" s="1"/>
  <c r="T139" i="1"/>
  <c r="AE139" i="2" s="1"/>
  <c r="U139" i="1"/>
  <c r="AF139" i="2" s="1"/>
  <c r="V139" i="1"/>
  <c r="AG139" i="2" s="1"/>
  <c r="S140" i="1"/>
  <c r="AD140" i="2" s="1"/>
  <c r="T140" i="1"/>
  <c r="AE140" i="2" s="1"/>
  <c r="U140" i="1"/>
  <c r="AF140" i="2" s="1"/>
  <c r="V140" i="1"/>
  <c r="AG140" i="2" s="1"/>
  <c r="S141" i="1"/>
  <c r="AD141" i="2" s="1"/>
  <c r="T141" i="1"/>
  <c r="AE141" i="2" s="1"/>
  <c r="U141" i="1"/>
  <c r="AF141" i="2" s="1"/>
  <c r="V141" i="1"/>
  <c r="AG141" i="2" s="1"/>
  <c r="S142" i="1"/>
  <c r="AD142" i="2" s="1"/>
  <c r="T142" i="1"/>
  <c r="AE142" i="2" s="1"/>
  <c r="U142" i="1"/>
  <c r="AF142" i="2" s="1"/>
  <c r="V142" i="1"/>
  <c r="AG142" i="2" s="1"/>
  <c r="S143" i="1"/>
  <c r="AD143" i="2" s="1"/>
  <c r="T143" i="1"/>
  <c r="AE143" i="2" s="1"/>
  <c r="U143" i="1"/>
  <c r="AF143" i="2" s="1"/>
  <c r="V143" i="1"/>
  <c r="AG143" i="2" s="1"/>
  <c r="S144" i="1"/>
  <c r="AD144" i="2" s="1"/>
  <c r="T144" i="1"/>
  <c r="AE144" i="2" s="1"/>
  <c r="U144" i="1"/>
  <c r="AF144" i="2" s="1"/>
  <c r="V144" i="1"/>
  <c r="AG144" i="2" s="1"/>
  <c r="S145" i="1"/>
  <c r="AD145" i="2" s="1"/>
  <c r="T145" i="1"/>
  <c r="AE145" i="2" s="1"/>
  <c r="U145" i="1"/>
  <c r="AF145" i="2" s="1"/>
  <c r="V145" i="1"/>
  <c r="AG145" i="2" s="1"/>
  <c r="S146" i="1"/>
  <c r="AD146" i="2" s="1"/>
  <c r="T146" i="1"/>
  <c r="AE146" i="2" s="1"/>
  <c r="U146" i="1"/>
  <c r="AF146" i="2" s="1"/>
  <c r="V146" i="1"/>
  <c r="AG146" i="2" s="1"/>
  <c r="S147" i="1"/>
  <c r="AD147" i="2" s="1"/>
  <c r="T147" i="1"/>
  <c r="AE147" i="2" s="1"/>
  <c r="U147" i="1"/>
  <c r="AF147" i="2" s="1"/>
  <c r="V147" i="1"/>
  <c r="AG147" i="2" s="1"/>
  <c r="S148" i="1"/>
  <c r="AD148" i="2" s="1"/>
  <c r="T148" i="1"/>
  <c r="AE148" i="2" s="1"/>
  <c r="U148" i="1"/>
  <c r="AF148" i="2" s="1"/>
  <c r="V148" i="1"/>
  <c r="AG148" i="2" s="1"/>
  <c r="S149" i="1"/>
  <c r="AD149" i="2" s="1"/>
  <c r="T149" i="1"/>
  <c r="AE149" i="2" s="1"/>
  <c r="U149" i="1"/>
  <c r="AF149" i="2" s="1"/>
  <c r="V149" i="1"/>
  <c r="AG149" i="2" s="1"/>
  <c r="S150" i="1"/>
  <c r="AD150" i="2" s="1"/>
  <c r="T150" i="1"/>
  <c r="AE150" i="2" s="1"/>
  <c r="U150" i="1"/>
  <c r="AF150" i="2" s="1"/>
  <c r="V150" i="1"/>
  <c r="AG150" i="2" s="1"/>
  <c r="S151" i="1"/>
  <c r="AD151" i="2" s="1"/>
  <c r="T151" i="1"/>
  <c r="AE151" i="2" s="1"/>
  <c r="U151" i="1"/>
  <c r="AF151" i="2" s="1"/>
  <c r="V151" i="1"/>
  <c r="AG151" i="2" s="1"/>
  <c r="S152" i="1"/>
  <c r="AD152" i="2" s="1"/>
  <c r="T152" i="1"/>
  <c r="AE152" i="2" s="1"/>
  <c r="U152" i="1"/>
  <c r="AF152" i="2" s="1"/>
  <c r="V152" i="1"/>
  <c r="AG152" i="2" s="1"/>
  <c r="S153" i="1"/>
  <c r="AD153" i="2" s="1"/>
  <c r="T153" i="1"/>
  <c r="AE153" i="2" s="1"/>
  <c r="U153" i="1"/>
  <c r="AF153" i="2" s="1"/>
  <c r="V153" i="1"/>
  <c r="AG153" i="2" s="1"/>
  <c r="S154" i="1"/>
  <c r="AD154" i="2" s="1"/>
  <c r="T154" i="1"/>
  <c r="AE154" i="2" s="1"/>
  <c r="U154" i="1"/>
  <c r="AF154" i="2" s="1"/>
  <c r="V154" i="1"/>
  <c r="AG154" i="2" s="1"/>
  <c r="S155" i="1"/>
  <c r="AD155" i="2" s="1"/>
  <c r="T155" i="1"/>
  <c r="AE155" i="2" s="1"/>
  <c r="U155" i="1"/>
  <c r="AF155" i="2" s="1"/>
  <c r="V155" i="1"/>
  <c r="AG155" i="2" s="1"/>
  <c r="S156" i="1"/>
  <c r="AD156" i="2" s="1"/>
  <c r="T156" i="1"/>
  <c r="AE156" i="2" s="1"/>
  <c r="U156" i="1"/>
  <c r="AF156" i="2" s="1"/>
  <c r="V156" i="1"/>
  <c r="AG156" i="2" s="1"/>
  <c r="S157" i="1"/>
  <c r="AD157" i="2" s="1"/>
  <c r="T157" i="1"/>
  <c r="AE157" i="2" s="1"/>
  <c r="U157" i="1"/>
  <c r="AF157" i="2" s="1"/>
  <c r="V157" i="1"/>
  <c r="AG157" i="2" s="1"/>
  <c r="S158" i="1"/>
  <c r="AD158" i="2" s="1"/>
  <c r="T158" i="1"/>
  <c r="AE158" i="2" s="1"/>
  <c r="U158" i="1"/>
  <c r="AF158" i="2" s="1"/>
  <c r="V158" i="1"/>
  <c r="AG158" i="2" s="1"/>
  <c r="S159" i="1"/>
  <c r="AD159" i="2" s="1"/>
  <c r="T159" i="1"/>
  <c r="AE159" i="2" s="1"/>
  <c r="U159" i="1"/>
  <c r="AF159" i="2" s="1"/>
  <c r="V159" i="1"/>
  <c r="AG159" i="2" s="1"/>
  <c r="S160" i="1"/>
  <c r="AD160" i="2" s="1"/>
  <c r="T160" i="1"/>
  <c r="AE160" i="2" s="1"/>
  <c r="U160" i="1"/>
  <c r="AF160" i="2" s="1"/>
  <c r="V160" i="1"/>
  <c r="AG160" i="2" s="1"/>
  <c r="S161" i="1"/>
  <c r="AD161" i="2" s="1"/>
  <c r="T161" i="1"/>
  <c r="AE161" i="2" s="1"/>
  <c r="U161" i="1"/>
  <c r="AF161" i="2" s="1"/>
  <c r="V161" i="1"/>
  <c r="AG161" i="2" s="1"/>
  <c r="S162" i="1"/>
  <c r="AD162" i="2" s="1"/>
  <c r="T162" i="1"/>
  <c r="AE162" i="2" s="1"/>
  <c r="U162" i="1"/>
  <c r="AF162" i="2" s="1"/>
  <c r="V162" i="1"/>
  <c r="AG162" i="2" s="1"/>
  <c r="S163" i="1"/>
  <c r="AD163" i="2" s="1"/>
  <c r="T163" i="1"/>
  <c r="AE163" i="2" s="1"/>
  <c r="U163" i="1"/>
  <c r="AF163" i="2" s="1"/>
  <c r="V163" i="1"/>
  <c r="AG163" i="2" s="1"/>
  <c r="S164" i="1"/>
  <c r="AD164" i="2" s="1"/>
  <c r="T164" i="1"/>
  <c r="AE164" i="2" s="1"/>
  <c r="U164" i="1"/>
  <c r="AF164" i="2" s="1"/>
  <c r="V164" i="1"/>
  <c r="AG164" i="2" s="1"/>
  <c r="S165" i="1"/>
  <c r="AD165" i="2" s="1"/>
  <c r="T165" i="1"/>
  <c r="AE165" i="2" s="1"/>
  <c r="U165" i="1"/>
  <c r="AF165" i="2" s="1"/>
  <c r="V165" i="1"/>
  <c r="AG165" i="2" s="1"/>
  <c r="S166" i="1"/>
  <c r="AD166" i="2" s="1"/>
  <c r="T166" i="1"/>
  <c r="AE166" i="2" s="1"/>
  <c r="U166" i="1"/>
  <c r="AF166" i="2" s="1"/>
  <c r="V166" i="1"/>
  <c r="AG166" i="2" s="1"/>
  <c r="S167" i="1"/>
  <c r="AD167" i="2" s="1"/>
  <c r="T167" i="1"/>
  <c r="AE167" i="2" s="1"/>
  <c r="U167" i="1"/>
  <c r="AF167" i="2" s="1"/>
  <c r="V167" i="1"/>
  <c r="AG167" i="2" s="1"/>
  <c r="S168" i="1"/>
  <c r="AD168" i="2" s="1"/>
  <c r="T168" i="1"/>
  <c r="AE168" i="2" s="1"/>
  <c r="U168" i="1"/>
  <c r="AF168" i="2" s="1"/>
  <c r="V168" i="1"/>
  <c r="AG168" i="2" s="1"/>
  <c r="S169" i="1"/>
  <c r="AD169" i="2" s="1"/>
  <c r="T169" i="1"/>
  <c r="AE169" i="2" s="1"/>
  <c r="U169" i="1"/>
  <c r="AF169" i="2" s="1"/>
  <c r="V169" i="1"/>
  <c r="AG169" i="2" s="1"/>
  <c r="S170" i="1"/>
  <c r="AD170" i="2" s="1"/>
  <c r="T170" i="1"/>
  <c r="AE170" i="2" s="1"/>
  <c r="U170" i="1"/>
  <c r="AF170" i="2" s="1"/>
  <c r="V170" i="1"/>
  <c r="AG170" i="2" s="1"/>
  <c r="S171" i="1"/>
  <c r="AD171" i="2" s="1"/>
  <c r="T171" i="1"/>
  <c r="AE171" i="2" s="1"/>
  <c r="U171" i="1"/>
  <c r="AF171" i="2" s="1"/>
  <c r="V171" i="1"/>
  <c r="AG171" i="2" s="1"/>
  <c r="S172" i="1"/>
  <c r="AD172" i="2" s="1"/>
  <c r="T172" i="1"/>
  <c r="AE172" i="2" s="1"/>
  <c r="U172" i="1"/>
  <c r="AF172" i="2" s="1"/>
  <c r="V172" i="1"/>
  <c r="AG172" i="2" s="1"/>
  <c r="S173" i="1"/>
  <c r="AD173" i="2" s="1"/>
  <c r="T173" i="1"/>
  <c r="AE173" i="2" s="1"/>
  <c r="U173" i="1"/>
  <c r="AF173" i="2" s="1"/>
  <c r="V173" i="1"/>
  <c r="AG173" i="2" s="1"/>
  <c r="S174" i="1"/>
  <c r="AD174" i="2" s="1"/>
  <c r="T174" i="1"/>
  <c r="AE174" i="2" s="1"/>
  <c r="U174" i="1"/>
  <c r="AF174" i="2" s="1"/>
  <c r="V174" i="1"/>
  <c r="AG174" i="2" s="1"/>
  <c r="S175" i="1"/>
  <c r="AD175" i="2" s="1"/>
  <c r="T175" i="1"/>
  <c r="AE175" i="2" s="1"/>
  <c r="U175" i="1"/>
  <c r="AF175" i="2" s="1"/>
  <c r="V175" i="1"/>
  <c r="AG175" i="2" s="1"/>
  <c r="S176" i="1"/>
  <c r="AD176" i="2" s="1"/>
  <c r="T176" i="1"/>
  <c r="AE176" i="2" s="1"/>
  <c r="U176" i="1"/>
  <c r="AF176" i="2" s="1"/>
  <c r="V176" i="1"/>
  <c r="AG176" i="2" s="1"/>
  <c r="S177" i="1"/>
  <c r="AD177" i="2" s="1"/>
  <c r="T177" i="1"/>
  <c r="AE177" i="2" s="1"/>
  <c r="U177" i="1"/>
  <c r="AF177" i="2" s="1"/>
  <c r="V177" i="1"/>
  <c r="AG177" i="2" s="1"/>
  <c r="S178" i="1"/>
  <c r="AD178" i="2" s="1"/>
  <c r="T178" i="1"/>
  <c r="AE178" i="2" s="1"/>
  <c r="U178" i="1"/>
  <c r="AF178" i="2" s="1"/>
  <c r="V178" i="1"/>
  <c r="AG178" i="2" s="1"/>
  <c r="S179" i="1"/>
  <c r="AD179" i="2" s="1"/>
  <c r="T179" i="1"/>
  <c r="AE179" i="2" s="1"/>
  <c r="U179" i="1"/>
  <c r="AF179" i="2" s="1"/>
  <c r="V179" i="1"/>
  <c r="AG179" i="2" s="1"/>
  <c r="S180" i="1"/>
  <c r="AD180" i="2" s="1"/>
  <c r="T180" i="1"/>
  <c r="AE180" i="2" s="1"/>
  <c r="U180" i="1"/>
  <c r="AF180" i="2" s="1"/>
  <c r="V180" i="1"/>
  <c r="AG180" i="2" s="1"/>
  <c r="S181" i="1"/>
  <c r="AD181" i="2" s="1"/>
  <c r="T181" i="1"/>
  <c r="AE181" i="2" s="1"/>
  <c r="U181" i="1"/>
  <c r="AF181" i="2" s="1"/>
  <c r="V181" i="1"/>
  <c r="AG181" i="2" s="1"/>
  <c r="S182" i="1"/>
  <c r="AD182" i="2" s="1"/>
  <c r="T182" i="1"/>
  <c r="AE182" i="2" s="1"/>
  <c r="U182" i="1"/>
  <c r="AF182" i="2" s="1"/>
  <c r="V182" i="1"/>
  <c r="AG182" i="2" s="1"/>
  <c r="S183" i="1"/>
  <c r="AD183" i="2" s="1"/>
  <c r="T183" i="1"/>
  <c r="AE183" i="2" s="1"/>
  <c r="U183" i="1"/>
  <c r="AF183" i="2" s="1"/>
  <c r="V183" i="1"/>
  <c r="AG183" i="2" s="1"/>
  <c r="S184" i="1"/>
  <c r="AD184" i="2" s="1"/>
  <c r="T184" i="1"/>
  <c r="AE184" i="2" s="1"/>
  <c r="U184" i="1"/>
  <c r="AF184" i="2" s="1"/>
  <c r="V184" i="1"/>
  <c r="AG184" i="2" s="1"/>
  <c r="S185" i="1"/>
  <c r="AD185" i="2" s="1"/>
  <c r="T185" i="1"/>
  <c r="AE185" i="2" s="1"/>
  <c r="U185" i="1"/>
  <c r="AF185" i="2" s="1"/>
  <c r="V185" i="1"/>
  <c r="AG185" i="2" s="1"/>
  <c r="S186" i="1"/>
  <c r="AD186" i="2" s="1"/>
  <c r="T186" i="1"/>
  <c r="AE186" i="2" s="1"/>
  <c r="U186" i="1"/>
  <c r="AF186" i="2" s="1"/>
  <c r="V186" i="1"/>
  <c r="AG186" i="2" s="1"/>
  <c r="S187" i="1"/>
  <c r="AD187" i="2" s="1"/>
  <c r="T187" i="1"/>
  <c r="AE187" i="2" s="1"/>
  <c r="U187" i="1"/>
  <c r="AF187" i="2" s="1"/>
  <c r="V187" i="1"/>
  <c r="AG187" i="2" s="1"/>
  <c r="S188" i="1"/>
  <c r="AD188" i="2" s="1"/>
  <c r="T188" i="1"/>
  <c r="AE188" i="2" s="1"/>
  <c r="U188" i="1"/>
  <c r="AF188" i="2" s="1"/>
  <c r="V188" i="1"/>
  <c r="AG188" i="2" s="1"/>
  <c r="S189" i="1"/>
  <c r="AD189" i="2" s="1"/>
  <c r="T189" i="1"/>
  <c r="AE189" i="2" s="1"/>
  <c r="U189" i="1"/>
  <c r="AF189" i="2" s="1"/>
  <c r="V189" i="1"/>
  <c r="AG189" i="2" s="1"/>
  <c r="S190" i="1"/>
  <c r="AD190" i="2" s="1"/>
  <c r="T190" i="1"/>
  <c r="AE190" i="2" s="1"/>
  <c r="U190" i="1"/>
  <c r="AF190" i="2" s="1"/>
  <c r="V190" i="1"/>
  <c r="AG190" i="2" s="1"/>
  <c r="S191" i="1"/>
  <c r="AD191" i="2" s="1"/>
  <c r="T191" i="1"/>
  <c r="AE191" i="2" s="1"/>
  <c r="U191" i="1"/>
  <c r="AF191" i="2" s="1"/>
  <c r="V191" i="1"/>
  <c r="AG191" i="2" s="1"/>
  <c r="S192" i="1"/>
  <c r="AD192" i="2" s="1"/>
  <c r="T192" i="1"/>
  <c r="AE192" i="2" s="1"/>
  <c r="U192" i="1"/>
  <c r="AF192" i="2" s="1"/>
  <c r="V192" i="1"/>
  <c r="AG192" i="2" s="1"/>
  <c r="S193" i="1"/>
  <c r="AD193" i="2" s="1"/>
  <c r="T193" i="1"/>
  <c r="AE193" i="2" s="1"/>
  <c r="U193" i="1"/>
  <c r="AF193" i="2" s="1"/>
  <c r="V193" i="1"/>
  <c r="AG193" i="2" s="1"/>
  <c r="S194" i="1"/>
  <c r="AD194" i="2" s="1"/>
  <c r="T194" i="1"/>
  <c r="AE194" i="2" s="1"/>
  <c r="U194" i="1"/>
  <c r="AF194" i="2" s="1"/>
  <c r="V194" i="1"/>
  <c r="AG194" i="2" s="1"/>
  <c r="S195" i="1"/>
  <c r="AD195" i="2" s="1"/>
  <c r="T195" i="1"/>
  <c r="AE195" i="2" s="1"/>
  <c r="U195" i="1"/>
  <c r="AF195" i="2" s="1"/>
  <c r="V195" i="1"/>
  <c r="AG195" i="2" s="1"/>
  <c r="S196" i="1"/>
  <c r="AD196" i="2" s="1"/>
  <c r="T196" i="1"/>
  <c r="AE196" i="2" s="1"/>
  <c r="U196" i="1"/>
  <c r="AF196" i="2" s="1"/>
  <c r="V196" i="1"/>
  <c r="AG196" i="2" s="1"/>
  <c r="S197" i="1"/>
  <c r="AD197" i="2" s="1"/>
  <c r="T197" i="1"/>
  <c r="AE197" i="2" s="1"/>
  <c r="U197" i="1"/>
  <c r="AF197" i="2" s="1"/>
  <c r="V197" i="1"/>
  <c r="AG197" i="2" s="1"/>
  <c r="S198" i="1"/>
  <c r="AD198" i="2" s="1"/>
  <c r="T198" i="1"/>
  <c r="AE198" i="2" s="1"/>
  <c r="U198" i="1"/>
  <c r="AF198" i="2" s="1"/>
  <c r="V198" i="1"/>
  <c r="AG198" i="2" s="1"/>
  <c r="S199" i="1"/>
  <c r="AD199" i="2" s="1"/>
  <c r="T199" i="1"/>
  <c r="AE199" i="2" s="1"/>
  <c r="U199" i="1"/>
  <c r="AF199" i="2" s="1"/>
  <c r="V199" i="1"/>
  <c r="AG199" i="2" s="1"/>
  <c r="S200" i="1"/>
  <c r="AD200" i="2" s="1"/>
  <c r="T200" i="1"/>
  <c r="AE200" i="2" s="1"/>
  <c r="U200" i="1"/>
  <c r="AF200" i="2" s="1"/>
  <c r="V200" i="1"/>
  <c r="AG200" i="2" s="1"/>
  <c r="S201" i="1"/>
  <c r="AD201" i="2" s="1"/>
  <c r="T201" i="1"/>
  <c r="AE201" i="2" s="1"/>
  <c r="U201" i="1"/>
  <c r="AF201" i="2" s="1"/>
  <c r="V201" i="1"/>
  <c r="AG201" i="2" s="1"/>
  <c r="S202" i="1"/>
  <c r="AD202" i="2" s="1"/>
  <c r="T202" i="1"/>
  <c r="AE202" i="2" s="1"/>
  <c r="U202" i="1"/>
  <c r="AF202" i="2" s="1"/>
  <c r="V202" i="1"/>
  <c r="AG202" i="2" s="1"/>
  <c r="S203" i="1"/>
  <c r="AD203" i="2" s="1"/>
  <c r="T203" i="1"/>
  <c r="AE203" i="2" s="1"/>
  <c r="U203" i="1"/>
  <c r="AF203" i="2" s="1"/>
  <c r="V203" i="1"/>
  <c r="AG203" i="2" s="1"/>
  <c r="S204" i="1"/>
  <c r="AD204" i="2" s="1"/>
  <c r="T204" i="1"/>
  <c r="AE204" i="2" s="1"/>
  <c r="U204" i="1"/>
  <c r="AF204" i="2" s="1"/>
  <c r="V204" i="1"/>
  <c r="AG204" i="2" s="1"/>
  <c r="S205" i="1"/>
  <c r="AD205" i="2" s="1"/>
  <c r="T205" i="1"/>
  <c r="AE205" i="2" s="1"/>
  <c r="U205" i="1"/>
  <c r="AF205" i="2" s="1"/>
  <c r="V205" i="1"/>
  <c r="AG205" i="2" s="1"/>
  <c r="S206" i="1"/>
  <c r="AD206" i="2" s="1"/>
  <c r="T206" i="1"/>
  <c r="AE206" i="2" s="1"/>
  <c r="U206" i="1"/>
  <c r="AF206" i="2" s="1"/>
  <c r="V206" i="1"/>
  <c r="AG206" i="2" s="1"/>
  <c r="S207" i="1"/>
  <c r="AD207" i="2" s="1"/>
  <c r="T207" i="1"/>
  <c r="AE207" i="2" s="1"/>
  <c r="U207" i="1"/>
  <c r="AF207" i="2" s="1"/>
  <c r="V207" i="1"/>
  <c r="AG207" i="2" s="1"/>
  <c r="S208" i="1"/>
  <c r="AD208" i="2" s="1"/>
  <c r="T208" i="1"/>
  <c r="AE208" i="2" s="1"/>
  <c r="U208" i="1"/>
  <c r="AF208" i="2" s="1"/>
  <c r="V208" i="1"/>
  <c r="AG208" i="2" s="1"/>
  <c r="S209" i="1"/>
  <c r="AD209" i="2" s="1"/>
  <c r="T209" i="1"/>
  <c r="AE209" i="2" s="1"/>
  <c r="U209" i="1"/>
  <c r="AF209" i="2" s="1"/>
  <c r="V209" i="1"/>
  <c r="AG209" i="2" s="1"/>
  <c r="S210" i="1"/>
  <c r="AD210" i="2" s="1"/>
  <c r="T210" i="1"/>
  <c r="AE210" i="2" s="1"/>
  <c r="U210" i="1"/>
  <c r="AF210" i="2" s="1"/>
  <c r="V210" i="1"/>
  <c r="AG210" i="2" s="1"/>
  <c r="S211" i="1"/>
  <c r="AD211" i="2" s="1"/>
  <c r="T211" i="1"/>
  <c r="AE211" i="2" s="1"/>
  <c r="U211" i="1"/>
  <c r="AF211" i="2" s="1"/>
  <c r="V211" i="1"/>
  <c r="AG211" i="2" s="1"/>
  <c r="S212" i="1"/>
  <c r="AD212" i="2" s="1"/>
  <c r="T212" i="1"/>
  <c r="AE212" i="2" s="1"/>
  <c r="U212" i="1"/>
  <c r="AF212" i="2" s="1"/>
  <c r="V212" i="1"/>
  <c r="AG212" i="2" s="1"/>
  <c r="S213" i="1"/>
  <c r="AD213" i="2" s="1"/>
  <c r="T213" i="1"/>
  <c r="AE213" i="2" s="1"/>
  <c r="U213" i="1"/>
  <c r="AF213" i="2" s="1"/>
  <c r="V213" i="1"/>
  <c r="AG213" i="2" s="1"/>
  <c r="S214" i="1"/>
  <c r="AD214" i="2" s="1"/>
  <c r="T214" i="1"/>
  <c r="AE214" i="2" s="1"/>
  <c r="U214" i="1"/>
  <c r="AF214" i="2" s="1"/>
  <c r="V214" i="1"/>
  <c r="AG214" i="2" s="1"/>
  <c r="S215" i="1"/>
  <c r="AD215" i="2" s="1"/>
  <c r="T215" i="1"/>
  <c r="AE215" i="2" s="1"/>
  <c r="U215" i="1"/>
  <c r="AF215" i="2" s="1"/>
  <c r="V215" i="1"/>
  <c r="AG215" i="2" s="1"/>
  <c r="S216" i="1"/>
  <c r="AD216" i="2" s="1"/>
  <c r="T216" i="1"/>
  <c r="AE216" i="2" s="1"/>
  <c r="U216" i="1"/>
  <c r="AF216" i="2" s="1"/>
  <c r="V216" i="1"/>
  <c r="AG216" i="2" s="1"/>
  <c r="S217" i="1"/>
  <c r="AD217" i="2" s="1"/>
  <c r="T217" i="1"/>
  <c r="AE217" i="2" s="1"/>
  <c r="U217" i="1"/>
  <c r="AF217" i="2" s="1"/>
  <c r="V217" i="1"/>
  <c r="AG217" i="2" s="1"/>
  <c r="S218" i="1"/>
  <c r="AD218" i="2" s="1"/>
  <c r="T218" i="1"/>
  <c r="AE218" i="2" s="1"/>
  <c r="U218" i="1"/>
  <c r="AF218" i="2" s="1"/>
  <c r="V218" i="1"/>
  <c r="AG218" i="2" s="1"/>
  <c r="S219" i="1"/>
  <c r="AD219" i="2" s="1"/>
  <c r="T219" i="1"/>
  <c r="AE219" i="2" s="1"/>
  <c r="U219" i="1"/>
  <c r="AF219" i="2" s="1"/>
  <c r="V219" i="1"/>
  <c r="AG219" i="2" s="1"/>
  <c r="S220" i="1"/>
  <c r="AD220" i="2" s="1"/>
  <c r="T220" i="1"/>
  <c r="AE220" i="2" s="1"/>
  <c r="U220" i="1"/>
  <c r="AF220" i="2" s="1"/>
  <c r="V220" i="1"/>
  <c r="AG220" i="2" s="1"/>
  <c r="S221" i="1"/>
  <c r="AD221" i="2" s="1"/>
  <c r="T221" i="1"/>
  <c r="AE221" i="2" s="1"/>
  <c r="U221" i="1"/>
  <c r="AF221" i="2" s="1"/>
  <c r="V221" i="1"/>
  <c r="AG221" i="2" s="1"/>
  <c r="S222" i="1"/>
  <c r="AD222" i="2" s="1"/>
  <c r="T222" i="1"/>
  <c r="AE222" i="2" s="1"/>
  <c r="U222" i="1"/>
  <c r="AF222" i="2" s="1"/>
  <c r="V222" i="1"/>
  <c r="AG222" i="2" s="1"/>
  <c r="S223" i="1"/>
  <c r="AD223" i="2" s="1"/>
  <c r="T223" i="1"/>
  <c r="AE223" i="2" s="1"/>
  <c r="U223" i="1"/>
  <c r="AF223" i="2" s="1"/>
  <c r="V223" i="1"/>
  <c r="AG223" i="2" s="1"/>
  <c r="S224" i="1"/>
  <c r="AD224" i="2" s="1"/>
  <c r="T224" i="1"/>
  <c r="AE224" i="2" s="1"/>
  <c r="U224" i="1"/>
  <c r="AF224" i="2" s="1"/>
  <c r="V224" i="1"/>
  <c r="AG224" i="2" s="1"/>
  <c r="S225" i="1"/>
  <c r="AD225" i="2" s="1"/>
  <c r="T225" i="1"/>
  <c r="AE225" i="2" s="1"/>
  <c r="U225" i="1"/>
  <c r="AF225" i="2" s="1"/>
  <c r="V225" i="1"/>
  <c r="AG225" i="2" s="1"/>
  <c r="S226" i="1"/>
  <c r="AD226" i="2" s="1"/>
  <c r="T226" i="1"/>
  <c r="AE226" i="2" s="1"/>
  <c r="U226" i="1"/>
  <c r="AF226" i="2" s="1"/>
  <c r="V226" i="1"/>
  <c r="AG226" i="2" s="1"/>
  <c r="S227" i="1"/>
  <c r="AD227" i="2" s="1"/>
  <c r="T227" i="1"/>
  <c r="AE227" i="2" s="1"/>
  <c r="U227" i="1"/>
  <c r="AF227" i="2" s="1"/>
  <c r="V227" i="1"/>
  <c r="AG227" i="2" s="1"/>
  <c r="S228" i="1"/>
  <c r="AD228" i="2" s="1"/>
  <c r="T228" i="1"/>
  <c r="AE228" i="2" s="1"/>
  <c r="U228" i="1"/>
  <c r="AF228" i="2" s="1"/>
  <c r="V228" i="1"/>
  <c r="AG228" i="2" s="1"/>
  <c r="S229" i="1"/>
  <c r="AD229" i="2" s="1"/>
  <c r="T229" i="1"/>
  <c r="AE229" i="2" s="1"/>
  <c r="U229" i="1"/>
  <c r="AF229" i="2" s="1"/>
  <c r="V229" i="1"/>
  <c r="AG229" i="2" s="1"/>
  <c r="S230" i="1"/>
  <c r="AD230" i="2" s="1"/>
  <c r="T230" i="1"/>
  <c r="AE230" i="2" s="1"/>
  <c r="U230" i="1"/>
  <c r="AF230" i="2" s="1"/>
  <c r="V230" i="1"/>
  <c r="AG230" i="2" s="1"/>
  <c r="S231" i="1"/>
  <c r="AD231" i="2" s="1"/>
  <c r="T231" i="1"/>
  <c r="AE231" i="2" s="1"/>
  <c r="U231" i="1"/>
  <c r="AF231" i="2" s="1"/>
  <c r="V231" i="1"/>
  <c r="AG231" i="2" s="1"/>
  <c r="S232" i="1"/>
  <c r="AD232" i="2" s="1"/>
  <c r="T232" i="1"/>
  <c r="AE232" i="2" s="1"/>
  <c r="U232" i="1"/>
  <c r="AF232" i="2" s="1"/>
  <c r="V232" i="1"/>
  <c r="AG232" i="2" s="1"/>
  <c r="S233" i="1"/>
  <c r="AD233" i="2" s="1"/>
  <c r="T233" i="1"/>
  <c r="AE233" i="2" s="1"/>
  <c r="U233" i="1"/>
  <c r="AF233" i="2" s="1"/>
  <c r="V233" i="1"/>
  <c r="AG233" i="2" s="1"/>
  <c r="S234" i="1"/>
  <c r="AD234" i="2" s="1"/>
  <c r="T234" i="1"/>
  <c r="AE234" i="2" s="1"/>
  <c r="U234" i="1"/>
  <c r="AF234" i="2" s="1"/>
  <c r="V234" i="1"/>
  <c r="AG234" i="2" s="1"/>
  <c r="S235" i="1"/>
  <c r="AD235" i="2" s="1"/>
  <c r="T235" i="1"/>
  <c r="AE235" i="2" s="1"/>
  <c r="U235" i="1"/>
  <c r="AF235" i="2" s="1"/>
  <c r="V235" i="1"/>
  <c r="AG235" i="2" s="1"/>
  <c r="S236" i="1"/>
  <c r="AD236" i="2" s="1"/>
  <c r="T236" i="1"/>
  <c r="AE236" i="2" s="1"/>
  <c r="U236" i="1"/>
  <c r="AF236" i="2" s="1"/>
  <c r="V236" i="1"/>
  <c r="AG236" i="2" s="1"/>
  <c r="S237" i="1"/>
  <c r="AD237" i="2" s="1"/>
  <c r="T237" i="1"/>
  <c r="AE237" i="2" s="1"/>
  <c r="U237" i="1"/>
  <c r="AF237" i="2" s="1"/>
  <c r="V237" i="1"/>
  <c r="AG237" i="2" s="1"/>
  <c r="S238" i="1"/>
  <c r="AD238" i="2" s="1"/>
  <c r="T238" i="1"/>
  <c r="AE238" i="2" s="1"/>
  <c r="U238" i="1"/>
  <c r="AF238" i="2" s="1"/>
  <c r="V238" i="1"/>
  <c r="AG238" i="2" s="1"/>
  <c r="S239" i="1"/>
  <c r="AD239" i="2" s="1"/>
  <c r="T239" i="1"/>
  <c r="AE239" i="2" s="1"/>
  <c r="U239" i="1"/>
  <c r="AF239" i="2" s="1"/>
  <c r="V239" i="1"/>
  <c r="AG239" i="2" s="1"/>
  <c r="S240" i="1"/>
  <c r="AD240" i="2" s="1"/>
  <c r="T240" i="1"/>
  <c r="AE240" i="2" s="1"/>
  <c r="U240" i="1"/>
  <c r="AF240" i="2" s="1"/>
  <c r="V240" i="1"/>
  <c r="AG240" i="2" s="1"/>
  <c r="S241" i="1"/>
  <c r="AD241" i="2" s="1"/>
  <c r="T241" i="1"/>
  <c r="AE241" i="2" s="1"/>
  <c r="U241" i="1"/>
  <c r="AF241" i="2" s="1"/>
  <c r="V241" i="1"/>
  <c r="AG241" i="2" s="1"/>
  <c r="S242" i="1"/>
  <c r="AD242" i="2" s="1"/>
  <c r="T242" i="1"/>
  <c r="AE242" i="2" s="1"/>
  <c r="U242" i="1"/>
  <c r="AF242" i="2" s="1"/>
  <c r="V242" i="1"/>
  <c r="AG242" i="2" s="1"/>
  <c r="S243" i="1"/>
  <c r="AD243" i="2" s="1"/>
  <c r="T243" i="1"/>
  <c r="AE243" i="2" s="1"/>
  <c r="U243" i="1"/>
  <c r="AF243" i="2" s="1"/>
  <c r="V243" i="1"/>
  <c r="AG243" i="2" s="1"/>
  <c r="S244" i="1"/>
  <c r="AD244" i="2" s="1"/>
  <c r="T244" i="1"/>
  <c r="AE244" i="2" s="1"/>
  <c r="U244" i="1"/>
  <c r="AF244" i="2" s="1"/>
  <c r="V244" i="1"/>
  <c r="AG244" i="2" s="1"/>
  <c r="S245" i="1"/>
  <c r="AD245" i="2" s="1"/>
  <c r="T245" i="1"/>
  <c r="AE245" i="2" s="1"/>
  <c r="U245" i="1"/>
  <c r="AF245" i="2" s="1"/>
  <c r="V245" i="1"/>
  <c r="AG245" i="2" s="1"/>
  <c r="S246" i="1"/>
  <c r="AD246" i="2" s="1"/>
  <c r="T246" i="1"/>
  <c r="AE246" i="2" s="1"/>
  <c r="U246" i="1"/>
  <c r="AF246" i="2" s="1"/>
  <c r="V246" i="1"/>
  <c r="AG246" i="2" s="1"/>
  <c r="S247" i="1"/>
  <c r="AD247" i="2" s="1"/>
  <c r="T247" i="1"/>
  <c r="AE247" i="2" s="1"/>
  <c r="U247" i="1"/>
  <c r="AF247" i="2" s="1"/>
  <c r="V247" i="1"/>
  <c r="AG247" i="2" s="1"/>
  <c r="S248" i="1"/>
  <c r="AD248" i="2" s="1"/>
  <c r="T248" i="1"/>
  <c r="AE248" i="2" s="1"/>
  <c r="U248" i="1"/>
  <c r="AF248" i="2" s="1"/>
  <c r="V248" i="1"/>
  <c r="AG248" i="2" s="1"/>
  <c r="S249" i="1"/>
  <c r="AD249" i="2" s="1"/>
  <c r="T249" i="1"/>
  <c r="AE249" i="2" s="1"/>
  <c r="U249" i="1"/>
  <c r="AF249" i="2" s="1"/>
  <c r="V249" i="1"/>
  <c r="AG249" i="2" s="1"/>
  <c r="S250" i="1"/>
  <c r="AD250" i="2" s="1"/>
  <c r="T250" i="1"/>
  <c r="AE250" i="2" s="1"/>
  <c r="U250" i="1"/>
  <c r="AF250" i="2" s="1"/>
  <c r="V250" i="1"/>
  <c r="AG250" i="2" s="1"/>
  <c r="S251" i="1"/>
  <c r="AD251" i="2" s="1"/>
  <c r="T251" i="1"/>
  <c r="AE251" i="2" s="1"/>
  <c r="U251" i="1"/>
  <c r="AF251" i="2" s="1"/>
  <c r="V251" i="1"/>
  <c r="AG251" i="2" s="1"/>
  <c r="S252" i="1"/>
  <c r="AD252" i="2" s="1"/>
  <c r="T252" i="1"/>
  <c r="AE252" i="2" s="1"/>
  <c r="U252" i="1"/>
  <c r="AF252" i="2" s="1"/>
  <c r="V252" i="1"/>
  <c r="AG252" i="2" s="1"/>
  <c r="S253" i="1"/>
  <c r="AD253" i="2" s="1"/>
  <c r="T253" i="1"/>
  <c r="AE253" i="2" s="1"/>
  <c r="U253" i="1"/>
  <c r="AF253" i="2" s="1"/>
  <c r="V253" i="1"/>
  <c r="AG253" i="2" s="1"/>
  <c r="S254" i="1"/>
  <c r="AD254" i="2" s="1"/>
  <c r="T254" i="1"/>
  <c r="AE254" i="2" s="1"/>
  <c r="U254" i="1"/>
  <c r="AF254" i="2" s="1"/>
  <c r="V254" i="1"/>
  <c r="AG254" i="2" s="1"/>
  <c r="S255" i="1"/>
  <c r="AD255" i="2" s="1"/>
  <c r="T255" i="1"/>
  <c r="AE255" i="2" s="1"/>
  <c r="U255" i="1"/>
  <c r="AF255" i="2" s="1"/>
  <c r="V255" i="1"/>
  <c r="AG255" i="2" s="1"/>
  <c r="S256" i="1"/>
  <c r="AD256" i="2" s="1"/>
  <c r="T256" i="1"/>
  <c r="AE256" i="2" s="1"/>
  <c r="U256" i="1"/>
  <c r="AF256" i="2" s="1"/>
  <c r="V256" i="1"/>
  <c r="AG256" i="2" s="1"/>
  <c r="S257" i="1"/>
  <c r="AD257" i="2" s="1"/>
  <c r="T257" i="1"/>
  <c r="AE257" i="2" s="1"/>
  <c r="U257" i="1"/>
  <c r="AF257" i="2" s="1"/>
  <c r="V257" i="1"/>
  <c r="AG257" i="2" s="1"/>
  <c r="S258" i="1"/>
  <c r="AD258" i="2" s="1"/>
  <c r="T258" i="1"/>
  <c r="AE258" i="2" s="1"/>
  <c r="U258" i="1"/>
  <c r="AF258" i="2" s="1"/>
  <c r="V258" i="1"/>
  <c r="AG258" i="2" s="1"/>
  <c r="S259" i="1"/>
  <c r="AD259" i="2" s="1"/>
  <c r="T259" i="1"/>
  <c r="AE259" i="2" s="1"/>
  <c r="U259" i="1"/>
  <c r="AF259" i="2" s="1"/>
  <c r="V259" i="1"/>
  <c r="AG259" i="2" s="1"/>
  <c r="S260" i="1"/>
  <c r="AD260" i="2" s="1"/>
  <c r="T260" i="1"/>
  <c r="AE260" i="2" s="1"/>
  <c r="U260" i="1"/>
  <c r="AF260" i="2" s="1"/>
  <c r="V260" i="1"/>
  <c r="AG260" i="2" s="1"/>
  <c r="S261" i="1"/>
  <c r="AD261" i="2" s="1"/>
  <c r="T261" i="1"/>
  <c r="AE261" i="2" s="1"/>
  <c r="U261" i="1"/>
  <c r="AF261" i="2" s="1"/>
  <c r="V261" i="1"/>
  <c r="AG261" i="2" s="1"/>
  <c r="S262" i="1"/>
  <c r="AD262" i="2" s="1"/>
  <c r="T262" i="1"/>
  <c r="AE262" i="2" s="1"/>
  <c r="U262" i="1"/>
  <c r="AF262" i="2" s="1"/>
  <c r="V262" i="1"/>
  <c r="AG262" i="2" s="1"/>
  <c r="S263" i="1"/>
  <c r="AD263" i="2" s="1"/>
  <c r="T263" i="1"/>
  <c r="AE263" i="2" s="1"/>
  <c r="U263" i="1"/>
  <c r="AF263" i="2" s="1"/>
  <c r="V263" i="1"/>
  <c r="AG263" i="2" s="1"/>
  <c r="S264" i="1"/>
  <c r="AD264" i="2" s="1"/>
  <c r="T264" i="1"/>
  <c r="AE264" i="2" s="1"/>
  <c r="U264" i="1"/>
  <c r="AF264" i="2" s="1"/>
  <c r="V264" i="1"/>
  <c r="AG264" i="2" s="1"/>
  <c r="S265" i="1"/>
  <c r="AD265" i="2" s="1"/>
  <c r="T265" i="1"/>
  <c r="AE265" i="2" s="1"/>
  <c r="U265" i="1"/>
  <c r="AF265" i="2" s="1"/>
  <c r="V265" i="1"/>
  <c r="AG265" i="2" s="1"/>
  <c r="S266" i="1"/>
  <c r="AD266" i="2" s="1"/>
  <c r="T266" i="1"/>
  <c r="AE266" i="2" s="1"/>
  <c r="U266" i="1"/>
  <c r="AF266" i="2" s="1"/>
  <c r="V266" i="1"/>
  <c r="AG266" i="2" s="1"/>
  <c r="S267" i="1"/>
  <c r="AD267" i="2" s="1"/>
  <c r="T267" i="1"/>
  <c r="AE267" i="2" s="1"/>
  <c r="U267" i="1"/>
  <c r="AF267" i="2" s="1"/>
  <c r="V267" i="1"/>
  <c r="AG267" i="2" s="1"/>
  <c r="S268" i="1"/>
  <c r="AD268" i="2" s="1"/>
  <c r="T268" i="1"/>
  <c r="AE268" i="2" s="1"/>
  <c r="U268" i="1"/>
  <c r="AF268" i="2" s="1"/>
  <c r="V268" i="1"/>
  <c r="AG268" i="2" s="1"/>
  <c r="S269" i="1"/>
  <c r="AD269" i="2" s="1"/>
  <c r="T269" i="1"/>
  <c r="AE269" i="2" s="1"/>
  <c r="U269" i="1"/>
  <c r="AF269" i="2" s="1"/>
  <c r="V269" i="1"/>
  <c r="AG269" i="2" s="1"/>
  <c r="S270" i="1"/>
  <c r="AD270" i="2" s="1"/>
  <c r="T270" i="1"/>
  <c r="AE270" i="2" s="1"/>
  <c r="U270" i="1"/>
  <c r="AF270" i="2" s="1"/>
  <c r="V270" i="1"/>
  <c r="AG270" i="2" s="1"/>
  <c r="S271" i="1"/>
  <c r="AD271" i="2" s="1"/>
  <c r="T271" i="1"/>
  <c r="AE271" i="2" s="1"/>
  <c r="U271" i="1"/>
  <c r="AF271" i="2" s="1"/>
  <c r="V271" i="1"/>
  <c r="AG271" i="2" s="1"/>
  <c r="S272" i="1"/>
  <c r="AD272" i="2" s="1"/>
  <c r="T272" i="1"/>
  <c r="AE272" i="2" s="1"/>
  <c r="U272" i="1"/>
  <c r="AF272" i="2" s="1"/>
  <c r="V272" i="1"/>
  <c r="AG272" i="2" s="1"/>
  <c r="S273" i="1"/>
  <c r="AD273" i="2" s="1"/>
  <c r="T273" i="1"/>
  <c r="AE273" i="2" s="1"/>
  <c r="U273" i="1"/>
  <c r="AF273" i="2" s="1"/>
  <c r="V273" i="1"/>
  <c r="AG273" i="2" s="1"/>
  <c r="S274" i="1"/>
  <c r="AD274" i="2" s="1"/>
  <c r="T274" i="1"/>
  <c r="AE274" i="2" s="1"/>
  <c r="U274" i="1"/>
  <c r="AF274" i="2" s="1"/>
  <c r="V274" i="1"/>
  <c r="AG274" i="2" s="1"/>
  <c r="S275" i="1"/>
  <c r="AD275" i="2" s="1"/>
  <c r="T275" i="1"/>
  <c r="AE275" i="2" s="1"/>
  <c r="U275" i="1"/>
  <c r="AF275" i="2" s="1"/>
  <c r="V275" i="1"/>
  <c r="AG275" i="2" s="1"/>
  <c r="S276" i="1"/>
  <c r="AD276" i="2" s="1"/>
  <c r="T276" i="1"/>
  <c r="AE276" i="2" s="1"/>
  <c r="U276" i="1"/>
  <c r="AF276" i="2" s="1"/>
  <c r="V276" i="1"/>
  <c r="AG276" i="2" s="1"/>
  <c r="S277" i="1"/>
  <c r="AD277" i="2" s="1"/>
  <c r="T277" i="1"/>
  <c r="AE277" i="2" s="1"/>
  <c r="U277" i="1"/>
  <c r="AF277" i="2" s="1"/>
  <c r="V277" i="1"/>
  <c r="AG277" i="2" s="1"/>
  <c r="S278" i="1"/>
  <c r="AD278" i="2" s="1"/>
  <c r="T278" i="1"/>
  <c r="AE278" i="2" s="1"/>
  <c r="U278" i="1"/>
  <c r="AF278" i="2" s="1"/>
  <c r="V278" i="1"/>
  <c r="AG278" i="2" s="1"/>
  <c r="S279" i="1"/>
  <c r="AD279" i="2" s="1"/>
  <c r="T279" i="1"/>
  <c r="AE279" i="2" s="1"/>
  <c r="U279" i="1"/>
  <c r="AF279" i="2" s="1"/>
  <c r="V279" i="1"/>
  <c r="AG279" i="2" s="1"/>
  <c r="S280" i="1"/>
  <c r="AD280" i="2" s="1"/>
  <c r="T280" i="1"/>
  <c r="AE280" i="2" s="1"/>
  <c r="U280" i="1"/>
  <c r="AF280" i="2" s="1"/>
  <c r="V280" i="1"/>
  <c r="AG280" i="2" s="1"/>
  <c r="S281" i="1"/>
  <c r="AD281" i="2" s="1"/>
  <c r="T281" i="1"/>
  <c r="AE281" i="2" s="1"/>
  <c r="U281" i="1"/>
  <c r="AF281" i="2" s="1"/>
  <c r="V281" i="1"/>
  <c r="AG281" i="2" s="1"/>
  <c r="S282" i="1"/>
  <c r="AD282" i="2" s="1"/>
  <c r="T282" i="1"/>
  <c r="AE282" i="2" s="1"/>
  <c r="U282" i="1"/>
  <c r="AF282" i="2" s="1"/>
  <c r="V282" i="1"/>
  <c r="AG282" i="2" s="1"/>
  <c r="S283" i="1"/>
  <c r="AD283" i="2" s="1"/>
  <c r="T283" i="1"/>
  <c r="AE283" i="2" s="1"/>
  <c r="U283" i="1"/>
  <c r="AF283" i="2" s="1"/>
  <c r="V283" i="1"/>
  <c r="AG283" i="2" s="1"/>
  <c r="S284" i="1"/>
  <c r="AD284" i="2" s="1"/>
  <c r="T284" i="1"/>
  <c r="AE284" i="2" s="1"/>
  <c r="U284" i="1"/>
  <c r="AF284" i="2" s="1"/>
  <c r="V284" i="1"/>
  <c r="AG284" i="2" s="1"/>
  <c r="S285" i="1"/>
  <c r="AD285" i="2" s="1"/>
  <c r="T285" i="1"/>
  <c r="AE285" i="2" s="1"/>
  <c r="U285" i="1"/>
  <c r="AF285" i="2" s="1"/>
  <c r="V285" i="1"/>
  <c r="AG285" i="2" s="1"/>
  <c r="S286" i="1"/>
  <c r="AD286" i="2" s="1"/>
  <c r="T286" i="1"/>
  <c r="AE286" i="2" s="1"/>
  <c r="U286" i="1"/>
  <c r="AF286" i="2" s="1"/>
  <c r="V286" i="1"/>
  <c r="AG286" i="2" s="1"/>
  <c r="S287" i="1"/>
  <c r="AD287" i="2" s="1"/>
  <c r="T287" i="1"/>
  <c r="AE287" i="2" s="1"/>
  <c r="U287" i="1"/>
  <c r="AF287" i="2" s="1"/>
  <c r="V287" i="1"/>
  <c r="AG287" i="2" s="1"/>
  <c r="S288" i="1"/>
  <c r="AD288" i="2" s="1"/>
  <c r="T288" i="1"/>
  <c r="AE288" i="2" s="1"/>
  <c r="U288" i="1"/>
  <c r="AF288" i="2" s="1"/>
  <c r="V288" i="1"/>
  <c r="AG288" i="2" s="1"/>
  <c r="S289" i="1"/>
  <c r="AD289" i="2" s="1"/>
  <c r="T289" i="1"/>
  <c r="AE289" i="2" s="1"/>
  <c r="U289" i="1"/>
  <c r="AF289" i="2" s="1"/>
  <c r="V289" i="1"/>
  <c r="AG289" i="2" s="1"/>
  <c r="S290" i="1"/>
  <c r="AD290" i="2" s="1"/>
  <c r="T290" i="1"/>
  <c r="AE290" i="2" s="1"/>
  <c r="U290" i="1"/>
  <c r="AF290" i="2" s="1"/>
  <c r="V290" i="1"/>
  <c r="AG290" i="2" s="1"/>
  <c r="S291" i="1"/>
  <c r="AD291" i="2" s="1"/>
  <c r="T291" i="1"/>
  <c r="AE291" i="2" s="1"/>
  <c r="U291" i="1"/>
  <c r="AF291" i="2" s="1"/>
  <c r="V291" i="1"/>
  <c r="AG291" i="2" s="1"/>
  <c r="S292" i="1"/>
  <c r="AD292" i="2" s="1"/>
  <c r="T292" i="1"/>
  <c r="AE292" i="2" s="1"/>
  <c r="U292" i="1"/>
  <c r="AF292" i="2" s="1"/>
  <c r="V292" i="1"/>
  <c r="AG292" i="2" s="1"/>
  <c r="S293" i="1"/>
  <c r="AD293" i="2" s="1"/>
  <c r="T293" i="1"/>
  <c r="AE293" i="2" s="1"/>
  <c r="U293" i="1"/>
  <c r="AF293" i="2" s="1"/>
  <c r="V293" i="1"/>
  <c r="AG293" i="2" s="1"/>
  <c r="S294" i="1"/>
  <c r="AD294" i="2" s="1"/>
  <c r="T294" i="1"/>
  <c r="AE294" i="2" s="1"/>
  <c r="U294" i="1"/>
  <c r="AF294" i="2" s="1"/>
  <c r="V294" i="1"/>
  <c r="AG294" i="2" s="1"/>
  <c r="S295" i="1"/>
  <c r="AD295" i="2" s="1"/>
  <c r="T295" i="1"/>
  <c r="AE295" i="2" s="1"/>
  <c r="U295" i="1"/>
  <c r="AF295" i="2" s="1"/>
  <c r="V295" i="1"/>
  <c r="AG295" i="2" s="1"/>
  <c r="S296" i="1"/>
  <c r="AD296" i="2" s="1"/>
  <c r="T296" i="1"/>
  <c r="AE296" i="2" s="1"/>
  <c r="U296" i="1"/>
  <c r="AF296" i="2" s="1"/>
  <c r="V296" i="1"/>
  <c r="AG296" i="2" s="1"/>
  <c r="S297" i="1"/>
  <c r="AD297" i="2" s="1"/>
  <c r="T297" i="1"/>
  <c r="AE297" i="2" s="1"/>
  <c r="U297" i="1"/>
  <c r="AF297" i="2" s="1"/>
  <c r="V297" i="1"/>
  <c r="AG297" i="2" s="1"/>
  <c r="S298" i="1"/>
  <c r="AD298" i="2" s="1"/>
  <c r="T298" i="1"/>
  <c r="AE298" i="2" s="1"/>
  <c r="U298" i="1"/>
  <c r="AF298" i="2" s="1"/>
  <c r="V298" i="1"/>
  <c r="AG298" i="2" s="1"/>
  <c r="S299" i="1"/>
  <c r="AD299" i="2" s="1"/>
  <c r="T299" i="1"/>
  <c r="AE299" i="2" s="1"/>
  <c r="U299" i="1"/>
  <c r="AF299" i="2" s="1"/>
  <c r="V299" i="1"/>
  <c r="AG299" i="2" s="1"/>
  <c r="S300" i="1"/>
  <c r="AD300" i="2" s="1"/>
  <c r="T300" i="1"/>
  <c r="AE300" i="2" s="1"/>
  <c r="U300" i="1"/>
  <c r="AF300" i="2" s="1"/>
  <c r="V300" i="1"/>
  <c r="AG300" i="2" s="1"/>
  <c r="S301" i="1"/>
  <c r="AD301" i="2" s="1"/>
  <c r="T301" i="1"/>
  <c r="AE301" i="2" s="1"/>
  <c r="U301" i="1"/>
  <c r="AF301" i="2" s="1"/>
  <c r="V301" i="1"/>
  <c r="AG301" i="2" s="1"/>
  <c r="S302" i="1"/>
  <c r="AD302" i="2" s="1"/>
  <c r="T302" i="1"/>
  <c r="AE302" i="2" s="1"/>
  <c r="U302" i="1"/>
  <c r="AF302" i="2" s="1"/>
  <c r="V302" i="1"/>
  <c r="AG302" i="2" s="1"/>
  <c r="S303" i="1"/>
  <c r="AD303" i="2" s="1"/>
  <c r="T303" i="1"/>
  <c r="AE303" i="2" s="1"/>
  <c r="U303" i="1"/>
  <c r="AF303" i="2" s="1"/>
  <c r="V303" i="1"/>
  <c r="AG303" i="2" s="1"/>
  <c r="S304" i="1"/>
  <c r="AD304" i="2" s="1"/>
  <c r="T304" i="1"/>
  <c r="AE304" i="2" s="1"/>
  <c r="U304" i="1"/>
  <c r="AF304" i="2" s="1"/>
  <c r="V304" i="1"/>
  <c r="AG304" i="2" s="1"/>
  <c r="S305" i="1"/>
  <c r="AD305" i="2" s="1"/>
  <c r="T305" i="1"/>
  <c r="AE305" i="2" s="1"/>
  <c r="U305" i="1"/>
  <c r="AF305" i="2" s="1"/>
  <c r="V305" i="1"/>
  <c r="AG305" i="2" s="1"/>
  <c r="S306" i="1"/>
  <c r="AD306" i="2" s="1"/>
  <c r="T306" i="1"/>
  <c r="AE306" i="2" s="1"/>
  <c r="U306" i="1"/>
  <c r="AF306" i="2" s="1"/>
  <c r="V306" i="1"/>
  <c r="AG306" i="2" s="1"/>
  <c r="S307" i="1"/>
  <c r="AD307" i="2" s="1"/>
  <c r="T307" i="1"/>
  <c r="AE307" i="2" s="1"/>
  <c r="U307" i="1"/>
  <c r="AF307" i="2" s="1"/>
  <c r="V307" i="1"/>
  <c r="AG307" i="2" s="1"/>
  <c r="S308" i="1"/>
  <c r="AD308" i="2" s="1"/>
  <c r="T308" i="1"/>
  <c r="AE308" i="2" s="1"/>
  <c r="U308" i="1"/>
  <c r="AF308" i="2" s="1"/>
  <c r="V308" i="1"/>
  <c r="AG308" i="2" s="1"/>
  <c r="S309" i="1"/>
  <c r="AD309" i="2" s="1"/>
  <c r="T309" i="1"/>
  <c r="AE309" i="2" s="1"/>
  <c r="U309" i="1"/>
  <c r="AF309" i="2" s="1"/>
  <c r="V309" i="1"/>
  <c r="AG309" i="2" s="1"/>
  <c r="S310" i="1"/>
  <c r="AD310" i="2" s="1"/>
  <c r="T310" i="1"/>
  <c r="AE310" i="2" s="1"/>
  <c r="U310" i="1"/>
  <c r="AF310" i="2" s="1"/>
  <c r="V310" i="1"/>
  <c r="AG310" i="2" s="1"/>
  <c r="S311" i="1"/>
  <c r="AD311" i="2" s="1"/>
  <c r="T311" i="1"/>
  <c r="AE311" i="2" s="1"/>
  <c r="U311" i="1"/>
  <c r="AF311" i="2" s="1"/>
  <c r="V311" i="1"/>
  <c r="AG311" i="2" s="1"/>
  <c r="S312" i="1"/>
  <c r="AD312" i="2" s="1"/>
  <c r="T312" i="1"/>
  <c r="AE312" i="2" s="1"/>
  <c r="U312" i="1"/>
  <c r="AF312" i="2" s="1"/>
  <c r="V312" i="1"/>
  <c r="AG312" i="2" s="1"/>
  <c r="S313" i="1"/>
  <c r="AD313" i="2" s="1"/>
  <c r="T313" i="1"/>
  <c r="AE313" i="2" s="1"/>
  <c r="U313" i="1"/>
  <c r="AF313" i="2" s="1"/>
  <c r="V313" i="1"/>
  <c r="AG313" i="2" s="1"/>
  <c r="S314" i="1"/>
  <c r="AD314" i="2" s="1"/>
  <c r="T314" i="1"/>
  <c r="AE314" i="2" s="1"/>
  <c r="U314" i="1"/>
  <c r="AF314" i="2" s="1"/>
  <c r="V314" i="1"/>
  <c r="AG314" i="2" s="1"/>
  <c r="S315" i="1"/>
  <c r="AD315" i="2" s="1"/>
  <c r="T315" i="1"/>
  <c r="AE315" i="2" s="1"/>
  <c r="U315" i="1"/>
  <c r="AF315" i="2" s="1"/>
  <c r="V315" i="1"/>
  <c r="AG315" i="2" s="1"/>
  <c r="S316" i="1"/>
  <c r="AD316" i="2" s="1"/>
  <c r="T316" i="1"/>
  <c r="AE316" i="2" s="1"/>
  <c r="U316" i="1"/>
  <c r="AF316" i="2" s="1"/>
  <c r="V316" i="1"/>
  <c r="AG316" i="2" s="1"/>
  <c r="S317" i="1"/>
  <c r="AD317" i="2" s="1"/>
  <c r="T317" i="1"/>
  <c r="AE317" i="2" s="1"/>
  <c r="U317" i="1"/>
  <c r="AF317" i="2" s="1"/>
  <c r="V317" i="1"/>
  <c r="AG317" i="2" s="1"/>
  <c r="S318" i="1"/>
  <c r="AD318" i="2" s="1"/>
  <c r="T318" i="1"/>
  <c r="AE318" i="2" s="1"/>
  <c r="U318" i="1"/>
  <c r="AF318" i="2" s="1"/>
  <c r="V318" i="1"/>
  <c r="AG318" i="2" s="1"/>
  <c r="S319" i="1"/>
  <c r="AD319" i="2" s="1"/>
  <c r="T319" i="1"/>
  <c r="AE319" i="2" s="1"/>
  <c r="U319" i="1"/>
  <c r="AF319" i="2" s="1"/>
  <c r="V319" i="1"/>
  <c r="AG319" i="2" s="1"/>
  <c r="S320" i="1"/>
  <c r="AD320" i="2" s="1"/>
  <c r="T320" i="1"/>
  <c r="AE320" i="2" s="1"/>
  <c r="U320" i="1"/>
  <c r="AF320" i="2" s="1"/>
  <c r="V320" i="1"/>
  <c r="AG320" i="2" s="1"/>
  <c r="S321" i="1"/>
  <c r="AD321" i="2" s="1"/>
  <c r="T321" i="1"/>
  <c r="AE321" i="2" s="1"/>
  <c r="U321" i="1"/>
  <c r="AF321" i="2" s="1"/>
  <c r="V321" i="1"/>
  <c r="AG321" i="2" s="1"/>
  <c r="S322" i="1"/>
  <c r="AD322" i="2" s="1"/>
  <c r="T322" i="1"/>
  <c r="AE322" i="2" s="1"/>
  <c r="U322" i="1"/>
  <c r="AF322" i="2" s="1"/>
  <c r="V322" i="1"/>
  <c r="AG322" i="2" s="1"/>
  <c r="S323" i="1"/>
  <c r="AD323" i="2" s="1"/>
  <c r="T323" i="1"/>
  <c r="AE323" i="2" s="1"/>
  <c r="U323" i="1"/>
  <c r="AF323" i="2" s="1"/>
  <c r="V323" i="1"/>
  <c r="AG323" i="2" s="1"/>
  <c r="S324" i="1"/>
  <c r="AD324" i="2" s="1"/>
  <c r="T324" i="1"/>
  <c r="AE324" i="2" s="1"/>
  <c r="U324" i="1"/>
  <c r="AF324" i="2" s="1"/>
  <c r="V324" i="1"/>
  <c r="AG324" i="2" s="1"/>
  <c r="S325" i="1"/>
  <c r="AD325" i="2" s="1"/>
  <c r="T325" i="1"/>
  <c r="AE325" i="2" s="1"/>
  <c r="U325" i="1"/>
  <c r="AF325" i="2" s="1"/>
  <c r="V325" i="1"/>
  <c r="AG325" i="2" s="1"/>
  <c r="S326" i="1"/>
  <c r="AD326" i="2" s="1"/>
  <c r="T326" i="1"/>
  <c r="AE326" i="2" s="1"/>
  <c r="U326" i="1"/>
  <c r="AF326" i="2" s="1"/>
  <c r="V326" i="1"/>
  <c r="AG326" i="2" s="1"/>
  <c r="S327" i="1"/>
  <c r="AD327" i="2" s="1"/>
  <c r="T327" i="1"/>
  <c r="AE327" i="2" s="1"/>
  <c r="U327" i="1"/>
  <c r="AF327" i="2" s="1"/>
  <c r="V327" i="1"/>
  <c r="AG327" i="2" s="1"/>
  <c r="S328" i="1"/>
  <c r="AD328" i="2" s="1"/>
  <c r="T328" i="1"/>
  <c r="AE328" i="2" s="1"/>
  <c r="U328" i="1"/>
  <c r="AF328" i="2" s="1"/>
  <c r="V328" i="1"/>
  <c r="AG328" i="2" s="1"/>
  <c r="S329" i="1"/>
  <c r="AD329" i="2" s="1"/>
  <c r="T329" i="1"/>
  <c r="AE329" i="2" s="1"/>
  <c r="U329" i="1"/>
  <c r="AF329" i="2" s="1"/>
  <c r="V329" i="1"/>
  <c r="AG329" i="2" s="1"/>
  <c r="S330" i="1"/>
  <c r="AD330" i="2" s="1"/>
  <c r="T330" i="1"/>
  <c r="AE330" i="2" s="1"/>
  <c r="U330" i="1"/>
  <c r="AF330" i="2" s="1"/>
  <c r="V330" i="1"/>
  <c r="AG330" i="2" s="1"/>
  <c r="S331" i="1"/>
  <c r="AD331" i="2" s="1"/>
  <c r="T331" i="1"/>
  <c r="AE331" i="2" s="1"/>
  <c r="U331" i="1"/>
  <c r="AF331" i="2" s="1"/>
  <c r="V331" i="1"/>
  <c r="AG331" i="2" s="1"/>
  <c r="S332" i="1"/>
  <c r="AD332" i="2" s="1"/>
  <c r="T332" i="1"/>
  <c r="AE332" i="2" s="1"/>
  <c r="U332" i="1"/>
  <c r="AF332" i="2" s="1"/>
  <c r="V332" i="1"/>
  <c r="AG332" i="2" s="1"/>
  <c r="S333" i="1"/>
  <c r="AD333" i="2" s="1"/>
  <c r="T333" i="1"/>
  <c r="AE333" i="2" s="1"/>
  <c r="U333" i="1"/>
  <c r="AF333" i="2" s="1"/>
  <c r="V333" i="1"/>
  <c r="AG333" i="2" s="1"/>
  <c r="S334" i="1"/>
  <c r="AD334" i="2" s="1"/>
  <c r="T334" i="1"/>
  <c r="AE334" i="2" s="1"/>
  <c r="U334" i="1"/>
  <c r="AF334" i="2" s="1"/>
  <c r="V334" i="1"/>
  <c r="AG334" i="2" s="1"/>
  <c r="S335" i="1"/>
  <c r="AD335" i="2" s="1"/>
  <c r="T335" i="1"/>
  <c r="AE335" i="2" s="1"/>
  <c r="U335" i="1"/>
  <c r="AF335" i="2" s="1"/>
  <c r="V335" i="1"/>
  <c r="AG335" i="2" s="1"/>
  <c r="S336" i="1"/>
  <c r="AD336" i="2" s="1"/>
  <c r="T336" i="1"/>
  <c r="AE336" i="2" s="1"/>
  <c r="U336" i="1"/>
  <c r="AF336" i="2" s="1"/>
  <c r="V336" i="1"/>
  <c r="AG336" i="2" s="1"/>
  <c r="S337" i="1"/>
  <c r="AD337" i="2" s="1"/>
  <c r="T337" i="1"/>
  <c r="AE337" i="2" s="1"/>
  <c r="U337" i="1"/>
  <c r="AF337" i="2" s="1"/>
  <c r="V337" i="1"/>
  <c r="AG337" i="2" s="1"/>
  <c r="S338" i="1"/>
  <c r="AD338" i="2" s="1"/>
  <c r="T338" i="1"/>
  <c r="AE338" i="2" s="1"/>
  <c r="U338" i="1"/>
  <c r="AF338" i="2" s="1"/>
  <c r="V338" i="1"/>
  <c r="AG338" i="2" s="1"/>
  <c r="S339" i="1"/>
  <c r="AD339" i="2" s="1"/>
  <c r="T339" i="1"/>
  <c r="AE339" i="2" s="1"/>
  <c r="U339" i="1"/>
  <c r="AF339" i="2" s="1"/>
  <c r="V339" i="1"/>
  <c r="AG339" i="2" s="1"/>
  <c r="S340" i="1"/>
  <c r="AD340" i="2" s="1"/>
  <c r="T340" i="1"/>
  <c r="AE340" i="2" s="1"/>
  <c r="U340" i="1"/>
  <c r="AF340" i="2" s="1"/>
  <c r="V340" i="1"/>
  <c r="AG340" i="2" s="1"/>
  <c r="S341" i="1"/>
  <c r="AD341" i="2" s="1"/>
  <c r="T341" i="1"/>
  <c r="AE341" i="2" s="1"/>
  <c r="U341" i="1"/>
  <c r="AF341" i="2" s="1"/>
  <c r="V341" i="1"/>
  <c r="AG341" i="2" s="1"/>
  <c r="S342" i="1"/>
  <c r="AD342" i="2" s="1"/>
  <c r="T342" i="1"/>
  <c r="AE342" i="2" s="1"/>
  <c r="U342" i="1"/>
  <c r="AF342" i="2" s="1"/>
  <c r="V342" i="1"/>
  <c r="AG342" i="2" s="1"/>
  <c r="S343" i="1"/>
  <c r="AD343" i="2" s="1"/>
  <c r="T343" i="1"/>
  <c r="AE343" i="2" s="1"/>
  <c r="U343" i="1"/>
  <c r="AF343" i="2" s="1"/>
  <c r="V343" i="1"/>
  <c r="AG343" i="2" s="1"/>
  <c r="S344" i="1"/>
  <c r="AD344" i="2" s="1"/>
  <c r="T344" i="1"/>
  <c r="AE344" i="2" s="1"/>
  <c r="U344" i="1"/>
  <c r="AF344" i="2" s="1"/>
  <c r="V344" i="1"/>
  <c r="AG344" i="2" s="1"/>
  <c r="S345" i="1"/>
  <c r="AD345" i="2" s="1"/>
  <c r="T345" i="1"/>
  <c r="AE345" i="2" s="1"/>
  <c r="U345" i="1"/>
  <c r="AF345" i="2" s="1"/>
  <c r="V345" i="1"/>
  <c r="AG345" i="2" s="1"/>
  <c r="S346" i="1"/>
  <c r="AD346" i="2" s="1"/>
  <c r="T346" i="1"/>
  <c r="AE346" i="2" s="1"/>
  <c r="U346" i="1"/>
  <c r="AF346" i="2" s="1"/>
  <c r="V346" i="1"/>
  <c r="AG346" i="2" s="1"/>
  <c r="S347" i="1"/>
  <c r="AD347" i="2" s="1"/>
  <c r="T347" i="1"/>
  <c r="AE347" i="2" s="1"/>
  <c r="U347" i="1"/>
  <c r="AF347" i="2" s="1"/>
  <c r="V347" i="1"/>
  <c r="AG347" i="2" s="1"/>
  <c r="S348" i="1"/>
  <c r="AD348" i="2" s="1"/>
  <c r="T348" i="1"/>
  <c r="AE348" i="2" s="1"/>
  <c r="U348" i="1"/>
  <c r="AF348" i="2" s="1"/>
  <c r="V348" i="1"/>
  <c r="AG348" i="2" s="1"/>
  <c r="S349" i="1"/>
  <c r="AD349" i="2" s="1"/>
  <c r="T349" i="1"/>
  <c r="AE349" i="2" s="1"/>
  <c r="U349" i="1"/>
  <c r="AF349" i="2" s="1"/>
  <c r="V349" i="1"/>
  <c r="AG349" i="2" s="1"/>
  <c r="S350" i="1"/>
  <c r="AD350" i="2" s="1"/>
  <c r="T350" i="1"/>
  <c r="AE350" i="2" s="1"/>
  <c r="U350" i="1"/>
  <c r="AF350" i="2" s="1"/>
  <c r="V350" i="1"/>
  <c r="AG350" i="2" s="1"/>
  <c r="S351" i="1"/>
  <c r="AD351" i="2" s="1"/>
  <c r="T351" i="1"/>
  <c r="AE351" i="2" s="1"/>
  <c r="U351" i="1"/>
  <c r="AF351" i="2" s="1"/>
  <c r="V351" i="1"/>
  <c r="AG351" i="2" s="1"/>
  <c r="S352" i="1"/>
  <c r="AD352" i="2" s="1"/>
  <c r="T352" i="1"/>
  <c r="AE352" i="2" s="1"/>
  <c r="U352" i="1"/>
  <c r="AF352" i="2" s="1"/>
  <c r="V352" i="1"/>
  <c r="AG352" i="2" s="1"/>
  <c r="S353" i="1"/>
  <c r="AD353" i="2" s="1"/>
  <c r="T353" i="1"/>
  <c r="AE353" i="2" s="1"/>
  <c r="U353" i="1"/>
  <c r="AF353" i="2" s="1"/>
  <c r="V353" i="1"/>
  <c r="AG353" i="2" s="1"/>
  <c r="S354" i="1"/>
  <c r="AD354" i="2" s="1"/>
  <c r="T354" i="1"/>
  <c r="AE354" i="2" s="1"/>
  <c r="U354" i="1"/>
  <c r="AF354" i="2" s="1"/>
  <c r="V354" i="1"/>
  <c r="AG354" i="2" s="1"/>
  <c r="S355" i="1"/>
  <c r="AD355" i="2" s="1"/>
  <c r="T355" i="1"/>
  <c r="AE355" i="2" s="1"/>
  <c r="U355" i="1"/>
  <c r="AF355" i="2" s="1"/>
  <c r="V355" i="1"/>
  <c r="AG355" i="2" s="1"/>
  <c r="S356" i="1"/>
  <c r="AD356" i="2" s="1"/>
  <c r="T356" i="1"/>
  <c r="AE356" i="2" s="1"/>
  <c r="U356" i="1"/>
  <c r="AF356" i="2" s="1"/>
  <c r="V356" i="1"/>
  <c r="AG356" i="2" s="1"/>
  <c r="S357" i="1"/>
  <c r="AD357" i="2" s="1"/>
  <c r="T357" i="1"/>
  <c r="AE357" i="2" s="1"/>
  <c r="U357" i="1"/>
  <c r="AF357" i="2" s="1"/>
  <c r="V357" i="1"/>
  <c r="AG357" i="2" s="1"/>
  <c r="S358" i="1"/>
  <c r="AD358" i="2" s="1"/>
  <c r="T358" i="1"/>
  <c r="AE358" i="2" s="1"/>
  <c r="U358" i="1"/>
  <c r="AF358" i="2" s="1"/>
  <c r="V358" i="1"/>
  <c r="AG358" i="2" s="1"/>
  <c r="S359" i="1"/>
  <c r="AD359" i="2" s="1"/>
  <c r="T359" i="1"/>
  <c r="AE359" i="2" s="1"/>
  <c r="U359" i="1"/>
  <c r="AF359" i="2" s="1"/>
  <c r="V359" i="1"/>
  <c r="AG359" i="2" s="1"/>
  <c r="S360" i="1"/>
  <c r="AD360" i="2" s="1"/>
  <c r="T360" i="1"/>
  <c r="AE360" i="2" s="1"/>
  <c r="U360" i="1"/>
  <c r="AF360" i="2" s="1"/>
  <c r="V360" i="1"/>
  <c r="AG360" i="2" s="1"/>
  <c r="S361" i="1"/>
  <c r="AD361" i="2" s="1"/>
  <c r="T361" i="1"/>
  <c r="AE361" i="2" s="1"/>
  <c r="U361" i="1"/>
  <c r="AF361" i="2" s="1"/>
  <c r="V361" i="1"/>
  <c r="AG361" i="2" s="1"/>
  <c r="S362" i="1"/>
  <c r="AD362" i="2" s="1"/>
  <c r="T362" i="1"/>
  <c r="AE362" i="2" s="1"/>
  <c r="U362" i="1"/>
  <c r="AF362" i="2" s="1"/>
  <c r="V362" i="1"/>
  <c r="AG362" i="2" s="1"/>
  <c r="S363" i="1"/>
  <c r="AD363" i="2" s="1"/>
  <c r="T363" i="1"/>
  <c r="AE363" i="2" s="1"/>
  <c r="U363" i="1"/>
  <c r="AF363" i="2" s="1"/>
  <c r="V363" i="1"/>
  <c r="AG363" i="2" s="1"/>
  <c r="S364" i="1"/>
  <c r="AD364" i="2" s="1"/>
  <c r="T364" i="1"/>
  <c r="AE364" i="2" s="1"/>
  <c r="U364" i="1"/>
  <c r="AF364" i="2" s="1"/>
  <c r="V364" i="1"/>
  <c r="AG364" i="2" s="1"/>
  <c r="S365" i="1"/>
  <c r="AD365" i="2" s="1"/>
  <c r="T365" i="1"/>
  <c r="AE365" i="2" s="1"/>
  <c r="U365" i="1"/>
  <c r="AF365" i="2" s="1"/>
  <c r="V365" i="1"/>
  <c r="AG365" i="2" s="1"/>
  <c r="S366" i="1"/>
  <c r="AD366" i="2" s="1"/>
  <c r="T366" i="1"/>
  <c r="AE366" i="2" s="1"/>
  <c r="U366" i="1"/>
  <c r="AF366" i="2" s="1"/>
  <c r="V366" i="1"/>
  <c r="AG366" i="2" s="1"/>
  <c r="S367" i="1"/>
  <c r="AD367" i="2" s="1"/>
  <c r="T367" i="1"/>
  <c r="AE367" i="2" s="1"/>
  <c r="U367" i="1"/>
  <c r="AF367" i="2" s="1"/>
  <c r="V367" i="1"/>
  <c r="AG367" i="2" s="1"/>
  <c r="S368" i="1"/>
  <c r="AD368" i="2" s="1"/>
  <c r="T368" i="1"/>
  <c r="AE368" i="2" s="1"/>
  <c r="U368" i="1"/>
  <c r="AF368" i="2" s="1"/>
  <c r="V368" i="1"/>
  <c r="AG368" i="2" s="1"/>
  <c r="S369" i="1"/>
  <c r="AD369" i="2" s="1"/>
  <c r="T369" i="1"/>
  <c r="AE369" i="2" s="1"/>
  <c r="U369" i="1"/>
  <c r="AF369" i="2" s="1"/>
  <c r="V369" i="1"/>
  <c r="AG369" i="2" s="1"/>
  <c r="S370" i="1"/>
  <c r="AD370" i="2" s="1"/>
  <c r="T370" i="1"/>
  <c r="AE370" i="2" s="1"/>
  <c r="U370" i="1"/>
  <c r="AF370" i="2" s="1"/>
  <c r="V370" i="1"/>
  <c r="AG370" i="2" s="1"/>
  <c r="V5" i="1"/>
  <c r="AG5" i="2" s="1"/>
  <c r="U5" i="1"/>
  <c r="AF5" i="2" s="1"/>
  <c r="T5" i="1"/>
  <c r="AE5" i="2" s="1"/>
  <c r="S5" i="1"/>
  <c r="AD5" i="2" s="1"/>
  <c r="R7" i="1"/>
  <c r="AC7" i="2" s="1"/>
  <c r="R8" i="1"/>
  <c r="AC8" i="2" s="1"/>
  <c r="R9" i="1"/>
  <c r="AC9" i="2" s="1"/>
  <c r="R10" i="1"/>
  <c r="AC10" i="2" s="1"/>
  <c r="R11" i="1"/>
  <c r="AC11" i="2" s="1"/>
  <c r="R12" i="1"/>
  <c r="AC12" i="2" s="1"/>
  <c r="R13" i="1"/>
  <c r="AC13" i="2" s="1"/>
  <c r="R14" i="1"/>
  <c r="AC14" i="2" s="1"/>
  <c r="R15" i="1"/>
  <c r="AC15" i="2" s="1"/>
  <c r="R16" i="1"/>
  <c r="AC16" i="2" s="1"/>
  <c r="R17" i="1"/>
  <c r="AC17" i="2" s="1"/>
  <c r="R18" i="1"/>
  <c r="AC18" i="2" s="1"/>
  <c r="R19" i="1"/>
  <c r="AC19" i="2" s="1"/>
  <c r="R20" i="1"/>
  <c r="AC20" i="2" s="1"/>
  <c r="R21" i="1"/>
  <c r="AC21" i="2" s="1"/>
  <c r="R22" i="1"/>
  <c r="AC22" i="2" s="1"/>
  <c r="R23" i="1"/>
  <c r="AC23" i="2" s="1"/>
  <c r="R24" i="1"/>
  <c r="AC24" i="2" s="1"/>
  <c r="R25" i="1"/>
  <c r="AC25" i="2" s="1"/>
  <c r="R26" i="1"/>
  <c r="AC26" i="2" s="1"/>
  <c r="R27" i="1"/>
  <c r="AC27" i="2" s="1"/>
  <c r="R28" i="1"/>
  <c r="AC28" i="2" s="1"/>
  <c r="R29" i="1"/>
  <c r="AC29" i="2" s="1"/>
  <c r="R30" i="1"/>
  <c r="AC30" i="2" s="1"/>
  <c r="R31" i="1"/>
  <c r="AC31" i="2" s="1"/>
  <c r="R32" i="1"/>
  <c r="AC32" i="2" s="1"/>
  <c r="R33" i="1"/>
  <c r="AC33" i="2" s="1"/>
  <c r="R34" i="1"/>
  <c r="AC34" i="2" s="1"/>
  <c r="R35" i="1"/>
  <c r="AC35" i="2" s="1"/>
  <c r="R36" i="1"/>
  <c r="AC36" i="2" s="1"/>
  <c r="R37" i="1"/>
  <c r="AC37" i="2" s="1"/>
  <c r="R38" i="1"/>
  <c r="AC38" i="2" s="1"/>
  <c r="R39" i="1"/>
  <c r="AC39" i="2" s="1"/>
  <c r="R40" i="1"/>
  <c r="AC40" i="2" s="1"/>
  <c r="R41" i="1"/>
  <c r="AC41" i="2" s="1"/>
  <c r="R42" i="1"/>
  <c r="AC42" i="2" s="1"/>
  <c r="R43" i="1"/>
  <c r="AC43" i="2" s="1"/>
  <c r="R44" i="1"/>
  <c r="AC44" i="2" s="1"/>
  <c r="R45" i="1"/>
  <c r="AC45" i="2" s="1"/>
  <c r="R46" i="1"/>
  <c r="AC46" i="2" s="1"/>
  <c r="R47" i="1"/>
  <c r="AC47" i="2" s="1"/>
  <c r="R48" i="1"/>
  <c r="AC48" i="2" s="1"/>
  <c r="R49" i="1"/>
  <c r="AC49" i="2" s="1"/>
  <c r="R50" i="1"/>
  <c r="AC50" i="2" s="1"/>
  <c r="R51" i="1"/>
  <c r="AC51" i="2" s="1"/>
  <c r="R52" i="1"/>
  <c r="AC52" i="2" s="1"/>
  <c r="R53" i="1"/>
  <c r="AC53" i="2" s="1"/>
  <c r="R54" i="1"/>
  <c r="AC54" i="2" s="1"/>
  <c r="R55" i="1"/>
  <c r="AC55" i="2" s="1"/>
  <c r="R56" i="1"/>
  <c r="AC56" i="2" s="1"/>
  <c r="R57" i="1"/>
  <c r="AC57" i="2" s="1"/>
  <c r="R58" i="1"/>
  <c r="AC58" i="2" s="1"/>
  <c r="R59" i="1"/>
  <c r="AC59" i="2" s="1"/>
  <c r="R60" i="1"/>
  <c r="AC60" i="2" s="1"/>
  <c r="R61" i="1"/>
  <c r="AC61" i="2" s="1"/>
  <c r="R62" i="1"/>
  <c r="AC62" i="2" s="1"/>
  <c r="R63" i="1"/>
  <c r="AC63" i="2" s="1"/>
  <c r="R64" i="1"/>
  <c r="AC64" i="2" s="1"/>
  <c r="R65" i="1"/>
  <c r="AC65" i="2" s="1"/>
  <c r="R66" i="1"/>
  <c r="AC66" i="2" s="1"/>
  <c r="R67" i="1"/>
  <c r="AC67" i="2" s="1"/>
  <c r="R68" i="1"/>
  <c r="AC68" i="2" s="1"/>
  <c r="R69" i="1"/>
  <c r="AC69" i="2" s="1"/>
  <c r="R70" i="1"/>
  <c r="AC70" i="2" s="1"/>
  <c r="R71" i="1"/>
  <c r="AC71" i="2" s="1"/>
  <c r="R72" i="1"/>
  <c r="AC72" i="2" s="1"/>
  <c r="R73" i="1"/>
  <c r="AC73" i="2" s="1"/>
  <c r="R74" i="1"/>
  <c r="AC74" i="2" s="1"/>
  <c r="R75" i="1"/>
  <c r="AC75" i="2" s="1"/>
  <c r="R76" i="1"/>
  <c r="AC76" i="2" s="1"/>
  <c r="R77" i="1"/>
  <c r="AC77" i="2" s="1"/>
  <c r="R78" i="1"/>
  <c r="AC78" i="2" s="1"/>
  <c r="R79" i="1"/>
  <c r="AC79" i="2" s="1"/>
  <c r="R80" i="1"/>
  <c r="AC80" i="2" s="1"/>
  <c r="R81" i="1"/>
  <c r="AC81" i="2" s="1"/>
  <c r="R82" i="1"/>
  <c r="AC82" i="2" s="1"/>
  <c r="R83" i="1"/>
  <c r="AC83" i="2" s="1"/>
  <c r="R84" i="1"/>
  <c r="AC84" i="2" s="1"/>
  <c r="R85" i="1"/>
  <c r="AC85" i="2" s="1"/>
  <c r="R86" i="1"/>
  <c r="AC86" i="2" s="1"/>
  <c r="R87" i="1"/>
  <c r="AC87" i="2" s="1"/>
  <c r="R88" i="1"/>
  <c r="AC88" i="2" s="1"/>
  <c r="R89" i="1"/>
  <c r="AC89" i="2" s="1"/>
  <c r="R90" i="1"/>
  <c r="AC90" i="2" s="1"/>
  <c r="R91" i="1"/>
  <c r="AC91" i="2" s="1"/>
  <c r="R92" i="1"/>
  <c r="AC92" i="2" s="1"/>
  <c r="R93" i="1"/>
  <c r="AC93" i="2" s="1"/>
  <c r="R94" i="1"/>
  <c r="AC94" i="2" s="1"/>
  <c r="R95" i="1"/>
  <c r="AC95" i="2" s="1"/>
  <c r="R96" i="1"/>
  <c r="AC96" i="2" s="1"/>
  <c r="R97" i="1"/>
  <c r="AC97" i="2" s="1"/>
  <c r="R98" i="1"/>
  <c r="AC98" i="2" s="1"/>
  <c r="R99" i="1"/>
  <c r="AC99" i="2" s="1"/>
  <c r="R100" i="1"/>
  <c r="AC100" i="2" s="1"/>
  <c r="R101" i="1"/>
  <c r="AC101" i="2" s="1"/>
  <c r="R102" i="1"/>
  <c r="AC102" i="2" s="1"/>
  <c r="R103" i="1"/>
  <c r="AC103" i="2" s="1"/>
  <c r="R104" i="1"/>
  <c r="AC104" i="2" s="1"/>
  <c r="R105" i="1"/>
  <c r="AC105" i="2" s="1"/>
  <c r="R106" i="1"/>
  <c r="AC106" i="2" s="1"/>
  <c r="R107" i="1"/>
  <c r="AC107" i="2" s="1"/>
  <c r="R108" i="1"/>
  <c r="AC108" i="2" s="1"/>
  <c r="R109" i="1"/>
  <c r="AC109" i="2" s="1"/>
  <c r="R110" i="1"/>
  <c r="AC110" i="2" s="1"/>
  <c r="R111" i="1"/>
  <c r="AC111" i="2" s="1"/>
  <c r="R112" i="1"/>
  <c r="AC112" i="2" s="1"/>
  <c r="R113" i="1"/>
  <c r="AC113" i="2" s="1"/>
  <c r="R114" i="1"/>
  <c r="AC114" i="2" s="1"/>
  <c r="R115" i="1"/>
  <c r="AC115" i="2" s="1"/>
  <c r="R116" i="1"/>
  <c r="AC116" i="2" s="1"/>
  <c r="R117" i="1"/>
  <c r="AC117" i="2" s="1"/>
  <c r="R118" i="1"/>
  <c r="AC118" i="2" s="1"/>
  <c r="R119" i="1"/>
  <c r="AC119" i="2" s="1"/>
  <c r="R120" i="1"/>
  <c r="AC120" i="2" s="1"/>
  <c r="R121" i="1"/>
  <c r="AC121" i="2" s="1"/>
  <c r="R122" i="1"/>
  <c r="AC122" i="2" s="1"/>
  <c r="R123" i="1"/>
  <c r="AC123" i="2" s="1"/>
  <c r="R124" i="1"/>
  <c r="AC124" i="2" s="1"/>
  <c r="R125" i="1"/>
  <c r="AC125" i="2" s="1"/>
  <c r="R126" i="1"/>
  <c r="AC126" i="2" s="1"/>
  <c r="R127" i="1"/>
  <c r="AC127" i="2" s="1"/>
  <c r="R128" i="1"/>
  <c r="AC128" i="2" s="1"/>
  <c r="R129" i="1"/>
  <c r="AC129" i="2" s="1"/>
  <c r="R130" i="1"/>
  <c r="AC130" i="2" s="1"/>
  <c r="R131" i="1"/>
  <c r="AC131" i="2" s="1"/>
  <c r="R132" i="1"/>
  <c r="AC132" i="2" s="1"/>
  <c r="R133" i="1"/>
  <c r="AC133" i="2" s="1"/>
  <c r="R134" i="1"/>
  <c r="AC134" i="2" s="1"/>
  <c r="R135" i="1"/>
  <c r="AC135" i="2" s="1"/>
  <c r="R136" i="1"/>
  <c r="AC136" i="2" s="1"/>
  <c r="R137" i="1"/>
  <c r="AC137" i="2" s="1"/>
  <c r="R138" i="1"/>
  <c r="AC138" i="2" s="1"/>
  <c r="R139" i="1"/>
  <c r="AC139" i="2" s="1"/>
  <c r="R140" i="1"/>
  <c r="AC140" i="2" s="1"/>
  <c r="R141" i="1"/>
  <c r="AC141" i="2" s="1"/>
  <c r="R142" i="1"/>
  <c r="AC142" i="2" s="1"/>
  <c r="R143" i="1"/>
  <c r="AC143" i="2" s="1"/>
  <c r="R144" i="1"/>
  <c r="AC144" i="2" s="1"/>
  <c r="R145" i="1"/>
  <c r="AC145" i="2" s="1"/>
  <c r="R146" i="1"/>
  <c r="AC146" i="2" s="1"/>
  <c r="R147" i="1"/>
  <c r="AC147" i="2" s="1"/>
  <c r="R148" i="1"/>
  <c r="AC148" i="2" s="1"/>
  <c r="R149" i="1"/>
  <c r="AC149" i="2" s="1"/>
  <c r="R150" i="1"/>
  <c r="AC150" i="2" s="1"/>
  <c r="R151" i="1"/>
  <c r="AC151" i="2" s="1"/>
  <c r="R152" i="1"/>
  <c r="AC152" i="2" s="1"/>
  <c r="R153" i="1"/>
  <c r="AC153" i="2" s="1"/>
  <c r="R154" i="1"/>
  <c r="AC154" i="2" s="1"/>
  <c r="R155" i="1"/>
  <c r="AC155" i="2" s="1"/>
  <c r="R156" i="1"/>
  <c r="AC156" i="2" s="1"/>
  <c r="R157" i="1"/>
  <c r="AC157" i="2" s="1"/>
  <c r="R158" i="1"/>
  <c r="AC158" i="2" s="1"/>
  <c r="R159" i="1"/>
  <c r="AC159" i="2" s="1"/>
  <c r="R160" i="1"/>
  <c r="AC160" i="2" s="1"/>
  <c r="R161" i="1"/>
  <c r="AC161" i="2" s="1"/>
  <c r="R162" i="1"/>
  <c r="AC162" i="2" s="1"/>
  <c r="R163" i="1"/>
  <c r="AC163" i="2" s="1"/>
  <c r="R164" i="1"/>
  <c r="AC164" i="2" s="1"/>
  <c r="R165" i="1"/>
  <c r="AC165" i="2" s="1"/>
  <c r="R166" i="1"/>
  <c r="AC166" i="2" s="1"/>
  <c r="R167" i="1"/>
  <c r="AC167" i="2" s="1"/>
  <c r="R168" i="1"/>
  <c r="AC168" i="2" s="1"/>
  <c r="R169" i="1"/>
  <c r="AC169" i="2" s="1"/>
  <c r="R170" i="1"/>
  <c r="AC170" i="2" s="1"/>
  <c r="R171" i="1"/>
  <c r="AC171" i="2" s="1"/>
  <c r="R172" i="1"/>
  <c r="AC172" i="2" s="1"/>
  <c r="R173" i="1"/>
  <c r="AC173" i="2" s="1"/>
  <c r="R174" i="1"/>
  <c r="AC174" i="2" s="1"/>
  <c r="R175" i="1"/>
  <c r="AC175" i="2" s="1"/>
  <c r="R176" i="1"/>
  <c r="AC176" i="2" s="1"/>
  <c r="R177" i="1"/>
  <c r="AC177" i="2" s="1"/>
  <c r="R178" i="1"/>
  <c r="AC178" i="2" s="1"/>
  <c r="R179" i="1"/>
  <c r="AC179" i="2" s="1"/>
  <c r="R180" i="1"/>
  <c r="AC180" i="2" s="1"/>
  <c r="R181" i="1"/>
  <c r="AC181" i="2" s="1"/>
  <c r="R182" i="1"/>
  <c r="AC182" i="2" s="1"/>
  <c r="R183" i="1"/>
  <c r="AC183" i="2" s="1"/>
  <c r="R184" i="1"/>
  <c r="AC184" i="2" s="1"/>
  <c r="R185" i="1"/>
  <c r="AC185" i="2" s="1"/>
  <c r="R186" i="1"/>
  <c r="AC186" i="2" s="1"/>
  <c r="R187" i="1"/>
  <c r="AC187" i="2" s="1"/>
  <c r="R188" i="1"/>
  <c r="AC188" i="2" s="1"/>
  <c r="R189" i="1"/>
  <c r="AC189" i="2" s="1"/>
  <c r="R190" i="1"/>
  <c r="AC190" i="2" s="1"/>
  <c r="R191" i="1"/>
  <c r="AC191" i="2" s="1"/>
  <c r="R192" i="1"/>
  <c r="AC192" i="2" s="1"/>
  <c r="R193" i="1"/>
  <c r="AC193" i="2" s="1"/>
  <c r="R194" i="1"/>
  <c r="AC194" i="2" s="1"/>
  <c r="R195" i="1"/>
  <c r="AC195" i="2" s="1"/>
  <c r="R196" i="1"/>
  <c r="AC196" i="2" s="1"/>
  <c r="R197" i="1"/>
  <c r="AC197" i="2" s="1"/>
  <c r="R198" i="1"/>
  <c r="AC198" i="2" s="1"/>
  <c r="R199" i="1"/>
  <c r="AC199" i="2" s="1"/>
  <c r="R200" i="1"/>
  <c r="AC200" i="2" s="1"/>
  <c r="R201" i="1"/>
  <c r="AC201" i="2" s="1"/>
  <c r="R202" i="1"/>
  <c r="AC202" i="2" s="1"/>
  <c r="R203" i="1"/>
  <c r="AC203" i="2" s="1"/>
  <c r="R204" i="1"/>
  <c r="AC204" i="2" s="1"/>
  <c r="R205" i="1"/>
  <c r="AC205" i="2" s="1"/>
  <c r="R206" i="1"/>
  <c r="AC206" i="2" s="1"/>
  <c r="R207" i="1"/>
  <c r="AC207" i="2" s="1"/>
  <c r="R208" i="1"/>
  <c r="AC208" i="2" s="1"/>
  <c r="R209" i="1"/>
  <c r="AC209" i="2" s="1"/>
  <c r="R210" i="1"/>
  <c r="AC210" i="2" s="1"/>
  <c r="R211" i="1"/>
  <c r="AC211" i="2" s="1"/>
  <c r="R212" i="1"/>
  <c r="AC212" i="2" s="1"/>
  <c r="R213" i="1"/>
  <c r="AC213" i="2" s="1"/>
  <c r="R214" i="1"/>
  <c r="AC214" i="2" s="1"/>
  <c r="R215" i="1"/>
  <c r="AC215" i="2" s="1"/>
  <c r="R216" i="1"/>
  <c r="AC216" i="2" s="1"/>
  <c r="R217" i="1"/>
  <c r="AC217" i="2" s="1"/>
  <c r="R218" i="1"/>
  <c r="AC218" i="2" s="1"/>
  <c r="R219" i="1"/>
  <c r="AC219" i="2" s="1"/>
  <c r="R220" i="1"/>
  <c r="AC220" i="2" s="1"/>
  <c r="R221" i="1"/>
  <c r="AC221" i="2" s="1"/>
  <c r="R222" i="1"/>
  <c r="AC222" i="2" s="1"/>
  <c r="R223" i="1"/>
  <c r="AC223" i="2" s="1"/>
  <c r="R224" i="1"/>
  <c r="AC224" i="2" s="1"/>
  <c r="R225" i="1"/>
  <c r="AC225" i="2" s="1"/>
  <c r="R226" i="1"/>
  <c r="AC226" i="2" s="1"/>
  <c r="R227" i="1"/>
  <c r="AC227" i="2" s="1"/>
  <c r="R228" i="1"/>
  <c r="AC228" i="2" s="1"/>
  <c r="R229" i="1"/>
  <c r="AC229" i="2" s="1"/>
  <c r="R230" i="1"/>
  <c r="AC230" i="2" s="1"/>
  <c r="R231" i="1"/>
  <c r="AC231" i="2" s="1"/>
  <c r="R232" i="1"/>
  <c r="AC232" i="2" s="1"/>
  <c r="R233" i="1"/>
  <c r="AC233" i="2" s="1"/>
  <c r="R234" i="1"/>
  <c r="AC234" i="2" s="1"/>
  <c r="R235" i="1"/>
  <c r="AC235" i="2" s="1"/>
  <c r="R236" i="1"/>
  <c r="AC236" i="2" s="1"/>
  <c r="R237" i="1"/>
  <c r="AC237" i="2" s="1"/>
  <c r="R238" i="1"/>
  <c r="AC238" i="2" s="1"/>
  <c r="R239" i="1"/>
  <c r="AC239" i="2" s="1"/>
  <c r="R240" i="1"/>
  <c r="AC240" i="2" s="1"/>
  <c r="R241" i="1"/>
  <c r="AC241" i="2" s="1"/>
  <c r="R242" i="1"/>
  <c r="AC242" i="2" s="1"/>
  <c r="R243" i="1"/>
  <c r="AC243" i="2" s="1"/>
  <c r="R244" i="1"/>
  <c r="AC244" i="2" s="1"/>
  <c r="R245" i="1"/>
  <c r="AC245" i="2" s="1"/>
  <c r="R246" i="1"/>
  <c r="AC246" i="2" s="1"/>
  <c r="R247" i="1"/>
  <c r="AC247" i="2" s="1"/>
  <c r="R248" i="1"/>
  <c r="AC248" i="2" s="1"/>
  <c r="R249" i="1"/>
  <c r="AC249" i="2" s="1"/>
  <c r="R250" i="1"/>
  <c r="AC250" i="2" s="1"/>
  <c r="R251" i="1"/>
  <c r="AC251" i="2" s="1"/>
  <c r="R252" i="1"/>
  <c r="AC252" i="2" s="1"/>
  <c r="R253" i="1"/>
  <c r="AC253" i="2" s="1"/>
  <c r="R254" i="1"/>
  <c r="AC254" i="2" s="1"/>
  <c r="R255" i="1"/>
  <c r="AC255" i="2" s="1"/>
  <c r="R256" i="1"/>
  <c r="AC256" i="2" s="1"/>
  <c r="R257" i="1"/>
  <c r="AC257" i="2" s="1"/>
  <c r="R258" i="1"/>
  <c r="AC258" i="2" s="1"/>
  <c r="R259" i="1"/>
  <c r="AC259" i="2" s="1"/>
  <c r="R260" i="1"/>
  <c r="AC260" i="2" s="1"/>
  <c r="R261" i="1"/>
  <c r="AC261" i="2" s="1"/>
  <c r="R262" i="1"/>
  <c r="AC262" i="2" s="1"/>
  <c r="R263" i="1"/>
  <c r="AC263" i="2" s="1"/>
  <c r="R264" i="1"/>
  <c r="AC264" i="2" s="1"/>
  <c r="R265" i="1"/>
  <c r="AC265" i="2" s="1"/>
  <c r="R266" i="1"/>
  <c r="AC266" i="2" s="1"/>
  <c r="R267" i="1"/>
  <c r="AC267" i="2" s="1"/>
  <c r="R268" i="1"/>
  <c r="AC268" i="2" s="1"/>
  <c r="R269" i="1"/>
  <c r="AC269" i="2" s="1"/>
  <c r="R270" i="1"/>
  <c r="AC270" i="2" s="1"/>
  <c r="R271" i="1"/>
  <c r="AC271" i="2" s="1"/>
  <c r="R272" i="1"/>
  <c r="AC272" i="2" s="1"/>
  <c r="R273" i="1"/>
  <c r="AC273" i="2" s="1"/>
  <c r="R274" i="1"/>
  <c r="AC274" i="2" s="1"/>
  <c r="R275" i="1"/>
  <c r="AC275" i="2" s="1"/>
  <c r="R276" i="1"/>
  <c r="AC276" i="2" s="1"/>
  <c r="R277" i="1"/>
  <c r="AC277" i="2" s="1"/>
  <c r="R278" i="1"/>
  <c r="AC278" i="2" s="1"/>
  <c r="R279" i="1"/>
  <c r="AC279" i="2" s="1"/>
  <c r="R280" i="1"/>
  <c r="AC280" i="2" s="1"/>
  <c r="R281" i="1"/>
  <c r="AC281" i="2" s="1"/>
  <c r="R282" i="1"/>
  <c r="AC282" i="2" s="1"/>
  <c r="R283" i="1"/>
  <c r="AC283" i="2" s="1"/>
  <c r="R284" i="1"/>
  <c r="AC284" i="2" s="1"/>
  <c r="R285" i="1"/>
  <c r="AC285" i="2" s="1"/>
  <c r="R286" i="1"/>
  <c r="AC286" i="2" s="1"/>
  <c r="R287" i="1"/>
  <c r="AC287" i="2" s="1"/>
  <c r="R288" i="1"/>
  <c r="AC288" i="2" s="1"/>
  <c r="R289" i="1"/>
  <c r="AC289" i="2" s="1"/>
  <c r="R290" i="1"/>
  <c r="AC290" i="2" s="1"/>
  <c r="R291" i="1"/>
  <c r="AC291" i="2" s="1"/>
  <c r="R292" i="1"/>
  <c r="AC292" i="2" s="1"/>
  <c r="R293" i="1"/>
  <c r="AC293" i="2" s="1"/>
  <c r="R294" i="1"/>
  <c r="AC294" i="2" s="1"/>
  <c r="R295" i="1"/>
  <c r="AC295" i="2" s="1"/>
  <c r="R296" i="1"/>
  <c r="AC296" i="2" s="1"/>
  <c r="R297" i="1"/>
  <c r="AC297" i="2" s="1"/>
  <c r="R298" i="1"/>
  <c r="AC298" i="2" s="1"/>
  <c r="R299" i="1"/>
  <c r="AC299" i="2" s="1"/>
  <c r="R300" i="1"/>
  <c r="AC300" i="2" s="1"/>
  <c r="R301" i="1"/>
  <c r="AC301" i="2" s="1"/>
  <c r="R302" i="1"/>
  <c r="AC302" i="2" s="1"/>
  <c r="R303" i="1"/>
  <c r="AC303" i="2" s="1"/>
  <c r="R304" i="1"/>
  <c r="AC304" i="2" s="1"/>
  <c r="R305" i="1"/>
  <c r="AC305" i="2" s="1"/>
  <c r="R306" i="1"/>
  <c r="AC306" i="2" s="1"/>
  <c r="R307" i="1"/>
  <c r="AC307" i="2" s="1"/>
  <c r="R308" i="1"/>
  <c r="AC308" i="2" s="1"/>
  <c r="R309" i="1"/>
  <c r="AC309" i="2" s="1"/>
  <c r="R310" i="1"/>
  <c r="AC310" i="2" s="1"/>
  <c r="R311" i="1"/>
  <c r="AC311" i="2" s="1"/>
  <c r="R312" i="1"/>
  <c r="AC312" i="2" s="1"/>
  <c r="R313" i="1"/>
  <c r="AC313" i="2" s="1"/>
  <c r="R314" i="1"/>
  <c r="AC314" i="2" s="1"/>
  <c r="R315" i="1"/>
  <c r="AC315" i="2" s="1"/>
  <c r="R316" i="1"/>
  <c r="AC316" i="2" s="1"/>
  <c r="R317" i="1"/>
  <c r="AC317" i="2" s="1"/>
  <c r="R318" i="1"/>
  <c r="AC318" i="2" s="1"/>
  <c r="R319" i="1"/>
  <c r="AC319" i="2" s="1"/>
  <c r="R320" i="1"/>
  <c r="AC320" i="2" s="1"/>
  <c r="R321" i="1"/>
  <c r="AC321" i="2" s="1"/>
  <c r="R322" i="1"/>
  <c r="AC322" i="2" s="1"/>
  <c r="R323" i="1"/>
  <c r="AC323" i="2" s="1"/>
  <c r="R324" i="1"/>
  <c r="AC324" i="2" s="1"/>
  <c r="R325" i="1"/>
  <c r="AC325" i="2" s="1"/>
  <c r="R326" i="1"/>
  <c r="AC326" i="2" s="1"/>
  <c r="R327" i="1"/>
  <c r="AC327" i="2" s="1"/>
  <c r="R328" i="1"/>
  <c r="AC328" i="2" s="1"/>
  <c r="R329" i="1"/>
  <c r="AC329" i="2" s="1"/>
  <c r="R330" i="1"/>
  <c r="AC330" i="2" s="1"/>
  <c r="R331" i="1"/>
  <c r="AC331" i="2" s="1"/>
  <c r="R332" i="1"/>
  <c r="AC332" i="2" s="1"/>
  <c r="R333" i="1"/>
  <c r="AC333" i="2" s="1"/>
  <c r="R334" i="1"/>
  <c r="AC334" i="2" s="1"/>
  <c r="R335" i="1"/>
  <c r="AC335" i="2" s="1"/>
  <c r="R336" i="1"/>
  <c r="AC336" i="2" s="1"/>
  <c r="R337" i="1"/>
  <c r="AC337" i="2" s="1"/>
  <c r="R338" i="1"/>
  <c r="AC338" i="2" s="1"/>
  <c r="R339" i="1"/>
  <c r="AC339" i="2" s="1"/>
  <c r="R340" i="1"/>
  <c r="AC340" i="2" s="1"/>
  <c r="R341" i="1"/>
  <c r="AC341" i="2" s="1"/>
  <c r="R342" i="1"/>
  <c r="AC342" i="2" s="1"/>
  <c r="R343" i="1"/>
  <c r="AC343" i="2" s="1"/>
  <c r="R344" i="1"/>
  <c r="AC344" i="2" s="1"/>
  <c r="R345" i="1"/>
  <c r="AC345" i="2" s="1"/>
  <c r="R346" i="1"/>
  <c r="AC346" i="2" s="1"/>
  <c r="R347" i="1"/>
  <c r="AC347" i="2" s="1"/>
  <c r="R348" i="1"/>
  <c r="AC348" i="2" s="1"/>
  <c r="R349" i="1"/>
  <c r="AC349" i="2" s="1"/>
  <c r="R350" i="1"/>
  <c r="AC350" i="2" s="1"/>
  <c r="R351" i="1"/>
  <c r="AC351" i="2" s="1"/>
  <c r="R352" i="1"/>
  <c r="AC352" i="2" s="1"/>
  <c r="R353" i="1"/>
  <c r="AC353" i="2" s="1"/>
  <c r="R354" i="1"/>
  <c r="AC354" i="2" s="1"/>
  <c r="R355" i="1"/>
  <c r="AC355" i="2" s="1"/>
  <c r="R356" i="1"/>
  <c r="AC356" i="2" s="1"/>
  <c r="R357" i="1"/>
  <c r="AC357" i="2" s="1"/>
  <c r="R358" i="1"/>
  <c r="AC358" i="2" s="1"/>
  <c r="R359" i="1"/>
  <c r="AC359" i="2" s="1"/>
  <c r="R360" i="1"/>
  <c r="AC360" i="2" s="1"/>
  <c r="R361" i="1"/>
  <c r="AC361" i="2" s="1"/>
  <c r="R362" i="1"/>
  <c r="AC362" i="2" s="1"/>
  <c r="R363" i="1"/>
  <c r="AC363" i="2" s="1"/>
  <c r="R364" i="1"/>
  <c r="AC364" i="2" s="1"/>
  <c r="R365" i="1"/>
  <c r="AC365" i="2" s="1"/>
  <c r="R366" i="1"/>
  <c r="AC366" i="2" s="1"/>
  <c r="R367" i="1"/>
  <c r="AC367" i="2" s="1"/>
  <c r="R368" i="1"/>
  <c r="AC368" i="2" s="1"/>
  <c r="R369" i="1"/>
  <c r="AC369" i="2" s="1"/>
  <c r="R370" i="1"/>
  <c r="AC370" i="2" s="1"/>
  <c r="R5" i="1"/>
  <c r="AC5" i="2" s="1"/>
  <c r="Q7" i="1"/>
  <c r="AB7" i="2" s="1"/>
  <c r="Q8" i="1"/>
  <c r="AB8" i="2" s="1"/>
  <c r="Q9" i="1"/>
  <c r="AB9" i="2" s="1"/>
  <c r="Q10" i="1"/>
  <c r="AB10" i="2" s="1"/>
  <c r="Q11" i="1"/>
  <c r="AB11" i="2" s="1"/>
  <c r="Q12" i="1"/>
  <c r="AB12" i="2" s="1"/>
  <c r="Q13" i="1"/>
  <c r="AB13" i="2" s="1"/>
  <c r="Q14" i="1"/>
  <c r="AB14" i="2" s="1"/>
  <c r="Q15" i="1"/>
  <c r="AB15" i="2" s="1"/>
  <c r="Q16" i="1"/>
  <c r="AB16" i="2" s="1"/>
  <c r="Q17" i="1"/>
  <c r="AB17" i="2" s="1"/>
  <c r="Q18" i="1"/>
  <c r="AB18" i="2" s="1"/>
  <c r="Q19" i="1"/>
  <c r="AB19" i="2" s="1"/>
  <c r="Q20" i="1"/>
  <c r="AB20" i="2" s="1"/>
  <c r="Q21" i="1"/>
  <c r="AB21" i="2" s="1"/>
  <c r="Q22" i="1"/>
  <c r="AB22" i="2" s="1"/>
  <c r="Q23" i="1"/>
  <c r="AB23" i="2" s="1"/>
  <c r="Q24" i="1"/>
  <c r="AB24" i="2" s="1"/>
  <c r="Q5" i="1"/>
  <c r="AB5" i="2" s="1"/>
  <c r="N7" i="1"/>
  <c r="Y7" i="2" s="1"/>
  <c r="O7" i="1"/>
  <c r="Z7" i="2" s="1"/>
  <c r="P7" i="1"/>
  <c r="AA7" i="2" s="1"/>
  <c r="N8" i="1"/>
  <c r="Y8" i="2" s="1"/>
  <c r="O8" i="1"/>
  <c r="Z8" i="2" s="1"/>
  <c r="P8" i="1"/>
  <c r="AA8" i="2" s="1"/>
  <c r="N9" i="1"/>
  <c r="Y9" i="2" s="1"/>
  <c r="O9" i="1"/>
  <c r="Z9" i="2" s="1"/>
  <c r="P9" i="1"/>
  <c r="AA9" i="2" s="1"/>
  <c r="N10" i="1"/>
  <c r="Y10" i="2" s="1"/>
  <c r="O10" i="1"/>
  <c r="Z10" i="2" s="1"/>
  <c r="P10" i="1"/>
  <c r="AA10" i="2" s="1"/>
  <c r="N11" i="1"/>
  <c r="Y11" i="2" s="1"/>
  <c r="O11" i="1"/>
  <c r="Z11" i="2" s="1"/>
  <c r="P11" i="1"/>
  <c r="AA11" i="2" s="1"/>
  <c r="N12" i="1"/>
  <c r="Y12" i="2" s="1"/>
  <c r="O12" i="1"/>
  <c r="Z12" i="2" s="1"/>
  <c r="P12" i="1"/>
  <c r="AA12" i="2" s="1"/>
  <c r="N13" i="1"/>
  <c r="Y13" i="2" s="1"/>
  <c r="O13" i="1"/>
  <c r="Z13" i="2" s="1"/>
  <c r="P13" i="1"/>
  <c r="AA13" i="2" s="1"/>
  <c r="N14" i="1"/>
  <c r="Y14" i="2" s="1"/>
  <c r="O14" i="1"/>
  <c r="Z14" i="2" s="1"/>
  <c r="P14" i="1"/>
  <c r="AA14" i="2" s="1"/>
  <c r="N15" i="1"/>
  <c r="Y15" i="2" s="1"/>
  <c r="O15" i="1"/>
  <c r="Z15" i="2" s="1"/>
  <c r="P15" i="1"/>
  <c r="AA15" i="2" s="1"/>
  <c r="N16" i="1"/>
  <c r="Y16" i="2" s="1"/>
  <c r="O16" i="1"/>
  <c r="Z16" i="2" s="1"/>
  <c r="P16" i="1"/>
  <c r="AA16" i="2" s="1"/>
  <c r="N17" i="1"/>
  <c r="Y17" i="2" s="1"/>
  <c r="O17" i="1"/>
  <c r="Z17" i="2" s="1"/>
  <c r="P17" i="1"/>
  <c r="AA17" i="2" s="1"/>
  <c r="N18" i="1"/>
  <c r="Y18" i="2" s="1"/>
  <c r="O18" i="1"/>
  <c r="Z18" i="2" s="1"/>
  <c r="P18" i="1"/>
  <c r="AA18" i="2" s="1"/>
  <c r="N19" i="1"/>
  <c r="Y19" i="2" s="1"/>
  <c r="O19" i="1"/>
  <c r="Z19" i="2" s="1"/>
  <c r="P19" i="1"/>
  <c r="AA19" i="2" s="1"/>
  <c r="N20" i="1"/>
  <c r="Y20" i="2" s="1"/>
  <c r="O20" i="1"/>
  <c r="Z20" i="2" s="1"/>
  <c r="P20" i="1"/>
  <c r="AA20" i="2" s="1"/>
  <c r="N21" i="1"/>
  <c r="Y21" i="2" s="1"/>
  <c r="O21" i="1"/>
  <c r="Z21" i="2" s="1"/>
  <c r="P21" i="1"/>
  <c r="AA21" i="2" s="1"/>
  <c r="N22" i="1"/>
  <c r="Y22" i="2" s="1"/>
  <c r="O22" i="1"/>
  <c r="Z22" i="2" s="1"/>
  <c r="P22" i="1"/>
  <c r="AA22" i="2" s="1"/>
  <c r="N23" i="1"/>
  <c r="Y23" i="2" s="1"/>
  <c r="O23" i="1"/>
  <c r="Z23" i="2" s="1"/>
  <c r="P23" i="1"/>
  <c r="AA23" i="2" s="1"/>
  <c r="N24" i="1"/>
  <c r="Y24" i="2" s="1"/>
  <c r="O24" i="1"/>
  <c r="Z24" i="2" s="1"/>
  <c r="P24" i="1"/>
  <c r="AA24" i="2" s="1"/>
  <c r="N25" i="1"/>
  <c r="Y25" i="2" s="1"/>
  <c r="O25" i="1"/>
  <c r="Z25" i="2" s="1"/>
  <c r="P25" i="1"/>
  <c r="AA25" i="2" s="1"/>
  <c r="N26" i="1"/>
  <c r="Y26" i="2" s="1"/>
  <c r="O26" i="1"/>
  <c r="Z26" i="2" s="1"/>
  <c r="P26" i="1"/>
  <c r="AA26" i="2" s="1"/>
  <c r="N27" i="1"/>
  <c r="Y27" i="2" s="1"/>
  <c r="O27" i="1"/>
  <c r="Z27" i="2" s="1"/>
  <c r="P27" i="1"/>
  <c r="AA27" i="2" s="1"/>
  <c r="N28" i="1"/>
  <c r="Y28" i="2" s="1"/>
  <c r="O28" i="1"/>
  <c r="Z28" i="2" s="1"/>
  <c r="P28" i="1"/>
  <c r="AA28" i="2" s="1"/>
  <c r="N29" i="1"/>
  <c r="Y29" i="2" s="1"/>
  <c r="O29" i="1"/>
  <c r="Z29" i="2" s="1"/>
  <c r="P29" i="1"/>
  <c r="AA29" i="2" s="1"/>
  <c r="N30" i="1"/>
  <c r="Y30" i="2" s="1"/>
  <c r="O30" i="1"/>
  <c r="Z30" i="2" s="1"/>
  <c r="P30" i="1"/>
  <c r="AA30" i="2" s="1"/>
  <c r="N31" i="1"/>
  <c r="Y31" i="2" s="1"/>
  <c r="O31" i="1"/>
  <c r="Z31" i="2" s="1"/>
  <c r="P31" i="1"/>
  <c r="AA31" i="2" s="1"/>
  <c r="N32" i="1"/>
  <c r="Y32" i="2" s="1"/>
  <c r="O32" i="1"/>
  <c r="Z32" i="2" s="1"/>
  <c r="P32" i="1"/>
  <c r="AA32" i="2" s="1"/>
  <c r="N33" i="1"/>
  <c r="Y33" i="2" s="1"/>
  <c r="O33" i="1"/>
  <c r="Z33" i="2" s="1"/>
  <c r="P33" i="1"/>
  <c r="AA33" i="2" s="1"/>
  <c r="N34" i="1"/>
  <c r="Y34" i="2" s="1"/>
  <c r="O34" i="1"/>
  <c r="Z34" i="2" s="1"/>
  <c r="P34" i="1"/>
  <c r="AA34" i="2" s="1"/>
  <c r="N35" i="1"/>
  <c r="Y35" i="2" s="1"/>
  <c r="O35" i="1"/>
  <c r="Z35" i="2" s="1"/>
  <c r="P35" i="1"/>
  <c r="AA35" i="2" s="1"/>
  <c r="N36" i="1"/>
  <c r="Y36" i="2" s="1"/>
  <c r="O36" i="1"/>
  <c r="Z36" i="2" s="1"/>
  <c r="P36" i="1"/>
  <c r="AA36" i="2" s="1"/>
  <c r="N37" i="1"/>
  <c r="Y37" i="2" s="1"/>
  <c r="O37" i="1"/>
  <c r="Z37" i="2" s="1"/>
  <c r="P37" i="1"/>
  <c r="AA37" i="2" s="1"/>
  <c r="N38" i="1"/>
  <c r="Y38" i="2" s="1"/>
  <c r="O38" i="1"/>
  <c r="Z38" i="2" s="1"/>
  <c r="P38" i="1"/>
  <c r="AA38" i="2" s="1"/>
  <c r="N39" i="1"/>
  <c r="Y39" i="2" s="1"/>
  <c r="O39" i="1"/>
  <c r="Z39" i="2" s="1"/>
  <c r="P39" i="1"/>
  <c r="AA39" i="2" s="1"/>
  <c r="N40" i="1"/>
  <c r="Y40" i="2" s="1"/>
  <c r="O40" i="1"/>
  <c r="Z40" i="2" s="1"/>
  <c r="P40" i="1"/>
  <c r="AA40" i="2" s="1"/>
  <c r="N41" i="1"/>
  <c r="Y41" i="2" s="1"/>
  <c r="O41" i="1"/>
  <c r="Z41" i="2" s="1"/>
  <c r="P41" i="1"/>
  <c r="AA41" i="2" s="1"/>
  <c r="N42" i="1"/>
  <c r="Y42" i="2" s="1"/>
  <c r="O42" i="1"/>
  <c r="Z42" i="2" s="1"/>
  <c r="P42" i="1"/>
  <c r="AA42" i="2" s="1"/>
  <c r="N43" i="1"/>
  <c r="Y43" i="2" s="1"/>
  <c r="O43" i="1"/>
  <c r="Z43" i="2" s="1"/>
  <c r="P43" i="1"/>
  <c r="AA43" i="2" s="1"/>
  <c r="N44" i="1"/>
  <c r="Y44" i="2" s="1"/>
  <c r="O44" i="1"/>
  <c r="Z44" i="2" s="1"/>
  <c r="P44" i="1"/>
  <c r="AA44" i="2" s="1"/>
  <c r="N45" i="1"/>
  <c r="Y45" i="2" s="1"/>
  <c r="O45" i="1"/>
  <c r="Z45" i="2" s="1"/>
  <c r="P45" i="1"/>
  <c r="AA45" i="2" s="1"/>
  <c r="N46" i="1"/>
  <c r="Y46" i="2" s="1"/>
  <c r="O46" i="1"/>
  <c r="Z46" i="2" s="1"/>
  <c r="P46" i="1"/>
  <c r="AA46" i="2" s="1"/>
  <c r="N47" i="1"/>
  <c r="Y47" i="2" s="1"/>
  <c r="O47" i="1"/>
  <c r="Z47" i="2" s="1"/>
  <c r="P47" i="1"/>
  <c r="AA47" i="2" s="1"/>
  <c r="N48" i="1"/>
  <c r="Y48" i="2" s="1"/>
  <c r="O48" i="1"/>
  <c r="Z48" i="2" s="1"/>
  <c r="P48" i="1"/>
  <c r="AA48" i="2" s="1"/>
  <c r="N49" i="1"/>
  <c r="Y49" i="2" s="1"/>
  <c r="O49" i="1"/>
  <c r="Z49" i="2" s="1"/>
  <c r="P49" i="1"/>
  <c r="AA49" i="2" s="1"/>
  <c r="N50" i="1"/>
  <c r="Y50" i="2" s="1"/>
  <c r="O50" i="1"/>
  <c r="Z50" i="2" s="1"/>
  <c r="P50" i="1"/>
  <c r="AA50" i="2" s="1"/>
  <c r="N51" i="1"/>
  <c r="Y51" i="2" s="1"/>
  <c r="O51" i="1"/>
  <c r="Z51" i="2" s="1"/>
  <c r="P51" i="1"/>
  <c r="AA51" i="2" s="1"/>
  <c r="N52" i="1"/>
  <c r="Y52" i="2" s="1"/>
  <c r="O52" i="1"/>
  <c r="Z52" i="2" s="1"/>
  <c r="P52" i="1"/>
  <c r="AA52" i="2" s="1"/>
  <c r="N53" i="1"/>
  <c r="Y53" i="2" s="1"/>
  <c r="O53" i="1"/>
  <c r="Z53" i="2" s="1"/>
  <c r="P53" i="1"/>
  <c r="AA53" i="2" s="1"/>
  <c r="N54" i="1"/>
  <c r="Y54" i="2" s="1"/>
  <c r="O54" i="1"/>
  <c r="Z54" i="2" s="1"/>
  <c r="P54" i="1"/>
  <c r="AA54" i="2" s="1"/>
  <c r="N55" i="1"/>
  <c r="Y55" i="2" s="1"/>
  <c r="O55" i="1"/>
  <c r="Z55" i="2" s="1"/>
  <c r="P55" i="1"/>
  <c r="AA55" i="2" s="1"/>
  <c r="N56" i="1"/>
  <c r="Y56" i="2" s="1"/>
  <c r="O56" i="1"/>
  <c r="Z56" i="2" s="1"/>
  <c r="P56" i="1"/>
  <c r="AA56" i="2" s="1"/>
  <c r="N57" i="1"/>
  <c r="Y57" i="2" s="1"/>
  <c r="O57" i="1"/>
  <c r="Z57" i="2" s="1"/>
  <c r="P57" i="1"/>
  <c r="AA57" i="2" s="1"/>
  <c r="N58" i="1"/>
  <c r="Y58" i="2" s="1"/>
  <c r="O58" i="1"/>
  <c r="Z58" i="2" s="1"/>
  <c r="P58" i="1"/>
  <c r="AA58" i="2" s="1"/>
  <c r="N59" i="1"/>
  <c r="Y59" i="2" s="1"/>
  <c r="O59" i="1"/>
  <c r="Z59" i="2" s="1"/>
  <c r="P59" i="1"/>
  <c r="AA59" i="2" s="1"/>
  <c r="N60" i="1"/>
  <c r="Y60" i="2" s="1"/>
  <c r="O60" i="1"/>
  <c r="Z60" i="2" s="1"/>
  <c r="P60" i="1"/>
  <c r="AA60" i="2" s="1"/>
  <c r="N61" i="1"/>
  <c r="Y61" i="2" s="1"/>
  <c r="O61" i="1"/>
  <c r="Z61" i="2" s="1"/>
  <c r="P61" i="1"/>
  <c r="AA61" i="2" s="1"/>
  <c r="N62" i="1"/>
  <c r="Y62" i="2" s="1"/>
  <c r="O62" i="1"/>
  <c r="Z62" i="2" s="1"/>
  <c r="P62" i="1"/>
  <c r="AA62" i="2" s="1"/>
  <c r="N63" i="1"/>
  <c r="Y63" i="2" s="1"/>
  <c r="O63" i="1"/>
  <c r="Z63" i="2" s="1"/>
  <c r="P63" i="1"/>
  <c r="AA63" i="2" s="1"/>
  <c r="N64" i="1"/>
  <c r="Y64" i="2" s="1"/>
  <c r="O64" i="1"/>
  <c r="Z64" i="2" s="1"/>
  <c r="P64" i="1"/>
  <c r="AA64" i="2" s="1"/>
  <c r="N65" i="1"/>
  <c r="Y65" i="2" s="1"/>
  <c r="O65" i="1"/>
  <c r="Z65" i="2" s="1"/>
  <c r="P65" i="1"/>
  <c r="AA65" i="2" s="1"/>
  <c r="N66" i="1"/>
  <c r="Y66" i="2" s="1"/>
  <c r="O66" i="1"/>
  <c r="Z66" i="2" s="1"/>
  <c r="P66" i="1"/>
  <c r="AA66" i="2" s="1"/>
  <c r="N67" i="1"/>
  <c r="Y67" i="2" s="1"/>
  <c r="O67" i="1"/>
  <c r="Z67" i="2" s="1"/>
  <c r="P67" i="1"/>
  <c r="AA67" i="2" s="1"/>
  <c r="N68" i="1"/>
  <c r="Y68" i="2" s="1"/>
  <c r="O68" i="1"/>
  <c r="Z68" i="2" s="1"/>
  <c r="P68" i="1"/>
  <c r="AA68" i="2" s="1"/>
  <c r="N69" i="1"/>
  <c r="Y69" i="2" s="1"/>
  <c r="O69" i="1"/>
  <c r="Z69" i="2" s="1"/>
  <c r="P69" i="1"/>
  <c r="AA69" i="2" s="1"/>
  <c r="N70" i="1"/>
  <c r="Y70" i="2" s="1"/>
  <c r="O70" i="1"/>
  <c r="Z70" i="2" s="1"/>
  <c r="P70" i="1"/>
  <c r="AA70" i="2" s="1"/>
  <c r="N71" i="1"/>
  <c r="Y71" i="2" s="1"/>
  <c r="O71" i="1"/>
  <c r="Z71" i="2" s="1"/>
  <c r="P71" i="1"/>
  <c r="AA71" i="2" s="1"/>
  <c r="N72" i="1"/>
  <c r="Y72" i="2" s="1"/>
  <c r="O72" i="1"/>
  <c r="Z72" i="2" s="1"/>
  <c r="P72" i="1"/>
  <c r="AA72" i="2" s="1"/>
  <c r="N73" i="1"/>
  <c r="Y73" i="2" s="1"/>
  <c r="O73" i="1"/>
  <c r="Z73" i="2" s="1"/>
  <c r="P73" i="1"/>
  <c r="AA73" i="2" s="1"/>
  <c r="N74" i="1"/>
  <c r="Y74" i="2" s="1"/>
  <c r="O74" i="1"/>
  <c r="Z74" i="2" s="1"/>
  <c r="P74" i="1"/>
  <c r="AA74" i="2" s="1"/>
  <c r="N75" i="1"/>
  <c r="Y75" i="2" s="1"/>
  <c r="O75" i="1"/>
  <c r="Z75" i="2" s="1"/>
  <c r="P75" i="1"/>
  <c r="AA75" i="2" s="1"/>
  <c r="N76" i="1"/>
  <c r="Y76" i="2" s="1"/>
  <c r="O76" i="1"/>
  <c r="Z76" i="2" s="1"/>
  <c r="P76" i="1"/>
  <c r="AA76" i="2" s="1"/>
  <c r="N77" i="1"/>
  <c r="Y77" i="2" s="1"/>
  <c r="O77" i="1"/>
  <c r="Z77" i="2" s="1"/>
  <c r="P77" i="1"/>
  <c r="AA77" i="2" s="1"/>
  <c r="N78" i="1"/>
  <c r="Y78" i="2" s="1"/>
  <c r="O78" i="1"/>
  <c r="Z78" i="2" s="1"/>
  <c r="P78" i="1"/>
  <c r="AA78" i="2" s="1"/>
  <c r="N79" i="1"/>
  <c r="Y79" i="2" s="1"/>
  <c r="O79" i="1"/>
  <c r="Z79" i="2" s="1"/>
  <c r="P79" i="1"/>
  <c r="AA79" i="2" s="1"/>
  <c r="N80" i="1"/>
  <c r="Y80" i="2" s="1"/>
  <c r="O80" i="1"/>
  <c r="Z80" i="2" s="1"/>
  <c r="P80" i="1"/>
  <c r="AA80" i="2" s="1"/>
  <c r="N81" i="1"/>
  <c r="Y81" i="2" s="1"/>
  <c r="O81" i="1"/>
  <c r="Z81" i="2" s="1"/>
  <c r="P81" i="1"/>
  <c r="AA81" i="2" s="1"/>
  <c r="N82" i="1"/>
  <c r="Y82" i="2" s="1"/>
  <c r="O82" i="1"/>
  <c r="Z82" i="2" s="1"/>
  <c r="P82" i="1"/>
  <c r="AA82" i="2" s="1"/>
  <c r="N83" i="1"/>
  <c r="Y83" i="2" s="1"/>
  <c r="O83" i="1"/>
  <c r="Z83" i="2" s="1"/>
  <c r="P83" i="1"/>
  <c r="AA83" i="2" s="1"/>
  <c r="N84" i="1"/>
  <c r="Y84" i="2" s="1"/>
  <c r="O84" i="1"/>
  <c r="Z84" i="2" s="1"/>
  <c r="P84" i="1"/>
  <c r="AA84" i="2" s="1"/>
  <c r="N85" i="1"/>
  <c r="Y85" i="2" s="1"/>
  <c r="O85" i="1"/>
  <c r="Z85" i="2" s="1"/>
  <c r="P85" i="1"/>
  <c r="AA85" i="2" s="1"/>
  <c r="N86" i="1"/>
  <c r="Y86" i="2" s="1"/>
  <c r="O86" i="1"/>
  <c r="Z86" i="2" s="1"/>
  <c r="P86" i="1"/>
  <c r="AA86" i="2" s="1"/>
  <c r="N87" i="1"/>
  <c r="Y87" i="2" s="1"/>
  <c r="O87" i="1"/>
  <c r="Z87" i="2" s="1"/>
  <c r="P87" i="1"/>
  <c r="AA87" i="2" s="1"/>
  <c r="N88" i="1"/>
  <c r="Y88" i="2" s="1"/>
  <c r="O88" i="1"/>
  <c r="Z88" i="2" s="1"/>
  <c r="P88" i="1"/>
  <c r="AA88" i="2" s="1"/>
  <c r="N89" i="1"/>
  <c r="Y89" i="2" s="1"/>
  <c r="O89" i="1"/>
  <c r="Z89" i="2" s="1"/>
  <c r="P89" i="1"/>
  <c r="AA89" i="2" s="1"/>
  <c r="N90" i="1"/>
  <c r="Y90" i="2" s="1"/>
  <c r="O90" i="1"/>
  <c r="Z90" i="2" s="1"/>
  <c r="P90" i="1"/>
  <c r="AA90" i="2" s="1"/>
  <c r="N91" i="1"/>
  <c r="Y91" i="2" s="1"/>
  <c r="O91" i="1"/>
  <c r="Z91" i="2" s="1"/>
  <c r="P91" i="1"/>
  <c r="AA91" i="2" s="1"/>
  <c r="N92" i="1"/>
  <c r="Y92" i="2" s="1"/>
  <c r="O92" i="1"/>
  <c r="Z92" i="2" s="1"/>
  <c r="P92" i="1"/>
  <c r="AA92" i="2" s="1"/>
  <c r="N93" i="1"/>
  <c r="Y93" i="2" s="1"/>
  <c r="O93" i="1"/>
  <c r="Z93" i="2" s="1"/>
  <c r="P93" i="1"/>
  <c r="AA93" i="2" s="1"/>
  <c r="N94" i="1"/>
  <c r="Y94" i="2" s="1"/>
  <c r="O94" i="1"/>
  <c r="Z94" i="2" s="1"/>
  <c r="P94" i="1"/>
  <c r="AA94" i="2" s="1"/>
  <c r="N95" i="1"/>
  <c r="Y95" i="2" s="1"/>
  <c r="O95" i="1"/>
  <c r="Z95" i="2" s="1"/>
  <c r="P95" i="1"/>
  <c r="AA95" i="2" s="1"/>
  <c r="N96" i="1"/>
  <c r="Y96" i="2" s="1"/>
  <c r="O96" i="1"/>
  <c r="Z96" i="2" s="1"/>
  <c r="P96" i="1"/>
  <c r="AA96" i="2" s="1"/>
  <c r="N97" i="1"/>
  <c r="Y97" i="2" s="1"/>
  <c r="O97" i="1"/>
  <c r="Z97" i="2" s="1"/>
  <c r="P97" i="1"/>
  <c r="AA97" i="2" s="1"/>
  <c r="N98" i="1"/>
  <c r="Y98" i="2" s="1"/>
  <c r="O98" i="1"/>
  <c r="Z98" i="2" s="1"/>
  <c r="P98" i="1"/>
  <c r="AA98" i="2" s="1"/>
  <c r="N99" i="1"/>
  <c r="Y99" i="2" s="1"/>
  <c r="O99" i="1"/>
  <c r="Z99" i="2" s="1"/>
  <c r="P99" i="1"/>
  <c r="AA99" i="2" s="1"/>
  <c r="N100" i="1"/>
  <c r="Y100" i="2" s="1"/>
  <c r="O100" i="1"/>
  <c r="Z100" i="2" s="1"/>
  <c r="P100" i="1"/>
  <c r="AA100" i="2" s="1"/>
  <c r="N101" i="1"/>
  <c r="Y101" i="2" s="1"/>
  <c r="O101" i="1"/>
  <c r="Z101" i="2" s="1"/>
  <c r="P101" i="1"/>
  <c r="AA101" i="2" s="1"/>
  <c r="N102" i="1"/>
  <c r="Y102" i="2" s="1"/>
  <c r="O102" i="1"/>
  <c r="Z102" i="2" s="1"/>
  <c r="P102" i="1"/>
  <c r="AA102" i="2" s="1"/>
  <c r="N103" i="1"/>
  <c r="Y103" i="2" s="1"/>
  <c r="O103" i="1"/>
  <c r="Z103" i="2" s="1"/>
  <c r="P103" i="1"/>
  <c r="AA103" i="2" s="1"/>
  <c r="N104" i="1"/>
  <c r="Y104" i="2" s="1"/>
  <c r="O104" i="1"/>
  <c r="Z104" i="2" s="1"/>
  <c r="P104" i="1"/>
  <c r="AA104" i="2" s="1"/>
  <c r="N105" i="1"/>
  <c r="Y105" i="2" s="1"/>
  <c r="O105" i="1"/>
  <c r="Z105" i="2" s="1"/>
  <c r="P105" i="1"/>
  <c r="AA105" i="2" s="1"/>
  <c r="N106" i="1"/>
  <c r="Y106" i="2" s="1"/>
  <c r="O106" i="1"/>
  <c r="Z106" i="2" s="1"/>
  <c r="P106" i="1"/>
  <c r="AA106" i="2" s="1"/>
  <c r="N107" i="1"/>
  <c r="Y107" i="2" s="1"/>
  <c r="O107" i="1"/>
  <c r="Z107" i="2" s="1"/>
  <c r="P107" i="1"/>
  <c r="AA107" i="2" s="1"/>
  <c r="N108" i="1"/>
  <c r="Y108" i="2" s="1"/>
  <c r="O108" i="1"/>
  <c r="Z108" i="2" s="1"/>
  <c r="P108" i="1"/>
  <c r="AA108" i="2" s="1"/>
  <c r="N109" i="1"/>
  <c r="Y109" i="2" s="1"/>
  <c r="O109" i="1"/>
  <c r="Z109" i="2" s="1"/>
  <c r="P109" i="1"/>
  <c r="AA109" i="2" s="1"/>
  <c r="N110" i="1"/>
  <c r="Y110" i="2" s="1"/>
  <c r="O110" i="1"/>
  <c r="Z110" i="2" s="1"/>
  <c r="P110" i="1"/>
  <c r="AA110" i="2" s="1"/>
  <c r="N111" i="1"/>
  <c r="Y111" i="2" s="1"/>
  <c r="O111" i="1"/>
  <c r="Z111" i="2" s="1"/>
  <c r="P111" i="1"/>
  <c r="AA111" i="2" s="1"/>
  <c r="N112" i="1"/>
  <c r="Y112" i="2" s="1"/>
  <c r="O112" i="1"/>
  <c r="Z112" i="2" s="1"/>
  <c r="P112" i="1"/>
  <c r="AA112" i="2" s="1"/>
  <c r="N113" i="1"/>
  <c r="Y113" i="2" s="1"/>
  <c r="O113" i="1"/>
  <c r="Z113" i="2" s="1"/>
  <c r="P113" i="1"/>
  <c r="AA113" i="2" s="1"/>
  <c r="N114" i="1"/>
  <c r="Y114" i="2" s="1"/>
  <c r="O114" i="1"/>
  <c r="Z114" i="2" s="1"/>
  <c r="P114" i="1"/>
  <c r="AA114" i="2" s="1"/>
  <c r="N115" i="1"/>
  <c r="Y115" i="2" s="1"/>
  <c r="O115" i="1"/>
  <c r="Z115" i="2" s="1"/>
  <c r="P115" i="1"/>
  <c r="AA115" i="2" s="1"/>
  <c r="N116" i="1"/>
  <c r="Y116" i="2" s="1"/>
  <c r="O116" i="1"/>
  <c r="Z116" i="2" s="1"/>
  <c r="P116" i="1"/>
  <c r="AA116" i="2" s="1"/>
  <c r="N117" i="1"/>
  <c r="Y117" i="2" s="1"/>
  <c r="O117" i="1"/>
  <c r="Z117" i="2" s="1"/>
  <c r="P117" i="1"/>
  <c r="AA117" i="2" s="1"/>
  <c r="N118" i="1"/>
  <c r="Y118" i="2" s="1"/>
  <c r="O118" i="1"/>
  <c r="Z118" i="2" s="1"/>
  <c r="P118" i="1"/>
  <c r="AA118" i="2" s="1"/>
  <c r="N119" i="1"/>
  <c r="Y119" i="2" s="1"/>
  <c r="O119" i="1"/>
  <c r="Z119" i="2" s="1"/>
  <c r="P119" i="1"/>
  <c r="AA119" i="2" s="1"/>
  <c r="N120" i="1"/>
  <c r="Y120" i="2" s="1"/>
  <c r="O120" i="1"/>
  <c r="Z120" i="2" s="1"/>
  <c r="P120" i="1"/>
  <c r="AA120" i="2" s="1"/>
  <c r="N121" i="1"/>
  <c r="Y121" i="2" s="1"/>
  <c r="O121" i="1"/>
  <c r="Z121" i="2" s="1"/>
  <c r="P121" i="1"/>
  <c r="AA121" i="2" s="1"/>
  <c r="N122" i="1"/>
  <c r="Y122" i="2" s="1"/>
  <c r="O122" i="1"/>
  <c r="Z122" i="2" s="1"/>
  <c r="P122" i="1"/>
  <c r="AA122" i="2" s="1"/>
  <c r="N123" i="1"/>
  <c r="Y123" i="2" s="1"/>
  <c r="O123" i="1"/>
  <c r="Z123" i="2" s="1"/>
  <c r="P123" i="1"/>
  <c r="AA123" i="2" s="1"/>
  <c r="N124" i="1"/>
  <c r="Y124" i="2" s="1"/>
  <c r="O124" i="1"/>
  <c r="Z124" i="2" s="1"/>
  <c r="P124" i="1"/>
  <c r="AA124" i="2" s="1"/>
  <c r="N125" i="1"/>
  <c r="Y125" i="2" s="1"/>
  <c r="O125" i="1"/>
  <c r="Z125" i="2" s="1"/>
  <c r="P125" i="1"/>
  <c r="AA125" i="2" s="1"/>
  <c r="N126" i="1"/>
  <c r="Y126" i="2" s="1"/>
  <c r="O126" i="1"/>
  <c r="Z126" i="2" s="1"/>
  <c r="P126" i="1"/>
  <c r="AA126" i="2" s="1"/>
  <c r="N127" i="1"/>
  <c r="Y127" i="2" s="1"/>
  <c r="O127" i="1"/>
  <c r="Z127" i="2" s="1"/>
  <c r="P127" i="1"/>
  <c r="AA127" i="2" s="1"/>
  <c r="N128" i="1"/>
  <c r="Y128" i="2" s="1"/>
  <c r="O128" i="1"/>
  <c r="Z128" i="2" s="1"/>
  <c r="P128" i="1"/>
  <c r="AA128" i="2" s="1"/>
  <c r="N129" i="1"/>
  <c r="Y129" i="2" s="1"/>
  <c r="O129" i="1"/>
  <c r="Z129" i="2" s="1"/>
  <c r="P129" i="1"/>
  <c r="AA129" i="2" s="1"/>
  <c r="N130" i="1"/>
  <c r="Y130" i="2" s="1"/>
  <c r="O130" i="1"/>
  <c r="Z130" i="2" s="1"/>
  <c r="P130" i="1"/>
  <c r="AA130" i="2" s="1"/>
  <c r="N131" i="1"/>
  <c r="Y131" i="2" s="1"/>
  <c r="O131" i="1"/>
  <c r="Z131" i="2" s="1"/>
  <c r="P131" i="1"/>
  <c r="AA131" i="2" s="1"/>
  <c r="N132" i="1"/>
  <c r="Y132" i="2" s="1"/>
  <c r="O132" i="1"/>
  <c r="Z132" i="2" s="1"/>
  <c r="P132" i="1"/>
  <c r="AA132" i="2" s="1"/>
  <c r="N133" i="1"/>
  <c r="Y133" i="2" s="1"/>
  <c r="O133" i="1"/>
  <c r="Z133" i="2" s="1"/>
  <c r="P133" i="1"/>
  <c r="AA133" i="2" s="1"/>
  <c r="N134" i="1"/>
  <c r="Y134" i="2" s="1"/>
  <c r="O134" i="1"/>
  <c r="Z134" i="2" s="1"/>
  <c r="P134" i="1"/>
  <c r="AA134" i="2" s="1"/>
  <c r="N135" i="1"/>
  <c r="Y135" i="2" s="1"/>
  <c r="O135" i="1"/>
  <c r="Z135" i="2" s="1"/>
  <c r="P135" i="1"/>
  <c r="AA135" i="2" s="1"/>
  <c r="N136" i="1"/>
  <c r="Y136" i="2" s="1"/>
  <c r="O136" i="1"/>
  <c r="Z136" i="2" s="1"/>
  <c r="P136" i="1"/>
  <c r="AA136" i="2" s="1"/>
  <c r="N137" i="1"/>
  <c r="Y137" i="2" s="1"/>
  <c r="O137" i="1"/>
  <c r="Z137" i="2" s="1"/>
  <c r="P137" i="1"/>
  <c r="AA137" i="2" s="1"/>
  <c r="N138" i="1"/>
  <c r="Y138" i="2" s="1"/>
  <c r="O138" i="1"/>
  <c r="Z138" i="2" s="1"/>
  <c r="P138" i="1"/>
  <c r="AA138" i="2" s="1"/>
  <c r="N139" i="1"/>
  <c r="Y139" i="2" s="1"/>
  <c r="O139" i="1"/>
  <c r="Z139" i="2" s="1"/>
  <c r="P139" i="1"/>
  <c r="AA139" i="2" s="1"/>
  <c r="N140" i="1"/>
  <c r="Y140" i="2" s="1"/>
  <c r="O140" i="1"/>
  <c r="Z140" i="2" s="1"/>
  <c r="P140" i="1"/>
  <c r="AA140" i="2" s="1"/>
  <c r="N141" i="1"/>
  <c r="Y141" i="2" s="1"/>
  <c r="O141" i="1"/>
  <c r="Z141" i="2" s="1"/>
  <c r="P141" i="1"/>
  <c r="AA141" i="2" s="1"/>
  <c r="N142" i="1"/>
  <c r="Y142" i="2" s="1"/>
  <c r="O142" i="1"/>
  <c r="Z142" i="2" s="1"/>
  <c r="P142" i="1"/>
  <c r="AA142" i="2" s="1"/>
  <c r="N143" i="1"/>
  <c r="Y143" i="2" s="1"/>
  <c r="O143" i="1"/>
  <c r="Z143" i="2" s="1"/>
  <c r="P143" i="1"/>
  <c r="AA143" i="2" s="1"/>
  <c r="N144" i="1"/>
  <c r="Y144" i="2" s="1"/>
  <c r="O144" i="1"/>
  <c r="Z144" i="2" s="1"/>
  <c r="P144" i="1"/>
  <c r="AA144" i="2" s="1"/>
  <c r="N145" i="1"/>
  <c r="Y145" i="2" s="1"/>
  <c r="O145" i="1"/>
  <c r="Z145" i="2" s="1"/>
  <c r="P145" i="1"/>
  <c r="AA145" i="2" s="1"/>
  <c r="N146" i="1"/>
  <c r="Y146" i="2" s="1"/>
  <c r="O146" i="1"/>
  <c r="Z146" i="2" s="1"/>
  <c r="P146" i="1"/>
  <c r="AA146" i="2" s="1"/>
  <c r="N147" i="1"/>
  <c r="Y147" i="2" s="1"/>
  <c r="O147" i="1"/>
  <c r="Z147" i="2" s="1"/>
  <c r="P147" i="1"/>
  <c r="AA147" i="2" s="1"/>
  <c r="N148" i="1"/>
  <c r="Y148" i="2" s="1"/>
  <c r="O148" i="1"/>
  <c r="Z148" i="2" s="1"/>
  <c r="P148" i="1"/>
  <c r="AA148" i="2" s="1"/>
  <c r="N149" i="1"/>
  <c r="Y149" i="2" s="1"/>
  <c r="O149" i="1"/>
  <c r="Z149" i="2" s="1"/>
  <c r="P149" i="1"/>
  <c r="AA149" i="2" s="1"/>
  <c r="N150" i="1"/>
  <c r="Y150" i="2" s="1"/>
  <c r="O150" i="1"/>
  <c r="Z150" i="2" s="1"/>
  <c r="P150" i="1"/>
  <c r="AA150" i="2" s="1"/>
  <c r="N151" i="1"/>
  <c r="Y151" i="2" s="1"/>
  <c r="O151" i="1"/>
  <c r="Z151" i="2" s="1"/>
  <c r="P151" i="1"/>
  <c r="AA151" i="2" s="1"/>
  <c r="N152" i="1"/>
  <c r="Y152" i="2" s="1"/>
  <c r="O152" i="1"/>
  <c r="Z152" i="2" s="1"/>
  <c r="P152" i="1"/>
  <c r="AA152" i="2" s="1"/>
  <c r="N153" i="1"/>
  <c r="Y153" i="2" s="1"/>
  <c r="O153" i="1"/>
  <c r="Z153" i="2" s="1"/>
  <c r="P153" i="1"/>
  <c r="AA153" i="2" s="1"/>
  <c r="N154" i="1"/>
  <c r="Y154" i="2" s="1"/>
  <c r="O154" i="1"/>
  <c r="Z154" i="2" s="1"/>
  <c r="P154" i="1"/>
  <c r="AA154" i="2" s="1"/>
  <c r="N155" i="1"/>
  <c r="Y155" i="2" s="1"/>
  <c r="O155" i="1"/>
  <c r="Z155" i="2" s="1"/>
  <c r="P155" i="1"/>
  <c r="AA155" i="2" s="1"/>
  <c r="N156" i="1"/>
  <c r="Y156" i="2" s="1"/>
  <c r="O156" i="1"/>
  <c r="Z156" i="2" s="1"/>
  <c r="P156" i="1"/>
  <c r="AA156" i="2" s="1"/>
  <c r="N157" i="1"/>
  <c r="Y157" i="2" s="1"/>
  <c r="O157" i="1"/>
  <c r="Z157" i="2" s="1"/>
  <c r="P157" i="1"/>
  <c r="AA157" i="2" s="1"/>
  <c r="N158" i="1"/>
  <c r="Y158" i="2" s="1"/>
  <c r="O158" i="1"/>
  <c r="Z158" i="2" s="1"/>
  <c r="P158" i="1"/>
  <c r="AA158" i="2" s="1"/>
  <c r="N159" i="1"/>
  <c r="Y159" i="2" s="1"/>
  <c r="O159" i="1"/>
  <c r="Z159" i="2" s="1"/>
  <c r="P159" i="1"/>
  <c r="AA159" i="2" s="1"/>
  <c r="N160" i="1"/>
  <c r="Y160" i="2" s="1"/>
  <c r="O160" i="1"/>
  <c r="Z160" i="2" s="1"/>
  <c r="P160" i="1"/>
  <c r="AA160" i="2" s="1"/>
  <c r="N161" i="1"/>
  <c r="Y161" i="2" s="1"/>
  <c r="O161" i="1"/>
  <c r="Z161" i="2" s="1"/>
  <c r="P161" i="1"/>
  <c r="AA161" i="2" s="1"/>
  <c r="N162" i="1"/>
  <c r="Y162" i="2" s="1"/>
  <c r="O162" i="1"/>
  <c r="Z162" i="2" s="1"/>
  <c r="P162" i="1"/>
  <c r="AA162" i="2" s="1"/>
  <c r="N163" i="1"/>
  <c r="Y163" i="2" s="1"/>
  <c r="O163" i="1"/>
  <c r="Z163" i="2" s="1"/>
  <c r="P163" i="1"/>
  <c r="AA163" i="2" s="1"/>
  <c r="N164" i="1"/>
  <c r="Y164" i="2" s="1"/>
  <c r="O164" i="1"/>
  <c r="Z164" i="2" s="1"/>
  <c r="P164" i="1"/>
  <c r="AA164" i="2" s="1"/>
  <c r="N165" i="1"/>
  <c r="Y165" i="2" s="1"/>
  <c r="O165" i="1"/>
  <c r="Z165" i="2" s="1"/>
  <c r="P165" i="1"/>
  <c r="AA165" i="2" s="1"/>
  <c r="N166" i="1"/>
  <c r="Y166" i="2" s="1"/>
  <c r="O166" i="1"/>
  <c r="Z166" i="2" s="1"/>
  <c r="P166" i="1"/>
  <c r="AA166" i="2" s="1"/>
  <c r="N167" i="1"/>
  <c r="Y167" i="2" s="1"/>
  <c r="O167" i="1"/>
  <c r="Z167" i="2" s="1"/>
  <c r="P167" i="1"/>
  <c r="AA167" i="2" s="1"/>
  <c r="N168" i="1"/>
  <c r="Y168" i="2" s="1"/>
  <c r="O168" i="1"/>
  <c r="Z168" i="2" s="1"/>
  <c r="P168" i="1"/>
  <c r="AA168" i="2" s="1"/>
  <c r="N169" i="1"/>
  <c r="Y169" i="2" s="1"/>
  <c r="O169" i="1"/>
  <c r="Z169" i="2" s="1"/>
  <c r="P169" i="1"/>
  <c r="AA169" i="2" s="1"/>
  <c r="N170" i="1"/>
  <c r="Y170" i="2" s="1"/>
  <c r="O170" i="1"/>
  <c r="Z170" i="2" s="1"/>
  <c r="P170" i="1"/>
  <c r="AA170" i="2" s="1"/>
  <c r="N171" i="1"/>
  <c r="Y171" i="2" s="1"/>
  <c r="O171" i="1"/>
  <c r="Z171" i="2" s="1"/>
  <c r="P171" i="1"/>
  <c r="AA171" i="2" s="1"/>
  <c r="N172" i="1"/>
  <c r="Y172" i="2" s="1"/>
  <c r="O172" i="1"/>
  <c r="Z172" i="2" s="1"/>
  <c r="P172" i="1"/>
  <c r="AA172" i="2" s="1"/>
  <c r="N173" i="1"/>
  <c r="Y173" i="2" s="1"/>
  <c r="O173" i="1"/>
  <c r="Z173" i="2" s="1"/>
  <c r="P173" i="1"/>
  <c r="AA173" i="2" s="1"/>
  <c r="N174" i="1"/>
  <c r="Y174" i="2" s="1"/>
  <c r="O174" i="1"/>
  <c r="Z174" i="2" s="1"/>
  <c r="P174" i="1"/>
  <c r="AA174" i="2" s="1"/>
  <c r="N175" i="1"/>
  <c r="Y175" i="2" s="1"/>
  <c r="O175" i="1"/>
  <c r="Z175" i="2" s="1"/>
  <c r="P175" i="1"/>
  <c r="AA175" i="2" s="1"/>
  <c r="N176" i="1"/>
  <c r="Y176" i="2" s="1"/>
  <c r="O176" i="1"/>
  <c r="Z176" i="2" s="1"/>
  <c r="P176" i="1"/>
  <c r="AA176" i="2" s="1"/>
  <c r="N177" i="1"/>
  <c r="Y177" i="2" s="1"/>
  <c r="O177" i="1"/>
  <c r="Z177" i="2" s="1"/>
  <c r="P177" i="1"/>
  <c r="AA177" i="2" s="1"/>
  <c r="N178" i="1"/>
  <c r="Y178" i="2" s="1"/>
  <c r="O178" i="1"/>
  <c r="Z178" i="2" s="1"/>
  <c r="P178" i="1"/>
  <c r="AA178" i="2" s="1"/>
  <c r="N179" i="1"/>
  <c r="Y179" i="2" s="1"/>
  <c r="O179" i="1"/>
  <c r="Z179" i="2" s="1"/>
  <c r="P179" i="1"/>
  <c r="AA179" i="2" s="1"/>
  <c r="N180" i="1"/>
  <c r="Y180" i="2" s="1"/>
  <c r="O180" i="1"/>
  <c r="Z180" i="2" s="1"/>
  <c r="P180" i="1"/>
  <c r="AA180" i="2" s="1"/>
  <c r="N181" i="1"/>
  <c r="Y181" i="2" s="1"/>
  <c r="O181" i="1"/>
  <c r="Z181" i="2" s="1"/>
  <c r="P181" i="1"/>
  <c r="AA181" i="2" s="1"/>
  <c r="N182" i="1"/>
  <c r="Y182" i="2" s="1"/>
  <c r="O182" i="1"/>
  <c r="Z182" i="2" s="1"/>
  <c r="P182" i="1"/>
  <c r="AA182" i="2" s="1"/>
  <c r="N183" i="1"/>
  <c r="Y183" i="2" s="1"/>
  <c r="O183" i="1"/>
  <c r="Z183" i="2" s="1"/>
  <c r="P183" i="1"/>
  <c r="AA183" i="2" s="1"/>
  <c r="N184" i="1"/>
  <c r="Y184" i="2" s="1"/>
  <c r="O184" i="1"/>
  <c r="Z184" i="2" s="1"/>
  <c r="P184" i="1"/>
  <c r="AA184" i="2" s="1"/>
  <c r="N185" i="1"/>
  <c r="Y185" i="2" s="1"/>
  <c r="O185" i="1"/>
  <c r="Z185" i="2" s="1"/>
  <c r="P185" i="1"/>
  <c r="AA185" i="2" s="1"/>
  <c r="N186" i="1"/>
  <c r="Y186" i="2" s="1"/>
  <c r="O186" i="1"/>
  <c r="Z186" i="2" s="1"/>
  <c r="P186" i="1"/>
  <c r="AA186" i="2" s="1"/>
  <c r="N187" i="1"/>
  <c r="Y187" i="2" s="1"/>
  <c r="O187" i="1"/>
  <c r="Z187" i="2" s="1"/>
  <c r="P187" i="1"/>
  <c r="AA187" i="2" s="1"/>
  <c r="N188" i="1"/>
  <c r="Y188" i="2" s="1"/>
  <c r="O188" i="1"/>
  <c r="Z188" i="2" s="1"/>
  <c r="P188" i="1"/>
  <c r="AA188" i="2" s="1"/>
  <c r="N189" i="1"/>
  <c r="Y189" i="2" s="1"/>
  <c r="O189" i="1"/>
  <c r="Z189" i="2" s="1"/>
  <c r="P189" i="1"/>
  <c r="AA189" i="2" s="1"/>
  <c r="N190" i="1"/>
  <c r="Y190" i="2" s="1"/>
  <c r="O190" i="1"/>
  <c r="Z190" i="2" s="1"/>
  <c r="P190" i="1"/>
  <c r="AA190" i="2" s="1"/>
  <c r="N191" i="1"/>
  <c r="Y191" i="2" s="1"/>
  <c r="O191" i="1"/>
  <c r="Z191" i="2" s="1"/>
  <c r="P191" i="1"/>
  <c r="AA191" i="2" s="1"/>
  <c r="N192" i="1"/>
  <c r="Y192" i="2" s="1"/>
  <c r="O192" i="1"/>
  <c r="Z192" i="2" s="1"/>
  <c r="P192" i="1"/>
  <c r="AA192" i="2" s="1"/>
  <c r="N193" i="1"/>
  <c r="Y193" i="2" s="1"/>
  <c r="O193" i="1"/>
  <c r="Z193" i="2" s="1"/>
  <c r="P193" i="1"/>
  <c r="AA193" i="2" s="1"/>
  <c r="N194" i="1"/>
  <c r="Y194" i="2" s="1"/>
  <c r="O194" i="1"/>
  <c r="Z194" i="2" s="1"/>
  <c r="P194" i="1"/>
  <c r="AA194" i="2" s="1"/>
  <c r="N195" i="1"/>
  <c r="Y195" i="2" s="1"/>
  <c r="O195" i="1"/>
  <c r="Z195" i="2" s="1"/>
  <c r="P195" i="1"/>
  <c r="AA195" i="2" s="1"/>
  <c r="N196" i="1"/>
  <c r="Y196" i="2" s="1"/>
  <c r="O196" i="1"/>
  <c r="Z196" i="2" s="1"/>
  <c r="P196" i="1"/>
  <c r="AA196" i="2" s="1"/>
  <c r="N197" i="1"/>
  <c r="Y197" i="2" s="1"/>
  <c r="O197" i="1"/>
  <c r="Z197" i="2" s="1"/>
  <c r="P197" i="1"/>
  <c r="AA197" i="2" s="1"/>
  <c r="N198" i="1"/>
  <c r="Y198" i="2" s="1"/>
  <c r="O198" i="1"/>
  <c r="Z198" i="2" s="1"/>
  <c r="P198" i="1"/>
  <c r="AA198" i="2" s="1"/>
  <c r="N199" i="1"/>
  <c r="Y199" i="2" s="1"/>
  <c r="O199" i="1"/>
  <c r="Z199" i="2" s="1"/>
  <c r="P199" i="1"/>
  <c r="AA199" i="2" s="1"/>
  <c r="N200" i="1"/>
  <c r="Y200" i="2" s="1"/>
  <c r="O200" i="1"/>
  <c r="Z200" i="2" s="1"/>
  <c r="P200" i="1"/>
  <c r="AA200" i="2" s="1"/>
  <c r="N201" i="1"/>
  <c r="Y201" i="2" s="1"/>
  <c r="O201" i="1"/>
  <c r="Z201" i="2" s="1"/>
  <c r="P201" i="1"/>
  <c r="AA201" i="2" s="1"/>
  <c r="N202" i="1"/>
  <c r="Y202" i="2" s="1"/>
  <c r="O202" i="1"/>
  <c r="Z202" i="2" s="1"/>
  <c r="P202" i="1"/>
  <c r="AA202" i="2" s="1"/>
  <c r="N203" i="1"/>
  <c r="Y203" i="2" s="1"/>
  <c r="O203" i="1"/>
  <c r="Z203" i="2" s="1"/>
  <c r="P203" i="1"/>
  <c r="AA203" i="2" s="1"/>
  <c r="N204" i="1"/>
  <c r="Y204" i="2" s="1"/>
  <c r="O204" i="1"/>
  <c r="Z204" i="2" s="1"/>
  <c r="P204" i="1"/>
  <c r="AA204" i="2" s="1"/>
  <c r="N205" i="1"/>
  <c r="Y205" i="2" s="1"/>
  <c r="O205" i="1"/>
  <c r="Z205" i="2" s="1"/>
  <c r="P205" i="1"/>
  <c r="AA205" i="2" s="1"/>
  <c r="N206" i="1"/>
  <c r="Y206" i="2" s="1"/>
  <c r="O206" i="1"/>
  <c r="Z206" i="2" s="1"/>
  <c r="P206" i="1"/>
  <c r="AA206" i="2" s="1"/>
  <c r="N207" i="1"/>
  <c r="Y207" i="2" s="1"/>
  <c r="O207" i="1"/>
  <c r="Z207" i="2" s="1"/>
  <c r="P207" i="1"/>
  <c r="AA207" i="2" s="1"/>
  <c r="N208" i="1"/>
  <c r="Y208" i="2" s="1"/>
  <c r="O208" i="1"/>
  <c r="Z208" i="2" s="1"/>
  <c r="P208" i="1"/>
  <c r="AA208" i="2" s="1"/>
  <c r="N209" i="1"/>
  <c r="Y209" i="2" s="1"/>
  <c r="O209" i="1"/>
  <c r="Z209" i="2" s="1"/>
  <c r="P209" i="1"/>
  <c r="AA209" i="2" s="1"/>
  <c r="N210" i="1"/>
  <c r="Y210" i="2" s="1"/>
  <c r="O210" i="1"/>
  <c r="Z210" i="2" s="1"/>
  <c r="P210" i="1"/>
  <c r="AA210" i="2" s="1"/>
  <c r="N211" i="1"/>
  <c r="Y211" i="2" s="1"/>
  <c r="O211" i="1"/>
  <c r="Z211" i="2" s="1"/>
  <c r="P211" i="1"/>
  <c r="AA211" i="2" s="1"/>
  <c r="N212" i="1"/>
  <c r="Y212" i="2" s="1"/>
  <c r="O212" i="1"/>
  <c r="Z212" i="2" s="1"/>
  <c r="P212" i="1"/>
  <c r="AA212" i="2" s="1"/>
  <c r="N213" i="1"/>
  <c r="Y213" i="2" s="1"/>
  <c r="O213" i="1"/>
  <c r="Z213" i="2" s="1"/>
  <c r="P213" i="1"/>
  <c r="AA213" i="2" s="1"/>
  <c r="N214" i="1"/>
  <c r="Y214" i="2" s="1"/>
  <c r="O214" i="1"/>
  <c r="Z214" i="2" s="1"/>
  <c r="P214" i="1"/>
  <c r="AA214" i="2" s="1"/>
  <c r="N215" i="1"/>
  <c r="Y215" i="2" s="1"/>
  <c r="O215" i="1"/>
  <c r="Z215" i="2" s="1"/>
  <c r="P215" i="1"/>
  <c r="AA215" i="2" s="1"/>
  <c r="N216" i="1"/>
  <c r="Y216" i="2" s="1"/>
  <c r="O216" i="1"/>
  <c r="Z216" i="2" s="1"/>
  <c r="P216" i="1"/>
  <c r="AA216" i="2" s="1"/>
  <c r="N217" i="1"/>
  <c r="Y217" i="2" s="1"/>
  <c r="O217" i="1"/>
  <c r="Z217" i="2" s="1"/>
  <c r="P217" i="1"/>
  <c r="AA217" i="2" s="1"/>
  <c r="N218" i="1"/>
  <c r="Y218" i="2" s="1"/>
  <c r="O218" i="1"/>
  <c r="Z218" i="2" s="1"/>
  <c r="P218" i="1"/>
  <c r="AA218" i="2" s="1"/>
  <c r="N219" i="1"/>
  <c r="Y219" i="2" s="1"/>
  <c r="O219" i="1"/>
  <c r="Z219" i="2" s="1"/>
  <c r="P219" i="1"/>
  <c r="AA219" i="2" s="1"/>
  <c r="N220" i="1"/>
  <c r="Y220" i="2" s="1"/>
  <c r="O220" i="1"/>
  <c r="Z220" i="2" s="1"/>
  <c r="P220" i="1"/>
  <c r="AA220" i="2" s="1"/>
  <c r="N221" i="1"/>
  <c r="Y221" i="2" s="1"/>
  <c r="O221" i="1"/>
  <c r="Z221" i="2" s="1"/>
  <c r="P221" i="1"/>
  <c r="AA221" i="2" s="1"/>
  <c r="N222" i="1"/>
  <c r="Y222" i="2" s="1"/>
  <c r="O222" i="1"/>
  <c r="Z222" i="2" s="1"/>
  <c r="P222" i="1"/>
  <c r="AA222" i="2" s="1"/>
  <c r="N223" i="1"/>
  <c r="Y223" i="2" s="1"/>
  <c r="O223" i="1"/>
  <c r="Z223" i="2" s="1"/>
  <c r="P223" i="1"/>
  <c r="AA223" i="2" s="1"/>
  <c r="N224" i="1"/>
  <c r="Y224" i="2" s="1"/>
  <c r="O224" i="1"/>
  <c r="Z224" i="2" s="1"/>
  <c r="P224" i="1"/>
  <c r="AA224" i="2" s="1"/>
  <c r="N225" i="1"/>
  <c r="Y225" i="2" s="1"/>
  <c r="O225" i="1"/>
  <c r="Z225" i="2" s="1"/>
  <c r="P225" i="1"/>
  <c r="AA225" i="2" s="1"/>
  <c r="N226" i="1"/>
  <c r="Y226" i="2" s="1"/>
  <c r="O226" i="1"/>
  <c r="Z226" i="2" s="1"/>
  <c r="P226" i="1"/>
  <c r="AA226" i="2" s="1"/>
  <c r="N227" i="1"/>
  <c r="Y227" i="2" s="1"/>
  <c r="O227" i="1"/>
  <c r="Z227" i="2" s="1"/>
  <c r="P227" i="1"/>
  <c r="AA227" i="2" s="1"/>
  <c r="N228" i="1"/>
  <c r="Y228" i="2" s="1"/>
  <c r="O228" i="1"/>
  <c r="Z228" i="2" s="1"/>
  <c r="P228" i="1"/>
  <c r="AA228" i="2" s="1"/>
  <c r="N229" i="1"/>
  <c r="Y229" i="2" s="1"/>
  <c r="O229" i="1"/>
  <c r="Z229" i="2" s="1"/>
  <c r="P229" i="1"/>
  <c r="AA229" i="2" s="1"/>
  <c r="N230" i="1"/>
  <c r="Y230" i="2" s="1"/>
  <c r="O230" i="1"/>
  <c r="Z230" i="2" s="1"/>
  <c r="P230" i="1"/>
  <c r="AA230" i="2" s="1"/>
  <c r="N231" i="1"/>
  <c r="Y231" i="2" s="1"/>
  <c r="O231" i="1"/>
  <c r="Z231" i="2" s="1"/>
  <c r="P231" i="1"/>
  <c r="AA231" i="2" s="1"/>
  <c r="N232" i="1"/>
  <c r="Y232" i="2" s="1"/>
  <c r="O232" i="1"/>
  <c r="Z232" i="2" s="1"/>
  <c r="P232" i="1"/>
  <c r="AA232" i="2" s="1"/>
  <c r="N233" i="1"/>
  <c r="Y233" i="2" s="1"/>
  <c r="O233" i="1"/>
  <c r="Z233" i="2" s="1"/>
  <c r="P233" i="1"/>
  <c r="AA233" i="2" s="1"/>
  <c r="N234" i="1"/>
  <c r="Y234" i="2" s="1"/>
  <c r="O234" i="1"/>
  <c r="Z234" i="2" s="1"/>
  <c r="P234" i="1"/>
  <c r="AA234" i="2" s="1"/>
  <c r="N235" i="1"/>
  <c r="Y235" i="2" s="1"/>
  <c r="O235" i="1"/>
  <c r="Z235" i="2" s="1"/>
  <c r="P235" i="1"/>
  <c r="AA235" i="2" s="1"/>
  <c r="N236" i="1"/>
  <c r="Y236" i="2" s="1"/>
  <c r="O236" i="1"/>
  <c r="Z236" i="2" s="1"/>
  <c r="P236" i="1"/>
  <c r="AA236" i="2" s="1"/>
  <c r="N237" i="1"/>
  <c r="Y237" i="2" s="1"/>
  <c r="O237" i="1"/>
  <c r="Z237" i="2" s="1"/>
  <c r="P237" i="1"/>
  <c r="AA237" i="2" s="1"/>
  <c r="N238" i="1"/>
  <c r="Y238" i="2" s="1"/>
  <c r="O238" i="1"/>
  <c r="Z238" i="2" s="1"/>
  <c r="P238" i="1"/>
  <c r="AA238" i="2" s="1"/>
  <c r="N239" i="1"/>
  <c r="Y239" i="2" s="1"/>
  <c r="O239" i="1"/>
  <c r="Z239" i="2" s="1"/>
  <c r="P239" i="1"/>
  <c r="AA239" i="2" s="1"/>
  <c r="N240" i="1"/>
  <c r="Y240" i="2" s="1"/>
  <c r="O240" i="1"/>
  <c r="Z240" i="2" s="1"/>
  <c r="P240" i="1"/>
  <c r="AA240" i="2" s="1"/>
  <c r="N241" i="1"/>
  <c r="Y241" i="2" s="1"/>
  <c r="O241" i="1"/>
  <c r="Z241" i="2" s="1"/>
  <c r="P241" i="1"/>
  <c r="AA241" i="2" s="1"/>
  <c r="N242" i="1"/>
  <c r="Y242" i="2" s="1"/>
  <c r="O242" i="1"/>
  <c r="Z242" i="2" s="1"/>
  <c r="P242" i="1"/>
  <c r="AA242" i="2" s="1"/>
  <c r="N243" i="1"/>
  <c r="Y243" i="2" s="1"/>
  <c r="O243" i="1"/>
  <c r="Z243" i="2" s="1"/>
  <c r="P243" i="1"/>
  <c r="AA243" i="2" s="1"/>
  <c r="N244" i="1"/>
  <c r="Y244" i="2" s="1"/>
  <c r="O244" i="1"/>
  <c r="Z244" i="2" s="1"/>
  <c r="P244" i="1"/>
  <c r="AA244" i="2" s="1"/>
  <c r="N245" i="1"/>
  <c r="Y245" i="2" s="1"/>
  <c r="O245" i="1"/>
  <c r="Z245" i="2" s="1"/>
  <c r="P245" i="1"/>
  <c r="AA245" i="2" s="1"/>
  <c r="N246" i="1"/>
  <c r="Y246" i="2" s="1"/>
  <c r="O246" i="1"/>
  <c r="Z246" i="2" s="1"/>
  <c r="P246" i="1"/>
  <c r="AA246" i="2" s="1"/>
  <c r="N247" i="1"/>
  <c r="Y247" i="2" s="1"/>
  <c r="O247" i="1"/>
  <c r="Z247" i="2" s="1"/>
  <c r="P247" i="1"/>
  <c r="AA247" i="2" s="1"/>
  <c r="N248" i="1"/>
  <c r="Y248" i="2" s="1"/>
  <c r="O248" i="1"/>
  <c r="Z248" i="2" s="1"/>
  <c r="P248" i="1"/>
  <c r="AA248" i="2" s="1"/>
  <c r="N249" i="1"/>
  <c r="Y249" i="2" s="1"/>
  <c r="O249" i="1"/>
  <c r="Z249" i="2" s="1"/>
  <c r="P249" i="1"/>
  <c r="AA249" i="2" s="1"/>
  <c r="N250" i="1"/>
  <c r="Y250" i="2" s="1"/>
  <c r="O250" i="1"/>
  <c r="Z250" i="2" s="1"/>
  <c r="P250" i="1"/>
  <c r="AA250" i="2" s="1"/>
  <c r="N251" i="1"/>
  <c r="Y251" i="2" s="1"/>
  <c r="O251" i="1"/>
  <c r="Z251" i="2" s="1"/>
  <c r="P251" i="1"/>
  <c r="AA251" i="2" s="1"/>
  <c r="N252" i="1"/>
  <c r="Y252" i="2" s="1"/>
  <c r="O252" i="1"/>
  <c r="Z252" i="2" s="1"/>
  <c r="P252" i="1"/>
  <c r="AA252" i="2" s="1"/>
  <c r="N253" i="1"/>
  <c r="Y253" i="2" s="1"/>
  <c r="O253" i="1"/>
  <c r="Z253" i="2" s="1"/>
  <c r="P253" i="1"/>
  <c r="AA253" i="2" s="1"/>
  <c r="N254" i="1"/>
  <c r="Y254" i="2" s="1"/>
  <c r="O254" i="1"/>
  <c r="Z254" i="2" s="1"/>
  <c r="P254" i="1"/>
  <c r="AA254" i="2" s="1"/>
  <c r="N255" i="1"/>
  <c r="Y255" i="2" s="1"/>
  <c r="O255" i="1"/>
  <c r="Z255" i="2" s="1"/>
  <c r="P255" i="1"/>
  <c r="AA255" i="2" s="1"/>
  <c r="N256" i="1"/>
  <c r="Y256" i="2" s="1"/>
  <c r="O256" i="1"/>
  <c r="Z256" i="2" s="1"/>
  <c r="P256" i="1"/>
  <c r="AA256" i="2" s="1"/>
  <c r="N257" i="1"/>
  <c r="Y257" i="2" s="1"/>
  <c r="O257" i="1"/>
  <c r="Z257" i="2" s="1"/>
  <c r="P257" i="1"/>
  <c r="AA257" i="2" s="1"/>
  <c r="N258" i="1"/>
  <c r="Y258" i="2" s="1"/>
  <c r="O258" i="1"/>
  <c r="Z258" i="2" s="1"/>
  <c r="P258" i="1"/>
  <c r="AA258" i="2" s="1"/>
  <c r="N259" i="1"/>
  <c r="Y259" i="2" s="1"/>
  <c r="O259" i="1"/>
  <c r="Z259" i="2" s="1"/>
  <c r="P259" i="1"/>
  <c r="AA259" i="2" s="1"/>
  <c r="N260" i="1"/>
  <c r="Y260" i="2" s="1"/>
  <c r="O260" i="1"/>
  <c r="Z260" i="2" s="1"/>
  <c r="P260" i="1"/>
  <c r="AA260" i="2" s="1"/>
  <c r="N261" i="1"/>
  <c r="Y261" i="2" s="1"/>
  <c r="O261" i="1"/>
  <c r="Z261" i="2" s="1"/>
  <c r="P261" i="1"/>
  <c r="AA261" i="2" s="1"/>
  <c r="N262" i="1"/>
  <c r="Y262" i="2" s="1"/>
  <c r="O262" i="1"/>
  <c r="Z262" i="2" s="1"/>
  <c r="P262" i="1"/>
  <c r="AA262" i="2" s="1"/>
  <c r="N263" i="1"/>
  <c r="Y263" i="2" s="1"/>
  <c r="O263" i="1"/>
  <c r="Z263" i="2" s="1"/>
  <c r="P263" i="1"/>
  <c r="AA263" i="2" s="1"/>
  <c r="N264" i="1"/>
  <c r="Y264" i="2" s="1"/>
  <c r="O264" i="1"/>
  <c r="Z264" i="2" s="1"/>
  <c r="P264" i="1"/>
  <c r="AA264" i="2" s="1"/>
  <c r="N265" i="1"/>
  <c r="Y265" i="2" s="1"/>
  <c r="O265" i="1"/>
  <c r="Z265" i="2" s="1"/>
  <c r="P265" i="1"/>
  <c r="AA265" i="2" s="1"/>
  <c r="N266" i="1"/>
  <c r="Y266" i="2" s="1"/>
  <c r="O266" i="1"/>
  <c r="Z266" i="2" s="1"/>
  <c r="P266" i="1"/>
  <c r="AA266" i="2" s="1"/>
  <c r="N267" i="1"/>
  <c r="Y267" i="2" s="1"/>
  <c r="O267" i="1"/>
  <c r="Z267" i="2" s="1"/>
  <c r="P267" i="1"/>
  <c r="AA267" i="2" s="1"/>
  <c r="N268" i="1"/>
  <c r="Y268" i="2" s="1"/>
  <c r="O268" i="1"/>
  <c r="Z268" i="2" s="1"/>
  <c r="P268" i="1"/>
  <c r="AA268" i="2" s="1"/>
  <c r="N269" i="1"/>
  <c r="Y269" i="2" s="1"/>
  <c r="O269" i="1"/>
  <c r="Z269" i="2" s="1"/>
  <c r="P269" i="1"/>
  <c r="AA269" i="2" s="1"/>
  <c r="N270" i="1"/>
  <c r="Y270" i="2" s="1"/>
  <c r="O270" i="1"/>
  <c r="Z270" i="2" s="1"/>
  <c r="P270" i="1"/>
  <c r="AA270" i="2" s="1"/>
  <c r="N271" i="1"/>
  <c r="Y271" i="2" s="1"/>
  <c r="O271" i="1"/>
  <c r="Z271" i="2" s="1"/>
  <c r="P271" i="1"/>
  <c r="AA271" i="2" s="1"/>
  <c r="N272" i="1"/>
  <c r="Y272" i="2" s="1"/>
  <c r="O272" i="1"/>
  <c r="Z272" i="2" s="1"/>
  <c r="P272" i="1"/>
  <c r="AA272" i="2" s="1"/>
  <c r="N273" i="1"/>
  <c r="Y273" i="2" s="1"/>
  <c r="O273" i="1"/>
  <c r="Z273" i="2" s="1"/>
  <c r="P273" i="1"/>
  <c r="AA273" i="2" s="1"/>
  <c r="N274" i="1"/>
  <c r="Y274" i="2" s="1"/>
  <c r="O274" i="1"/>
  <c r="Z274" i="2" s="1"/>
  <c r="P274" i="1"/>
  <c r="AA274" i="2" s="1"/>
  <c r="N275" i="1"/>
  <c r="Y275" i="2" s="1"/>
  <c r="O275" i="1"/>
  <c r="Z275" i="2" s="1"/>
  <c r="P275" i="1"/>
  <c r="AA275" i="2" s="1"/>
  <c r="N276" i="1"/>
  <c r="Y276" i="2" s="1"/>
  <c r="O276" i="1"/>
  <c r="Z276" i="2" s="1"/>
  <c r="P276" i="1"/>
  <c r="AA276" i="2" s="1"/>
  <c r="N277" i="1"/>
  <c r="Y277" i="2" s="1"/>
  <c r="O277" i="1"/>
  <c r="Z277" i="2" s="1"/>
  <c r="P277" i="1"/>
  <c r="AA277" i="2" s="1"/>
  <c r="N278" i="1"/>
  <c r="Y278" i="2" s="1"/>
  <c r="O278" i="1"/>
  <c r="Z278" i="2" s="1"/>
  <c r="P278" i="1"/>
  <c r="AA278" i="2" s="1"/>
  <c r="N279" i="1"/>
  <c r="Y279" i="2" s="1"/>
  <c r="O279" i="1"/>
  <c r="Z279" i="2" s="1"/>
  <c r="P279" i="1"/>
  <c r="AA279" i="2" s="1"/>
  <c r="N280" i="1"/>
  <c r="Y280" i="2" s="1"/>
  <c r="O280" i="1"/>
  <c r="Z280" i="2" s="1"/>
  <c r="P280" i="1"/>
  <c r="AA280" i="2" s="1"/>
  <c r="N281" i="1"/>
  <c r="Y281" i="2" s="1"/>
  <c r="O281" i="1"/>
  <c r="Z281" i="2" s="1"/>
  <c r="P281" i="1"/>
  <c r="AA281" i="2" s="1"/>
  <c r="N282" i="1"/>
  <c r="Y282" i="2" s="1"/>
  <c r="O282" i="1"/>
  <c r="Z282" i="2" s="1"/>
  <c r="P282" i="1"/>
  <c r="AA282" i="2" s="1"/>
  <c r="N283" i="1"/>
  <c r="Y283" i="2" s="1"/>
  <c r="O283" i="1"/>
  <c r="Z283" i="2" s="1"/>
  <c r="P283" i="1"/>
  <c r="AA283" i="2" s="1"/>
  <c r="N284" i="1"/>
  <c r="Y284" i="2" s="1"/>
  <c r="O284" i="1"/>
  <c r="Z284" i="2" s="1"/>
  <c r="P284" i="1"/>
  <c r="AA284" i="2" s="1"/>
  <c r="N285" i="1"/>
  <c r="Y285" i="2" s="1"/>
  <c r="O285" i="1"/>
  <c r="Z285" i="2" s="1"/>
  <c r="P285" i="1"/>
  <c r="AA285" i="2" s="1"/>
  <c r="N286" i="1"/>
  <c r="Y286" i="2" s="1"/>
  <c r="O286" i="1"/>
  <c r="Z286" i="2" s="1"/>
  <c r="P286" i="1"/>
  <c r="AA286" i="2" s="1"/>
  <c r="N287" i="1"/>
  <c r="Y287" i="2" s="1"/>
  <c r="O287" i="1"/>
  <c r="Z287" i="2" s="1"/>
  <c r="P287" i="1"/>
  <c r="AA287" i="2" s="1"/>
  <c r="N288" i="1"/>
  <c r="Y288" i="2" s="1"/>
  <c r="O288" i="1"/>
  <c r="Z288" i="2" s="1"/>
  <c r="P288" i="1"/>
  <c r="AA288" i="2" s="1"/>
  <c r="N289" i="1"/>
  <c r="Y289" i="2" s="1"/>
  <c r="O289" i="1"/>
  <c r="Z289" i="2" s="1"/>
  <c r="P289" i="1"/>
  <c r="AA289" i="2" s="1"/>
  <c r="N290" i="1"/>
  <c r="Y290" i="2" s="1"/>
  <c r="O290" i="1"/>
  <c r="Z290" i="2" s="1"/>
  <c r="P290" i="1"/>
  <c r="AA290" i="2" s="1"/>
  <c r="N291" i="1"/>
  <c r="Y291" i="2" s="1"/>
  <c r="O291" i="1"/>
  <c r="Z291" i="2" s="1"/>
  <c r="P291" i="1"/>
  <c r="AA291" i="2" s="1"/>
  <c r="N292" i="1"/>
  <c r="Y292" i="2" s="1"/>
  <c r="O292" i="1"/>
  <c r="Z292" i="2" s="1"/>
  <c r="P292" i="1"/>
  <c r="AA292" i="2" s="1"/>
  <c r="N293" i="1"/>
  <c r="Y293" i="2" s="1"/>
  <c r="O293" i="1"/>
  <c r="Z293" i="2" s="1"/>
  <c r="P293" i="1"/>
  <c r="AA293" i="2" s="1"/>
  <c r="N294" i="1"/>
  <c r="Y294" i="2" s="1"/>
  <c r="O294" i="1"/>
  <c r="Z294" i="2" s="1"/>
  <c r="P294" i="1"/>
  <c r="AA294" i="2" s="1"/>
  <c r="N295" i="1"/>
  <c r="Y295" i="2" s="1"/>
  <c r="O295" i="1"/>
  <c r="Z295" i="2" s="1"/>
  <c r="P295" i="1"/>
  <c r="AA295" i="2" s="1"/>
  <c r="N296" i="1"/>
  <c r="Y296" i="2" s="1"/>
  <c r="O296" i="1"/>
  <c r="Z296" i="2" s="1"/>
  <c r="P296" i="1"/>
  <c r="AA296" i="2" s="1"/>
  <c r="N297" i="1"/>
  <c r="Y297" i="2" s="1"/>
  <c r="O297" i="1"/>
  <c r="Z297" i="2" s="1"/>
  <c r="P297" i="1"/>
  <c r="AA297" i="2" s="1"/>
  <c r="N298" i="1"/>
  <c r="Y298" i="2" s="1"/>
  <c r="O298" i="1"/>
  <c r="Z298" i="2" s="1"/>
  <c r="P298" i="1"/>
  <c r="AA298" i="2" s="1"/>
  <c r="N299" i="1"/>
  <c r="Y299" i="2" s="1"/>
  <c r="O299" i="1"/>
  <c r="Z299" i="2" s="1"/>
  <c r="P299" i="1"/>
  <c r="AA299" i="2" s="1"/>
  <c r="N300" i="1"/>
  <c r="Y300" i="2" s="1"/>
  <c r="O300" i="1"/>
  <c r="Z300" i="2" s="1"/>
  <c r="P300" i="1"/>
  <c r="AA300" i="2" s="1"/>
  <c r="N301" i="1"/>
  <c r="Y301" i="2" s="1"/>
  <c r="O301" i="1"/>
  <c r="Z301" i="2" s="1"/>
  <c r="P301" i="1"/>
  <c r="AA301" i="2" s="1"/>
  <c r="N302" i="1"/>
  <c r="Y302" i="2" s="1"/>
  <c r="O302" i="1"/>
  <c r="Z302" i="2" s="1"/>
  <c r="P302" i="1"/>
  <c r="AA302" i="2" s="1"/>
  <c r="N303" i="1"/>
  <c r="Y303" i="2" s="1"/>
  <c r="O303" i="1"/>
  <c r="Z303" i="2" s="1"/>
  <c r="P303" i="1"/>
  <c r="AA303" i="2" s="1"/>
  <c r="N304" i="1"/>
  <c r="Y304" i="2" s="1"/>
  <c r="O304" i="1"/>
  <c r="Z304" i="2" s="1"/>
  <c r="P304" i="1"/>
  <c r="AA304" i="2" s="1"/>
  <c r="N305" i="1"/>
  <c r="Y305" i="2" s="1"/>
  <c r="O305" i="1"/>
  <c r="Z305" i="2" s="1"/>
  <c r="P305" i="1"/>
  <c r="AA305" i="2" s="1"/>
  <c r="N306" i="1"/>
  <c r="Y306" i="2" s="1"/>
  <c r="O306" i="1"/>
  <c r="Z306" i="2" s="1"/>
  <c r="P306" i="1"/>
  <c r="AA306" i="2" s="1"/>
  <c r="N307" i="1"/>
  <c r="Y307" i="2" s="1"/>
  <c r="O307" i="1"/>
  <c r="Z307" i="2" s="1"/>
  <c r="P307" i="1"/>
  <c r="AA307" i="2" s="1"/>
  <c r="N308" i="1"/>
  <c r="Y308" i="2" s="1"/>
  <c r="O308" i="1"/>
  <c r="Z308" i="2" s="1"/>
  <c r="P308" i="1"/>
  <c r="AA308" i="2" s="1"/>
  <c r="N309" i="1"/>
  <c r="Y309" i="2" s="1"/>
  <c r="O309" i="1"/>
  <c r="Z309" i="2" s="1"/>
  <c r="P309" i="1"/>
  <c r="AA309" i="2" s="1"/>
  <c r="N310" i="1"/>
  <c r="Y310" i="2" s="1"/>
  <c r="O310" i="1"/>
  <c r="Z310" i="2" s="1"/>
  <c r="P310" i="1"/>
  <c r="AA310" i="2" s="1"/>
  <c r="N311" i="1"/>
  <c r="Y311" i="2" s="1"/>
  <c r="O311" i="1"/>
  <c r="Z311" i="2" s="1"/>
  <c r="P311" i="1"/>
  <c r="AA311" i="2" s="1"/>
  <c r="N312" i="1"/>
  <c r="Y312" i="2" s="1"/>
  <c r="O312" i="1"/>
  <c r="Z312" i="2" s="1"/>
  <c r="P312" i="1"/>
  <c r="AA312" i="2" s="1"/>
  <c r="N313" i="1"/>
  <c r="Y313" i="2" s="1"/>
  <c r="O313" i="1"/>
  <c r="Z313" i="2" s="1"/>
  <c r="P313" i="1"/>
  <c r="AA313" i="2" s="1"/>
  <c r="N314" i="1"/>
  <c r="Y314" i="2" s="1"/>
  <c r="O314" i="1"/>
  <c r="Z314" i="2" s="1"/>
  <c r="P314" i="1"/>
  <c r="AA314" i="2" s="1"/>
  <c r="N315" i="1"/>
  <c r="Y315" i="2" s="1"/>
  <c r="O315" i="1"/>
  <c r="Z315" i="2" s="1"/>
  <c r="P315" i="1"/>
  <c r="AA315" i="2" s="1"/>
  <c r="N316" i="1"/>
  <c r="Y316" i="2" s="1"/>
  <c r="O316" i="1"/>
  <c r="Z316" i="2" s="1"/>
  <c r="P316" i="1"/>
  <c r="AA316" i="2" s="1"/>
  <c r="N317" i="1"/>
  <c r="Y317" i="2" s="1"/>
  <c r="O317" i="1"/>
  <c r="Z317" i="2" s="1"/>
  <c r="P317" i="1"/>
  <c r="AA317" i="2" s="1"/>
  <c r="N318" i="1"/>
  <c r="Y318" i="2" s="1"/>
  <c r="O318" i="1"/>
  <c r="Z318" i="2" s="1"/>
  <c r="P318" i="1"/>
  <c r="AA318" i="2" s="1"/>
  <c r="N319" i="1"/>
  <c r="Y319" i="2" s="1"/>
  <c r="O319" i="1"/>
  <c r="Z319" i="2" s="1"/>
  <c r="P319" i="1"/>
  <c r="AA319" i="2" s="1"/>
  <c r="N320" i="1"/>
  <c r="Y320" i="2" s="1"/>
  <c r="O320" i="1"/>
  <c r="Z320" i="2" s="1"/>
  <c r="P320" i="1"/>
  <c r="AA320" i="2" s="1"/>
  <c r="N321" i="1"/>
  <c r="Y321" i="2" s="1"/>
  <c r="O321" i="1"/>
  <c r="Z321" i="2" s="1"/>
  <c r="P321" i="1"/>
  <c r="AA321" i="2" s="1"/>
  <c r="N322" i="1"/>
  <c r="Y322" i="2" s="1"/>
  <c r="O322" i="1"/>
  <c r="Z322" i="2" s="1"/>
  <c r="P322" i="1"/>
  <c r="AA322" i="2" s="1"/>
  <c r="N323" i="1"/>
  <c r="Y323" i="2" s="1"/>
  <c r="O323" i="1"/>
  <c r="Z323" i="2" s="1"/>
  <c r="P323" i="1"/>
  <c r="AA323" i="2" s="1"/>
  <c r="N324" i="1"/>
  <c r="Y324" i="2" s="1"/>
  <c r="O324" i="1"/>
  <c r="Z324" i="2" s="1"/>
  <c r="P324" i="1"/>
  <c r="AA324" i="2" s="1"/>
  <c r="N325" i="1"/>
  <c r="Y325" i="2" s="1"/>
  <c r="O325" i="1"/>
  <c r="Z325" i="2" s="1"/>
  <c r="P325" i="1"/>
  <c r="AA325" i="2" s="1"/>
  <c r="N326" i="1"/>
  <c r="Y326" i="2" s="1"/>
  <c r="O326" i="1"/>
  <c r="Z326" i="2" s="1"/>
  <c r="P326" i="1"/>
  <c r="AA326" i="2" s="1"/>
  <c r="N327" i="1"/>
  <c r="Y327" i="2" s="1"/>
  <c r="O327" i="1"/>
  <c r="Z327" i="2" s="1"/>
  <c r="P327" i="1"/>
  <c r="AA327" i="2" s="1"/>
  <c r="N328" i="1"/>
  <c r="Y328" i="2" s="1"/>
  <c r="O328" i="1"/>
  <c r="Z328" i="2" s="1"/>
  <c r="P328" i="1"/>
  <c r="AA328" i="2" s="1"/>
  <c r="N329" i="1"/>
  <c r="Y329" i="2" s="1"/>
  <c r="O329" i="1"/>
  <c r="Z329" i="2" s="1"/>
  <c r="P329" i="1"/>
  <c r="AA329" i="2" s="1"/>
  <c r="N330" i="1"/>
  <c r="Y330" i="2" s="1"/>
  <c r="O330" i="1"/>
  <c r="Z330" i="2" s="1"/>
  <c r="P330" i="1"/>
  <c r="AA330" i="2" s="1"/>
  <c r="N331" i="1"/>
  <c r="Y331" i="2" s="1"/>
  <c r="O331" i="1"/>
  <c r="Z331" i="2" s="1"/>
  <c r="P331" i="1"/>
  <c r="AA331" i="2" s="1"/>
  <c r="N332" i="1"/>
  <c r="Y332" i="2" s="1"/>
  <c r="O332" i="1"/>
  <c r="Z332" i="2" s="1"/>
  <c r="P332" i="1"/>
  <c r="AA332" i="2" s="1"/>
  <c r="N333" i="1"/>
  <c r="Y333" i="2" s="1"/>
  <c r="O333" i="1"/>
  <c r="Z333" i="2" s="1"/>
  <c r="P333" i="1"/>
  <c r="AA333" i="2" s="1"/>
  <c r="N334" i="1"/>
  <c r="Y334" i="2" s="1"/>
  <c r="O334" i="1"/>
  <c r="Z334" i="2" s="1"/>
  <c r="P334" i="1"/>
  <c r="AA334" i="2" s="1"/>
  <c r="N335" i="1"/>
  <c r="Y335" i="2" s="1"/>
  <c r="O335" i="1"/>
  <c r="Z335" i="2" s="1"/>
  <c r="P335" i="1"/>
  <c r="AA335" i="2" s="1"/>
  <c r="N336" i="1"/>
  <c r="Y336" i="2" s="1"/>
  <c r="O336" i="1"/>
  <c r="Z336" i="2" s="1"/>
  <c r="P336" i="1"/>
  <c r="AA336" i="2" s="1"/>
  <c r="N337" i="1"/>
  <c r="Y337" i="2" s="1"/>
  <c r="O337" i="1"/>
  <c r="Z337" i="2" s="1"/>
  <c r="P337" i="1"/>
  <c r="AA337" i="2" s="1"/>
  <c r="N338" i="1"/>
  <c r="Y338" i="2" s="1"/>
  <c r="O338" i="1"/>
  <c r="Z338" i="2" s="1"/>
  <c r="P338" i="1"/>
  <c r="AA338" i="2" s="1"/>
  <c r="N339" i="1"/>
  <c r="Y339" i="2" s="1"/>
  <c r="O339" i="1"/>
  <c r="Z339" i="2" s="1"/>
  <c r="P339" i="1"/>
  <c r="AA339" i="2" s="1"/>
  <c r="N340" i="1"/>
  <c r="Y340" i="2" s="1"/>
  <c r="O340" i="1"/>
  <c r="Z340" i="2" s="1"/>
  <c r="P340" i="1"/>
  <c r="AA340" i="2" s="1"/>
  <c r="N341" i="1"/>
  <c r="Y341" i="2" s="1"/>
  <c r="O341" i="1"/>
  <c r="Z341" i="2" s="1"/>
  <c r="P341" i="1"/>
  <c r="AA341" i="2" s="1"/>
  <c r="N342" i="1"/>
  <c r="Y342" i="2" s="1"/>
  <c r="O342" i="1"/>
  <c r="Z342" i="2" s="1"/>
  <c r="P342" i="1"/>
  <c r="AA342" i="2" s="1"/>
  <c r="N343" i="1"/>
  <c r="Y343" i="2" s="1"/>
  <c r="O343" i="1"/>
  <c r="Z343" i="2" s="1"/>
  <c r="P343" i="1"/>
  <c r="AA343" i="2" s="1"/>
  <c r="N344" i="1"/>
  <c r="Y344" i="2" s="1"/>
  <c r="O344" i="1"/>
  <c r="Z344" i="2" s="1"/>
  <c r="P344" i="1"/>
  <c r="AA344" i="2" s="1"/>
  <c r="N345" i="1"/>
  <c r="Y345" i="2" s="1"/>
  <c r="O345" i="1"/>
  <c r="Z345" i="2" s="1"/>
  <c r="P345" i="1"/>
  <c r="AA345" i="2" s="1"/>
  <c r="N346" i="1"/>
  <c r="Y346" i="2" s="1"/>
  <c r="O346" i="1"/>
  <c r="Z346" i="2" s="1"/>
  <c r="P346" i="1"/>
  <c r="AA346" i="2" s="1"/>
  <c r="N347" i="1"/>
  <c r="Y347" i="2" s="1"/>
  <c r="O347" i="1"/>
  <c r="Z347" i="2" s="1"/>
  <c r="P347" i="1"/>
  <c r="AA347" i="2" s="1"/>
  <c r="N348" i="1"/>
  <c r="Y348" i="2" s="1"/>
  <c r="O348" i="1"/>
  <c r="Z348" i="2" s="1"/>
  <c r="P348" i="1"/>
  <c r="AA348" i="2" s="1"/>
  <c r="N349" i="1"/>
  <c r="Y349" i="2" s="1"/>
  <c r="O349" i="1"/>
  <c r="Z349" i="2" s="1"/>
  <c r="P349" i="1"/>
  <c r="AA349" i="2" s="1"/>
  <c r="N350" i="1"/>
  <c r="Y350" i="2" s="1"/>
  <c r="O350" i="1"/>
  <c r="Z350" i="2" s="1"/>
  <c r="P350" i="1"/>
  <c r="AA350" i="2" s="1"/>
  <c r="N351" i="1"/>
  <c r="Y351" i="2" s="1"/>
  <c r="O351" i="1"/>
  <c r="Z351" i="2" s="1"/>
  <c r="P351" i="1"/>
  <c r="AA351" i="2" s="1"/>
  <c r="N352" i="1"/>
  <c r="Y352" i="2" s="1"/>
  <c r="O352" i="1"/>
  <c r="Z352" i="2" s="1"/>
  <c r="P352" i="1"/>
  <c r="AA352" i="2" s="1"/>
  <c r="N353" i="1"/>
  <c r="Y353" i="2" s="1"/>
  <c r="O353" i="1"/>
  <c r="Z353" i="2" s="1"/>
  <c r="P353" i="1"/>
  <c r="AA353" i="2" s="1"/>
  <c r="N354" i="1"/>
  <c r="Y354" i="2" s="1"/>
  <c r="O354" i="1"/>
  <c r="Z354" i="2" s="1"/>
  <c r="P354" i="1"/>
  <c r="AA354" i="2" s="1"/>
  <c r="N355" i="1"/>
  <c r="Y355" i="2" s="1"/>
  <c r="O355" i="1"/>
  <c r="Z355" i="2" s="1"/>
  <c r="P355" i="1"/>
  <c r="AA355" i="2" s="1"/>
  <c r="N356" i="1"/>
  <c r="Y356" i="2" s="1"/>
  <c r="O356" i="1"/>
  <c r="Z356" i="2" s="1"/>
  <c r="P356" i="1"/>
  <c r="AA356" i="2" s="1"/>
  <c r="N357" i="1"/>
  <c r="Y357" i="2" s="1"/>
  <c r="O357" i="1"/>
  <c r="Z357" i="2" s="1"/>
  <c r="P357" i="1"/>
  <c r="AA357" i="2" s="1"/>
  <c r="N358" i="1"/>
  <c r="Y358" i="2" s="1"/>
  <c r="O358" i="1"/>
  <c r="Z358" i="2" s="1"/>
  <c r="P358" i="1"/>
  <c r="AA358" i="2" s="1"/>
  <c r="N359" i="1"/>
  <c r="Y359" i="2" s="1"/>
  <c r="O359" i="1"/>
  <c r="Z359" i="2" s="1"/>
  <c r="P359" i="1"/>
  <c r="AA359" i="2" s="1"/>
  <c r="N360" i="1"/>
  <c r="Y360" i="2" s="1"/>
  <c r="O360" i="1"/>
  <c r="Z360" i="2" s="1"/>
  <c r="P360" i="1"/>
  <c r="AA360" i="2" s="1"/>
  <c r="N361" i="1"/>
  <c r="Y361" i="2" s="1"/>
  <c r="O361" i="1"/>
  <c r="Z361" i="2" s="1"/>
  <c r="P361" i="1"/>
  <c r="AA361" i="2" s="1"/>
  <c r="N362" i="1"/>
  <c r="Y362" i="2" s="1"/>
  <c r="O362" i="1"/>
  <c r="Z362" i="2" s="1"/>
  <c r="P362" i="1"/>
  <c r="AA362" i="2" s="1"/>
  <c r="N363" i="1"/>
  <c r="Y363" i="2" s="1"/>
  <c r="O363" i="1"/>
  <c r="Z363" i="2" s="1"/>
  <c r="P363" i="1"/>
  <c r="AA363" i="2" s="1"/>
  <c r="N364" i="1"/>
  <c r="Y364" i="2" s="1"/>
  <c r="O364" i="1"/>
  <c r="Z364" i="2" s="1"/>
  <c r="P364" i="1"/>
  <c r="AA364" i="2" s="1"/>
  <c r="N365" i="1"/>
  <c r="Y365" i="2" s="1"/>
  <c r="O365" i="1"/>
  <c r="Z365" i="2" s="1"/>
  <c r="P365" i="1"/>
  <c r="AA365" i="2" s="1"/>
  <c r="N366" i="1"/>
  <c r="Y366" i="2" s="1"/>
  <c r="O366" i="1"/>
  <c r="Z366" i="2" s="1"/>
  <c r="P366" i="1"/>
  <c r="AA366" i="2" s="1"/>
  <c r="N367" i="1"/>
  <c r="Y367" i="2" s="1"/>
  <c r="O367" i="1"/>
  <c r="Z367" i="2" s="1"/>
  <c r="P367" i="1"/>
  <c r="AA367" i="2" s="1"/>
  <c r="N368" i="1"/>
  <c r="Y368" i="2" s="1"/>
  <c r="O368" i="1"/>
  <c r="Z368" i="2" s="1"/>
  <c r="P368" i="1"/>
  <c r="AA368" i="2" s="1"/>
  <c r="N369" i="1"/>
  <c r="Y369" i="2" s="1"/>
  <c r="O369" i="1"/>
  <c r="Z369" i="2" s="1"/>
  <c r="P369" i="1"/>
  <c r="AA369" i="2" s="1"/>
  <c r="N370" i="1"/>
  <c r="Y370" i="2" s="1"/>
  <c r="O370" i="1"/>
  <c r="Z370" i="2" s="1"/>
  <c r="P370" i="1"/>
  <c r="AA370" i="2" s="1"/>
  <c r="P5" i="1"/>
  <c r="AA5" i="2" s="1"/>
  <c r="O5" i="1"/>
  <c r="Z5" i="2" s="1"/>
  <c r="N5" i="1"/>
  <c r="Y5" i="2" s="1"/>
  <c r="M7" i="1"/>
  <c r="X7" i="2" s="1"/>
  <c r="M8" i="1"/>
  <c r="X8" i="2" s="1"/>
  <c r="M9" i="1"/>
  <c r="X9" i="2" s="1"/>
  <c r="M10" i="1"/>
  <c r="X10" i="2" s="1"/>
  <c r="M11" i="1"/>
  <c r="X11" i="2" s="1"/>
  <c r="M12" i="1"/>
  <c r="X12" i="2" s="1"/>
  <c r="M13" i="1"/>
  <c r="X13" i="2" s="1"/>
  <c r="M14" i="1"/>
  <c r="X14" i="2" s="1"/>
  <c r="M15" i="1"/>
  <c r="X15" i="2" s="1"/>
  <c r="M16" i="1"/>
  <c r="X16" i="2" s="1"/>
  <c r="M17" i="1"/>
  <c r="X17" i="2" s="1"/>
  <c r="M18" i="1"/>
  <c r="X18" i="2" s="1"/>
  <c r="M19" i="1"/>
  <c r="X19" i="2" s="1"/>
  <c r="M20" i="1"/>
  <c r="X20" i="2" s="1"/>
  <c r="M21" i="1"/>
  <c r="X21" i="2" s="1"/>
  <c r="M22" i="1"/>
  <c r="X22" i="2" s="1"/>
  <c r="M23" i="1"/>
  <c r="X23" i="2" s="1"/>
  <c r="M24" i="1"/>
  <c r="X24" i="2" s="1"/>
  <c r="M25" i="1"/>
  <c r="X25" i="2" s="1"/>
  <c r="M26" i="1"/>
  <c r="X26" i="2" s="1"/>
  <c r="M27" i="1"/>
  <c r="X27" i="2" s="1"/>
  <c r="M28" i="1"/>
  <c r="X28" i="2" s="1"/>
  <c r="M29" i="1"/>
  <c r="X29" i="2" s="1"/>
  <c r="M30" i="1"/>
  <c r="X30" i="2" s="1"/>
  <c r="M31" i="1"/>
  <c r="X31" i="2" s="1"/>
  <c r="M32" i="1"/>
  <c r="X32" i="2" s="1"/>
  <c r="M33" i="1"/>
  <c r="X33" i="2" s="1"/>
  <c r="M34" i="1"/>
  <c r="X34" i="2" s="1"/>
  <c r="M35" i="1"/>
  <c r="X35" i="2" s="1"/>
  <c r="M36" i="1"/>
  <c r="X36" i="2" s="1"/>
  <c r="M37" i="1"/>
  <c r="X37" i="2" s="1"/>
  <c r="M38" i="1"/>
  <c r="X38" i="2" s="1"/>
  <c r="M39" i="1"/>
  <c r="X39" i="2" s="1"/>
  <c r="M40" i="1"/>
  <c r="X40" i="2" s="1"/>
  <c r="M41" i="1"/>
  <c r="X41" i="2" s="1"/>
  <c r="M42" i="1"/>
  <c r="X42" i="2" s="1"/>
  <c r="M43" i="1"/>
  <c r="X43" i="2" s="1"/>
  <c r="M44" i="1"/>
  <c r="X44" i="2" s="1"/>
  <c r="M45" i="1"/>
  <c r="X45" i="2" s="1"/>
  <c r="M46" i="1"/>
  <c r="X46" i="2" s="1"/>
  <c r="M47" i="1"/>
  <c r="X47" i="2" s="1"/>
  <c r="M48" i="1"/>
  <c r="X48" i="2" s="1"/>
  <c r="M49" i="1"/>
  <c r="X49" i="2" s="1"/>
  <c r="M50" i="1"/>
  <c r="X50" i="2" s="1"/>
  <c r="M51" i="1"/>
  <c r="X51" i="2" s="1"/>
  <c r="M52" i="1"/>
  <c r="X52" i="2" s="1"/>
  <c r="M53" i="1"/>
  <c r="X53" i="2" s="1"/>
  <c r="M54" i="1"/>
  <c r="X54" i="2" s="1"/>
  <c r="M55" i="1"/>
  <c r="X55" i="2" s="1"/>
  <c r="M56" i="1"/>
  <c r="X56" i="2" s="1"/>
  <c r="M57" i="1"/>
  <c r="X57" i="2" s="1"/>
  <c r="M58" i="1"/>
  <c r="X58" i="2" s="1"/>
  <c r="M59" i="1"/>
  <c r="X59" i="2" s="1"/>
  <c r="M60" i="1"/>
  <c r="X60" i="2" s="1"/>
  <c r="M61" i="1"/>
  <c r="X61" i="2" s="1"/>
  <c r="M62" i="1"/>
  <c r="X62" i="2" s="1"/>
  <c r="M63" i="1"/>
  <c r="X63" i="2" s="1"/>
  <c r="M64" i="1"/>
  <c r="X64" i="2" s="1"/>
  <c r="M65" i="1"/>
  <c r="X65" i="2" s="1"/>
  <c r="M66" i="1"/>
  <c r="X66" i="2" s="1"/>
  <c r="M67" i="1"/>
  <c r="X67" i="2" s="1"/>
  <c r="M68" i="1"/>
  <c r="X68" i="2" s="1"/>
  <c r="M69" i="1"/>
  <c r="X69" i="2" s="1"/>
  <c r="M70" i="1"/>
  <c r="X70" i="2" s="1"/>
  <c r="M71" i="1"/>
  <c r="X71" i="2" s="1"/>
  <c r="M72" i="1"/>
  <c r="X72" i="2" s="1"/>
  <c r="M73" i="1"/>
  <c r="X73" i="2" s="1"/>
  <c r="M74" i="1"/>
  <c r="X74" i="2" s="1"/>
  <c r="M75" i="1"/>
  <c r="X75" i="2" s="1"/>
  <c r="M76" i="1"/>
  <c r="X76" i="2" s="1"/>
  <c r="M77" i="1"/>
  <c r="X77" i="2" s="1"/>
  <c r="M78" i="1"/>
  <c r="X78" i="2" s="1"/>
  <c r="M79" i="1"/>
  <c r="X79" i="2" s="1"/>
  <c r="M80" i="1"/>
  <c r="X80" i="2" s="1"/>
  <c r="M81" i="1"/>
  <c r="X81" i="2" s="1"/>
  <c r="M82" i="1"/>
  <c r="X82" i="2" s="1"/>
  <c r="M83" i="1"/>
  <c r="X83" i="2" s="1"/>
  <c r="M84" i="1"/>
  <c r="X84" i="2" s="1"/>
  <c r="M85" i="1"/>
  <c r="X85" i="2" s="1"/>
  <c r="M86" i="1"/>
  <c r="X86" i="2" s="1"/>
  <c r="M87" i="1"/>
  <c r="X87" i="2" s="1"/>
  <c r="M88" i="1"/>
  <c r="X88" i="2" s="1"/>
  <c r="M89" i="1"/>
  <c r="X89" i="2" s="1"/>
  <c r="M90" i="1"/>
  <c r="X90" i="2" s="1"/>
  <c r="M91" i="1"/>
  <c r="X91" i="2" s="1"/>
  <c r="M92" i="1"/>
  <c r="X92" i="2" s="1"/>
  <c r="M93" i="1"/>
  <c r="X93" i="2" s="1"/>
  <c r="M94" i="1"/>
  <c r="X94" i="2" s="1"/>
  <c r="M95" i="1"/>
  <c r="X95" i="2" s="1"/>
  <c r="M96" i="1"/>
  <c r="X96" i="2" s="1"/>
  <c r="M97" i="1"/>
  <c r="X97" i="2" s="1"/>
  <c r="M98" i="1"/>
  <c r="X98" i="2" s="1"/>
  <c r="M99" i="1"/>
  <c r="X99" i="2" s="1"/>
  <c r="M100" i="1"/>
  <c r="X100" i="2" s="1"/>
  <c r="M101" i="1"/>
  <c r="X101" i="2" s="1"/>
  <c r="M102" i="1"/>
  <c r="X102" i="2" s="1"/>
  <c r="M103" i="1"/>
  <c r="X103" i="2" s="1"/>
  <c r="M104" i="1"/>
  <c r="X104" i="2" s="1"/>
  <c r="M105" i="1"/>
  <c r="X105" i="2" s="1"/>
  <c r="M106" i="1"/>
  <c r="X106" i="2" s="1"/>
  <c r="M107" i="1"/>
  <c r="X107" i="2" s="1"/>
  <c r="M108" i="1"/>
  <c r="X108" i="2" s="1"/>
  <c r="M109" i="1"/>
  <c r="X109" i="2" s="1"/>
  <c r="M110" i="1"/>
  <c r="X110" i="2" s="1"/>
  <c r="M111" i="1"/>
  <c r="X111" i="2" s="1"/>
  <c r="M112" i="1"/>
  <c r="X112" i="2" s="1"/>
  <c r="M113" i="1"/>
  <c r="X113" i="2" s="1"/>
  <c r="M114" i="1"/>
  <c r="X114" i="2" s="1"/>
  <c r="M115" i="1"/>
  <c r="X115" i="2" s="1"/>
  <c r="M116" i="1"/>
  <c r="X116" i="2" s="1"/>
  <c r="M117" i="1"/>
  <c r="X117" i="2" s="1"/>
  <c r="M118" i="1"/>
  <c r="X118" i="2" s="1"/>
  <c r="M119" i="1"/>
  <c r="X119" i="2" s="1"/>
  <c r="M120" i="1"/>
  <c r="X120" i="2" s="1"/>
  <c r="M121" i="1"/>
  <c r="X121" i="2" s="1"/>
  <c r="M122" i="1"/>
  <c r="X122" i="2" s="1"/>
  <c r="M123" i="1"/>
  <c r="X123" i="2" s="1"/>
  <c r="M124" i="1"/>
  <c r="X124" i="2" s="1"/>
  <c r="M125" i="1"/>
  <c r="X125" i="2" s="1"/>
  <c r="M126" i="1"/>
  <c r="X126" i="2" s="1"/>
  <c r="M127" i="1"/>
  <c r="X127" i="2" s="1"/>
  <c r="M128" i="1"/>
  <c r="X128" i="2" s="1"/>
  <c r="M129" i="1"/>
  <c r="X129" i="2" s="1"/>
  <c r="M130" i="1"/>
  <c r="X130" i="2" s="1"/>
  <c r="M131" i="1"/>
  <c r="X131" i="2" s="1"/>
  <c r="M132" i="1"/>
  <c r="X132" i="2" s="1"/>
  <c r="M133" i="1"/>
  <c r="X133" i="2" s="1"/>
  <c r="M134" i="1"/>
  <c r="X134" i="2" s="1"/>
  <c r="M135" i="1"/>
  <c r="X135" i="2" s="1"/>
  <c r="M136" i="1"/>
  <c r="X136" i="2" s="1"/>
  <c r="M137" i="1"/>
  <c r="X137" i="2" s="1"/>
  <c r="M138" i="1"/>
  <c r="X138" i="2" s="1"/>
  <c r="M139" i="1"/>
  <c r="X139" i="2" s="1"/>
  <c r="M140" i="1"/>
  <c r="X140" i="2" s="1"/>
  <c r="M141" i="1"/>
  <c r="X141" i="2" s="1"/>
  <c r="M142" i="1"/>
  <c r="X142" i="2" s="1"/>
  <c r="M143" i="1"/>
  <c r="X143" i="2" s="1"/>
  <c r="M144" i="1"/>
  <c r="X144" i="2" s="1"/>
  <c r="M145" i="1"/>
  <c r="X145" i="2" s="1"/>
  <c r="M146" i="1"/>
  <c r="X146" i="2" s="1"/>
  <c r="M147" i="1"/>
  <c r="X147" i="2" s="1"/>
  <c r="M148" i="1"/>
  <c r="X148" i="2" s="1"/>
  <c r="M149" i="1"/>
  <c r="X149" i="2" s="1"/>
  <c r="M150" i="1"/>
  <c r="X150" i="2" s="1"/>
  <c r="M151" i="1"/>
  <c r="X151" i="2" s="1"/>
  <c r="M152" i="1"/>
  <c r="X152" i="2" s="1"/>
  <c r="M153" i="1"/>
  <c r="X153" i="2" s="1"/>
  <c r="M154" i="1"/>
  <c r="X154" i="2" s="1"/>
  <c r="M155" i="1"/>
  <c r="X155" i="2" s="1"/>
  <c r="M156" i="1"/>
  <c r="X156" i="2" s="1"/>
  <c r="M157" i="1"/>
  <c r="X157" i="2" s="1"/>
  <c r="M158" i="1"/>
  <c r="X158" i="2" s="1"/>
  <c r="M159" i="1"/>
  <c r="X159" i="2" s="1"/>
  <c r="M160" i="1"/>
  <c r="X160" i="2" s="1"/>
  <c r="M161" i="1"/>
  <c r="X161" i="2" s="1"/>
  <c r="M162" i="1"/>
  <c r="X162" i="2" s="1"/>
  <c r="M163" i="1"/>
  <c r="X163" i="2" s="1"/>
  <c r="M164" i="1"/>
  <c r="X164" i="2" s="1"/>
  <c r="M165" i="1"/>
  <c r="X165" i="2" s="1"/>
  <c r="M166" i="1"/>
  <c r="X166" i="2" s="1"/>
  <c r="M167" i="1"/>
  <c r="X167" i="2" s="1"/>
  <c r="M168" i="1"/>
  <c r="X168" i="2" s="1"/>
  <c r="M169" i="1"/>
  <c r="X169" i="2" s="1"/>
  <c r="M170" i="1"/>
  <c r="X170" i="2" s="1"/>
  <c r="M171" i="1"/>
  <c r="X171" i="2" s="1"/>
  <c r="M172" i="1"/>
  <c r="X172" i="2" s="1"/>
  <c r="M173" i="1"/>
  <c r="X173" i="2" s="1"/>
  <c r="M174" i="1"/>
  <c r="X174" i="2" s="1"/>
  <c r="M175" i="1"/>
  <c r="X175" i="2" s="1"/>
  <c r="M176" i="1"/>
  <c r="X176" i="2" s="1"/>
  <c r="M177" i="1"/>
  <c r="X177" i="2" s="1"/>
  <c r="M178" i="1"/>
  <c r="X178" i="2" s="1"/>
  <c r="M179" i="1"/>
  <c r="X179" i="2" s="1"/>
  <c r="M180" i="1"/>
  <c r="X180" i="2" s="1"/>
  <c r="M181" i="1"/>
  <c r="X181" i="2" s="1"/>
  <c r="M182" i="1"/>
  <c r="X182" i="2" s="1"/>
  <c r="M183" i="1"/>
  <c r="X183" i="2" s="1"/>
  <c r="M184" i="1"/>
  <c r="X184" i="2" s="1"/>
  <c r="M185" i="1"/>
  <c r="X185" i="2" s="1"/>
  <c r="M186" i="1"/>
  <c r="X186" i="2" s="1"/>
  <c r="M187" i="1"/>
  <c r="X187" i="2" s="1"/>
  <c r="M188" i="1"/>
  <c r="X188" i="2" s="1"/>
  <c r="M189" i="1"/>
  <c r="X189" i="2" s="1"/>
  <c r="M190" i="1"/>
  <c r="X190" i="2" s="1"/>
  <c r="M191" i="1"/>
  <c r="X191" i="2" s="1"/>
  <c r="M192" i="1"/>
  <c r="X192" i="2" s="1"/>
  <c r="M193" i="1"/>
  <c r="X193" i="2" s="1"/>
  <c r="M194" i="1"/>
  <c r="X194" i="2" s="1"/>
  <c r="M195" i="1"/>
  <c r="X195" i="2" s="1"/>
  <c r="M196" i="1"/>
  <c r="X196" i="2" s="1"/>
  <c r="M197" i="1"/>
  <c r="X197" i="2" s="1"/>
  <c r="M198" i="1"/>
  <c r="X198" i="2" s="1"/>
  <c r="M199" i="1"/>
  <c r="X199" i="2" s="1"/>
  <c r="M200" i="1"/>
  <c r="X200" i="2" s="1"/>
  <c r="M201" i="1"/>
  <c r="X201" i="2" s="1"/>
  <c r="M202" i="1"/>
  <c r="X202" i="2" s="1"/>
  <c r="M203" i="1"/>
  <c r="X203" i="2" s="1"/>
  <c r="M204" i="1"/>
  <c r="X204" i="2" s="1"/>
  <c r="M205" i="1"/>
  <c r="X205" i="2" s="1"/>
  <c r="M206" i="1"/>
  <c r="X206" i="2" s="1"/>
  <c r="M207" i="1"/>
  <c r="X207" i="2" s="1"/>
  <c r="M208" i="1"/>
  <c r="X208" i="2" s="1"/>
  <c r="M209" i="1"/>
  <c r="X209" i="2" s="1"/>
  <c r="M210" i="1"/>
  <c r="X210" i="2" s="1"/>
  <c r="M211" i="1"/>
  <c r="X211" i="2" s="1"/>
  <c r="M212" i="1"/>
  <c r="X212" i="2" s="1"/>
  <c r="M213" i="1"/>
  <c r="X213" i="2" s="1"/>
  <c r="M214" i="1"/>
  <c r="X214" i="2" s="1"/>
  <c r="M215" i="1"/>
  <c r="X215" i="2" s="1"/>
  <c r="M216" i="1"/>
  <c r="X216" i="2" s="1"/>
  <c r="M217" i="1"/>
  <c r="X217" i="2" s="1"/>
  <c r="M218" i="1"/>
  <c r="X218" i="2" s="1"/>
  <c r="M219" i="1"/>
  <c r="X219" i="2" s="1"/>
  <c r="M220" i="1"/>
  <c r="X220" i="2" s="1"/>
  <c r="M221" i="1"/>
  <c r="X221" i="2" s="1"/>
  <c r="M222" i="1"/>
  <c r="X222" i="2" s="1"/>
  <c r="M223" i="1"/>
  <c r="X223" i="2" s="1"/>
  <c r="M224" i="1"/>
  <c r="X224" i="2" s="1"/>
  <c r="M225" i="1"/>
  <c r="X225" i="2" s="1"/>
  <c r="M226" i="1"/>
  <c r="X226" i="2" s="1"/>
  <c r="M227" i="1"/>
  <c r="X227" i="2" s="1"/>
  <c r="M228" i="1"/>
  <c r="X228" i="2" s="1"/>
  <c r="M229" i="1"/>
  <c r="X229" i="2" s="1"/>
  <c r="M230" i="1"/>
  <c r="X230" i="2" s="1"/>
  <c r="M231" i="1"/>
  <c r="X231" i="2" s="1"/>
  <c r="M232" i="1"/>
  <c r="X232" i="2" s="1"/>
  <c r="M233" i="1"/>
  <c r="X233" i="2" s="1"/>
  <c r="M234" i="1"/>
  <c r="X234" i="2" s="1"/>
  <c r="M235" i="1"/>
  <c r="X235" i="2" s="1"/>
  <c r="M236" i="1"/>
  <c r="X236" i="2" s="1"/>
  <c r="M237" i="1"/>
  <c r="X237" i="2" s="1"/>
  <c r="M238" i="1"/>
  <c r="X238" i="2" s="1"/>
  <c r="M239" i="1"/>
  <c r="X239" i="2" s="1"/>
  <c r="M240" i="1"/>
  <c r="X240" i="2" s="1"/>
  <c r="M241" i="1"/>
  <c r="X241" i="2" s="1"/>
  <c r="M242" i="1"/>
  <c r="X242" i="2" s="1"/>
  <c r="M243" i="1"/>
  <c r="X243" i="2" s="1"/>
  <c r="M244" i="1"/>
  <c r="X244" i="2" s="1"/>
  <c r="M245" i="1"/>
  <c r="X245" i="2" s="1"/>
  <c r="M246" i="1"/>
  <c r="X246" i="2" s="1"/>
  <c r="M247" i="1"/>
  <c r="X247" i="2" s="1"/>
  <c r="M248" i="1"/>
  <c r="X248" i="2" s="1"/>
  <c r="M249" i="1"/>
  <c r="X249" i="2" s="1"/>
  <c r="M250" i="1"/>
  <c r="X250" i="2" s="1"/>
  <c r="M251" i="1"/>
  <c r="X251" i="2" s="1"/>
  <c r="M252" i="1"/>
  <c r="X252" i="2" s="1"/>
  <c r="M253" i="1"/>
  <c r="X253" i="2" s="1"/>
  <c r="M254" i="1"/>
  <c r="X254" i="2" s="1"/>
  <c r="M255" i="1"/>
  <c r="X255" i="2" s="1"/>
  <c r="M256" i="1"/>
  <c r="X256" i="2" s="1"/>
  <c r="M257" i="1"/>
  <c r="X257" i="2" s="1"/>
  <c r="M258" i="1"/>
  <c r="X258" i="2" s="1"/>
  <c r="M259" i="1"/>
  <c r="X259" i="2" s="1"/>
  <c r="M260" i="1"/>
  <c r="X260" i="2" s="1"/>
  <c r="M261" i="1"/>
  <c r="X261" i="2" s="1"/>
  <c r="M262" i="1"/>
  <c r="X262" i="2" s="1"/>
  <c r="M263" i="1"/>
  <c r="X263" i="2" s="1"/>
  <c r="M264" i="1"/>
  <c r="X264" i="2" s="1"/>
  <c r="M265" i="1"/>
  <c r="X265" i="2" s="1"/>
  <c r="M266" i="1"/>
  <c r="X266" i="2" s="1"/>
  <c r="M267" i="1"/>
  <c r="X267" i="2" s="1"/>
  <c r="M268" i="1"/>
  <c r="X268" i="2" s="1"/>
  <c r="M269" i="1"/>
  <c r="X269" i="2" s="1"/>
  <c r="M270" i="1"/>
  <c r="X270" i="2" s="1"/>
  <c r="M271" i="1"/>
  <c r="X271" i="2" s="1"/>
  <c r="M272" i="1"/>
  <c r="X272" i="2" s="1"/>
  <c r="M273" i="1"/>
  <c r="X273" i="2" s="1"/>
  <c r="M274" i="1"/>
  <c r="X274" i="2" s="1"/>
  <c r="M275" i="1"/>
  <c r="X275" i="2" s="1"/>
  <c r="M276" i="1"/>
  <c r="X276" i="2" s="1"/>
  <c r="M277" i="1"/>
  <c r="X277" i="2" s="1"/>
  <c r="M278" i="1"/>
  <c r="X278" i="2" s="1"/>
  <c r="M279" i="1"/>
  <c r="X279" i="2" s="1"/>
  <c r="M280" i="1"/>
  <c r="X280" i="2" s="1"/>
  <c r="M281" i="1"/>
  <c r="X281" i="2" s="1"/>
  <c r="M282" i="1"/>
  <c r="X282" i="2" s="1"/>
  <c r="M283" i="1"/>
  <c r="X283" i="2" s="1"/>
  <c r="M284" i="1"/>
  <c r="X284" i="2" s="1"/>
  <c r="M285" i="1"/>
  <c r="X285" i="2" s="1"/>
  <c r="M286" i="1"/>
  <c r="X286" i="2" s="1"/>
  <c r="M287" i="1"/>
  <c r="X287" i="2" s="1"/>
  <c r="M288" i="1"/>
  <c r="X288" i="2" s="1"/>
  <c r="M289" i="1"/>
  <c r="X289" i="2" s="1"/>
  <c r="M290" i="1"/>
  <c r="X290" i="2" s="1"/>
  <c r="M291" i="1"/>
  <c r="X291" i="2" s="1"/>
  <c r="M292" i="1"/>
  <c r="X292" i="2" s="1"/>
  <c r="M293" i="1"/>
  <c r="X293" i="2" s="1"/>
  <c r="M294" i="1"/>
  <c r="X294" i="2" s="1"/>
  <c r="M295" i="1"/>
  <c r="X295" i="2" s="1"/>
  <c r="M296" i="1"/>
  <c r="X296" i="2" s="1"/>
  <c r="M297" i="1"/>
  <c r="X297" i="2" s="1"/>
  <c r="M298" i="1"/>
  <c r="X298" i="2" s="1"/>
  <c r="M299" i="1"/>
  <c r="X299" i="2" s="1"/>
  <c r="M300" i="1"/>
  <c r="X300" i="2" s="1"/>
  <c r="M301" i="1"/>
  <c r="X301" i="2" s="1"/>
  <c r="M302" i="1"/>
  <c r="X302" i="2" s="1"/>
  <c r="M303" i="1"/>
  <c r="X303" i="2" s="1"/>
  <c r="M304" i="1"/>
  <c r="X304" i="2" s="1"/>
  <c r="M305" i="1"/>
  <c r="X305" i="2" s="1"/>
  <c r="M306" i="1"/>
  <c r="X306" i="2" s="1"/>
  <c r="M307" i="1"/>
  <c r="X307" i="2" s="1"/>
  <c r="M308" i="1"/>
  <c r="X308" i="2" s="1"/>
  <c r="M309" i="1"/>
  <c r="X309" i="2" s="1"/>
  <c r="M310" i="1"/>
  <c r="X310" i="2" s="1"/>
  <c r="M311" i="1"/>
  <c r="X311" i="2" s="1"/>
  <c r="M312" i="1"/>
  <c r="X312" i="2" s="1"/>
  <c r="M313" i="1"/>
  <c r="X313" i="2" s="1"/>
  <c r="M314" i="1"/>
  <c r="X314" i="2" s="1"/>
  <c r="M315" i="1"/>
  <c r="X315" i="2" s="1"/>
  <c r="M316" i="1"/>
  <c r="X316" i="2" s="1"/>
  <c r="M317" i="1"/>
  <c r="X317" i="2" s="1"/>
  <c r="M318" i="1"/>
  <c r="X318" i="2" s="1"/>
  <c r="M319" i="1"/>
  <c r="X319" i="2" s="1"/>
  <c r="M320" i="1"/>
  <c r="X320" i="2" s="1"/>
  <c r="M321" i="1"/>
  <c r="X321" i="2" s="1"/>
  <c r="M322" i="1"/>
  <c r="X322" i="2" s="1"/>
  <c r="M323" i="1"/>
  <c r="X323" i="2" s="1"/>
  <c r="M324" i="1"/>
  <c r="X324" i="2" s="1"/>
  <c r="M325" i="1"/>
  <c r="X325" i="2" s="1"/>
  <c r="M326" i="1"/>
  <c r="X326" i="2" s="1"/>
  <c r="M327" i="1"/>
  <c r="X327" i="2" s="1"/>
  <c r="M328" i="1"/>
  <c r="X328" i="2" s="1"/>
  <c r="M329" i="1"/>
  <c r="X329" i="2" s="1"/>
  <c r="M330" i="1"/>
  <c r="X330" i="2" s="1"/>
  <c r="M331" i="1"/>
  <c r="X331" i="2" s="1"/>
  <c r="M332" i="1"/>
  <c r="X332" i="2" s="1"/>
  <c r="M333" i="1"/>
  <c r="X333" i="2" s="1"/>
  <c r="M334" i="1"/>
  <c r="X334" i="2" s="1"/>
  <c r="M335" i="1"/>
  <c r="X335" i="2" s="1"/>
  <c r="M336" i="1"/>
  <c r="X336" i="2" s="1"/>
  <c r="M337" i="1"/>
  <c r="X337" i="2" s="1"/>
  <c r="M338" i="1"/>
  <c r="X338" i="2" s="1"/>
  <c r="M339" i="1"/>
  <c r="X339" i="2" s="1"/>
  <c r="M340" i="1"/>
  <c r="X340" i="2" s="1"/>
  <c r="M341" i="1"/>
  <c r="X341" i="2" s="1"/>
  <c r="M342" i="1"/>
  <c r="X342" i="2" s="1"/>
  <c r="M343" i="1"/>
  <c r="X343" i="2" s="1"/>
  <c r="M344" i="1"/>
  <c r="X344" i="2" s="1"/>
  <c r="M345" i="1"/>
  <c r="X345" i="2" s="1"/>
  <c r="M346" i="1"/>
  <c r="X346" i="2" s="1"/>
  <c r="M347" i="1"/>
  <c r="X347" i="2" s="1"/>
  <c r="M348" i="1"/>
  <c r="X348" i="2" s="1"/>
  <c r="M349" i="1"/>
  <c r="X349" i="2" s="1"/>
  <c r="M350" i="1"/>
  <c r="X350" i="2" s="1"/>
  <c r="M351" i="1"/>
  <c r="X351" i="2" s="1"/>
  <c r="M352" i="1"/>
  <c r="X352" i="2" s="1"/>
  <c r="M353" i="1"/>
  <c r="X353" i="2" s="1"/>
  <c r="M354" i="1"/>
  <c r="X354" i="2" s="1"/>
  <c r="M355" i="1"/>
  <c r="X355" i="2" s="1"/>
  <c r="M356" i="1"/>
  <c r="X356" i="2" s="1"/>
  <c r="M357" i="1"/>
  <c r="X357" i="2" s="1"/>
  <c r="M358" i="1"/>
  <c r="X358" i="2" s="1"/>
  <c r="M359" i="1"/>
  <c r="X359" i="2" s="1"/>
  <c r="M360" i="1"/>
  <c r="X360" i="2" s="1"/>
  <c r="M361" i="1"/>
  <c r="X361" i="2" s="1"/>
  <c r="M362" i="1"/>
  <c r="X362" i="2" s="1"/>
  <c r="M363" i="1"/>
  <c r="X363" i="2" s="1"/>
  <c r="M364" i="1"/>
  <c r="X364" i="2" s="1"/>
  <c r="M365" i="1"/>
  <c r="X365" i="2" s="1"/>
  <c r="M366" i="1"/>
  <c r="X366" i="2" s="1"/>
  <c r="M367" i="1"/>
  <c r="X367" i="2" s="1"/>
  <c r="M368" i="1"/>
  <c r="X368" i="2" s="1"/>
  <c r="M369" i="1"/>
  <c r="X369" i="2" s="1"/>
  <c r="M370" i="1"/>
  <c r="X370" i="2" s="1"/>
  <c r="L7" i="1"/>
  <c r="V7" i="2" s="1"/>
  <c r="L8" i="1"/>
  <c r="V8" i="2" s="1"/>
  <c r="L9" i="1"/>
  <c r="V9" i="2" s="1"/>
  <c r="L10" i="1"/>
  <c r="V10" i="2" s="1"/>
  <c r="L11" i="1"/>
  <c r="V11" i="2" s="1"/>
  <c r="L12" i="1"/>
  <c r="V12" i="2" s="1"/>
  <c r="L13" i="1"/>
  <c r="V13" i="2" s="1"/>
  <c r="L14" i="1"/>
  <c r="V14" i="2" s="1"/>
  <c r="L15" i="1"/>
  <c r="V15" i="2" s="1"/>
  <c r="L16" i="1"/>
  <c r="V16" i="2" s="1"/>
  <c r="L17" i="1"/>
  <c r="V17" i="2" s="1"/>
  <c r="L18" i="1"/>
  <c r="V18" i="2" s="1"/>
  <c r="L19" i="1"/>
  <c r="V19" i="2" s="1"/>
  <c r="L20" i="1"/>
  <c r="V20" i="2" s="1"/>
  <c r="L21" i="1"/>
  <c r="V21" i="2" s="1"/>
  <c r="L22" i="1"/>
  <c r="V22" i="2" s="1"/>
  <c r="L23" i="1"/>
  <c r="V23" i="2" s="1"/>
  <c r="L24" i="1"/>
  <c r="V24" i="2" s="1"/>
  <c r="L25" i="1"/>
  <c r="V25" i="2" s="1"/>
  <c r="L26" i="1"/>
  <c r="V26" i="2" s="1"/>
  <c r="L27" i="1"/>
  <c r="V27" i="2" s="1"/>
  <c r="L28" i="1"/>
  <c r="V28" i="2" s="1"/>
  <c r="L29" i="1"/>
  <c r="V29" i="2" s="1"/>
  <c r="L30" i="1"/>
  <c r="V30" i="2" s="1"/>
  <c r="L31" i="1"/>
  <c r="V31" i="2" s="1"/>
  <c r="L32" i="1"/>
  <c r="V32" i="2" s="1"/>
  <c r="L33" i="1"/>
  <c r="V33" i="2" s="1"/>
  <c r="L34" i="1"/>
  <c r="V34" i="2" s="1"/>
  <c r="L35" i="1"/>
  <c r="V35" i="2" s="1"/>
  <c r="L36" i="1"/>
  <c r="V36" i="2" s="1"/>
  <c r="L37" i="1"/>
  <c r="V37" i="2" s="1"/>
  <c r="L38" i="1"/>
  <c r="V38" i="2" s="1"/>
  <c r="L39" i="1"/>
  <c r="V39" i="2" s="1"/>
  <c r="L40" i="1"/>
  <c r="V40" i="2" s="1"/>
  <c r="L41" i="1"/>
  <c r="V41" i="2" s="1"/>
  <c r="L42" i="1"/>
  <c r="V42" i="2" s="1"/>
  <c r="L43" i="1"/>
  <c r="V43" i="2" s="1"/>
  <c r="L44" i="1"/>
  <c r="V44" i="2" s="1"/>
  <c r="L45" i="1"/>
  <c r="V45" i="2" s="1"/>
  <c r="L46" i="1"/>
  <c r="V46" i="2" s="1"/>
  <c r="L47" i="1"/>
  <c r="V47" i="2" s="1"/>
  <c r="L48" i="1"/>
  <c r="V48" i="2" s="1"/>
  <c r="L49" i="1"/>
  <c r="V49" i="2" s="1"/>
  <c r="L50" i="1"/>
  <c r="V50" i="2" s="1"/>
  <c r="L51" i="1"/>
  <c r="V51" i="2" s="1"/>
  <c r="L52" i="1"/>
  <c r="V52" i="2" s="1"/>
  <c r="L53" i="1"/>
  <c r="V53" i="2" s="1"/>
  <c r="L54" i="1"/>
  <c r="V54" i="2" s="1"/>
  <c r="L55" i="1"/>
  <c r="V55" i="2" s="1"/>
  <c r="L56" i="1"/>
  <c r="V56" i="2" s="1"/>
  <c r="L57" i="1"/>
  <c r="V57" i="2" s="1"/>
  <c r="L58" i="1"/>
  <c r="V58" i="2" s="1"/>
  <c r="L59" i="1"/>
  <c r="V59" i="2" s="1"/>
  <c r="L60" i="1"/>
  <c r="V60" i="2" s="1"/>
  <c r="L61" i="1"/>
  <c r="V61" i="2" s="1"/>
  <c r="L62" i="1"/>
  <c r="V62" i="2" s="1"/>
  <c r="L63" i="1"/>
  <c r="V63" i="2" s="1"/>
  <c r="L64" i="1"/>
  <c r="V64" i="2" s="1"/>
  <c r="L65" i="1"/>
  <c r="V65" i="2" s="1"/>
  <c r="L66" i="1"/>
  <c r="V66" i="2" s="1"/>
  <c r="L67" i="1"/>
  <c r="V67" i="2" s="1"/>
  <c r="L68" i="1"/>
  <c r="V68" i="2" s="1"/>
  <c r="L69" i="1"/>
  <c r="V69" i="2" s="1"/>
  <c r="L70" i="1"/>
  <c r="V70" i="2" s="1"/>
  <c r="L71" i="1"/>
  <c r="V71" i="2" s="1"/>
  <c r="L72" i="1"/>
  <c r="V72" i="2" s="1"/>
  <c r="L73" i="1"/>
  <c r="V73" i="2" s="1"/>
  <c r="L74" i="1"/>
  <c r="V74" i="2" s="1"/>
  <c r="L75" i="1"/>
  <c r="V75" i="2" s="1"/>
  <c r="L76" i="1"/>
  <c r="V76" i="2" s="1"/>
  <c r="L77" i="1"/>
  <c r="V77" i="2" s="1"/>
  <c r="L78" i="1"/>
  <c r="V78" i="2" s="1"/>
  <c r="L79" i="1"/>
  <c r="V79" i="2" s="1"/>
  <c r="L80" i="1"/>
  <c r="V80" i="2" s="1"/>
  <c r="L81" i="1"/>
  <c r="V81" i="2" s="1"/>
  <c r="L82" i="1"/>
  <c r="V82" i="2" s="1"/>
  <c r="L83" i="1"/>
  <c r="V83" i="2" s="1"/>
  <c r="L84" i="1"/>
  <c r="V84" i="2" s="1"/>
  <c r="L85" i="1"/>
  <c r="V85" i="2" s="1"/>
  <c r="L86" i="1"/>
  <c r="V86" i="2" s="1"/>
  <c r="L87" i="1"/>
  <c r="V87" i="2" s="1"/>
  <c r="L88" i="1"/>
  <c r="V88" i="2" s="1"/>
  <c r="L89" i="1"/>
  <c r="V89" i="2" s="1"/>
  <c r="L90" i="1"/>
  <c r="V90" i="2" s="1"/>
  <c r="L91" i="1"/>
  <c r="V91" i="2" s="1"/>
  <c r="L92" i="1"/>
  <c r="V92" i="2" s="1"/>
  <c r="L93" i="1"/>
  <c r="V93" i="2" s="1"/>
  <c r="L94" i="1"/>
  <c r="V94" i="2" s="1"/>
  <c r="L95" i="1"/>
  <c r="V95" i="2" s="1"/>
  <c r="L96" i="1"/>
  <c r="V96" i="2" s="1"/>
  <c r="L97" i="1"/>
  <c r="V97" i="2" s="1"/>
  <c r="L98" i="1"/>
  <c r="V98" i="2" s="1"/>
  <c r="L99" i="1"/>
  <c r="V99" i="2" s="1"/>
  <c r="L100" i="1"/>
  <c r="V100" i="2" s="1"/>
  <c r="L101" i="1"/>
  <c r="V101" i="2" s="1"/>
  <c r="L102" i="1"/>
  <c r="V102" i="2" s="1"/>
  <c r="L103" i="1"/>
  <c r="V103" i="2" s="1"/>
  <c r="L104" i="1"/>
  <c r="V104" i="2" s="1"/>
  <c r="L105" i="1"/>
  <c r="V105" i="2" s="1"/>
  <c r="L106" i="1"/>
  <c r="V106" i="2" s="1"/>
  <c r="L107" i="1"/>
  <c r="V107" i="2" s="1"/>
  <c r="L108" i="1"/>
  <c r="V108" i="2" s="1"/>
  <c r="L109" i="1"/>
  <c r="V109" i="2" s="1"/>
  <c r="L110" i="1"/>
  <c r="V110" i="2" s="1"/>
  <c r="L111" i="1"/>
  <c r="V111" i="2" s="1"/>
  <c r="L112" i="1"/>
  <c r="V112" i="2" s="1"/>
  <c r="L113" i="1"/>
  <c r="V113" i="2" s="1"/>
  <c r="L114" i="1"/>
  <c r="V114" i="2" s="1"/>
  <c r="L115" i="1"/>
  <c r="V115" i="2" s="1"/>
  <c r="L116" i="1"/>
  <c r="V116" i="2" s="1"/>
  <c r="L117" i="1"/>
  <c r="V117" i="2" s="1"/>
  <c r="L118" i="1"/>
  <c r="V118" i="2" s="1"/>
  <c r="L119" i="1"/>
  <c r="V119" i="2" s="1"/>
  <c r="L120" i="1"/>
  <c r="V120" i="2" s="1"/>
  <c r="L121" i="1"/>
  <c r="V121" i="2" s="1"/>
  <c r="L122" i="1"/>
  <c r="V122" i="2" s="1"/>
  <c r="L123" i="1"/>
  <c r="V123" i="2" s="1"/>
  <c r="L124" i="1"/>
  <c r="V124" i="2" s="1"/>
  <c r="L125" i="1"/>
  <c r="V125" i="2" s="1"/>
  <c r="L126" i="1"/>
  <c r="V126" i="2" s="1"/>
  <c r="L127" i="1"/>
  <c r="V127" i="2" s="1"/>
  <c r="L128" i="1"/>
  <c r="V128" i="2" s="1"/>
  <c r="L129" i="1"/>
  <c r="V129" i="2" s="1"/>
  <c r="L130" i="1"/>
  <c r="V130" i="2" s="1"/>
  <c r="L131" i="1"/>
  <c r="V131" i="2" s="1"/>
  <c r="L132" i="1"/>
  <c r="V132" i="2" s="1"/>
  <c r="L133" i="1"/>
  <c r="V133" i="2" s="1"/>
  <c r="L134" i="1"/>
  <c r="V134" i="2" s="1"/>
  <c r="L135" i="1"/>
  <c r="V135" i="2" s="1"/>
  <c r="L136" i="1"/>
  <c r="V136" i="2" s="1"/>
  <c r="L137" i="1"/>
  <c r="V137" i="2" s="1"/>
  <c r="L138" i="1"/>
  <c r="V138" i="2" s="1"/>
  <c r="L139" i="1"/>
  <c r="V139" i="2" s="1"/>
  <c r="L140" i="1"/>
  <c r="V140" i="2" s="1"/>
  <c r="L141" i="1"/>
  <c r="V141" i="2" s="1"/>
  <c r="L142" i="1"/>
  <c r="V142" i="2" s="1"/>
  <c r="L143" i="1"/>
  <c r="V143" i="2" s="1"/>
  <c r="L144" i="1"/>
  <c r="V144" i="2" s="1"/>
  <c r="L145" i="1"/>
  <c r="V145" i="2" s="1"/>
  <c r="L146" i="1"/>
  <c r="V146" i="2" s="1"/>
  <c r="L147" i="1"/>
  <c r="V147" i="2" s="1"/>
  <c r="L148" i="1"/>
  <c r="V148" i="2" s="1"/>
  <c r="L149" i="1"/>
  <c r="V149" i="2" s="1"/>
  <c r="L150" i="1"/>
  <c r="V150" i="2" s="1"/>
  <c r="L151" i="1"/>
  <c r="V151" i="2" s="1"/>
  <c r="L152" i="1"/>
  <c r="V152" i="2" s="1"/>
  <c r="L153" i="1"/>
  <c r="V153" i="2" s="1"/>
  <c r="L154" i="1"/>
  <c r="V154" i="2" s="1"/>
  <c r="L155" i="1"/>
  <c r="V155" i="2" s="1"/>
  <c r="L156" i="1"/>
  <c r="V156" i="2" s="1"/>
  <c r="L157" i="1"/>
  <c r="V157" i="2" s="1"/>
  <c r="L158" i="1"/>
  <c r="V158" i="2" s="1"/>
  <c r="L159" i="1"/>
  <c r="V159" i="2" s="1"/>
  <c r="L160" i="1"/>
  <c r="V160" i="2" s="1"/>
  <c r="L161" i="1"/>
  <c r="V161" i="2" s="1"/>
  <c r="L162" i="1"/>
  <c r="V162" i="2" s="1"/>
  <c r="L163" i="1"/>
  <c r="V163" i="2" s="1"/>
  <c r="L164" i="1"/>
  <c r="V164" i="2" s="1"/>
  <c r="L165" i="1"/>
  <c r="V165" i="2" s="1"/>
  <c r="L166" i="1"/>
  <c r="V166" i="2" s="1"/>
  <c r="L167" i="1"/>
  <c r="V167" i="2" s="1"/>
  <c r="L168" i="1"/>
  <c r="V168" i="2" s="1"/>
  <c r="L169" i="1"/>
  <c r="V169" i="2" s="1"/>
  <c r="L170" i="1"/>
  <c r="V170" i="2" s="1"/>
  <c r="L171" i="1"/>
  <c r="V171" i="2" s="1"/>
  <c r="L172" i="1"/>
  <c r="V172" i="2" s="1"/>
  <c r="L173" i="1"/>
  <c r="V173" i="2" s="1"/>
  <c r="L174" i="1"/>
  <c r="V174" i="2" s="1"/>
  <c r="L175" i="1"/>
  <c r="V175" i="2" s="1"/>
  <c r="L176" i="1"/>
  <c r="V176" i="2" s="1"/>
  <c r="J177" i="1"/>
  <c r="R177" i="2" s="1"/>
  <c r="K177" i="1"/>
  <c r="T177" i="2" s="1"/>
  <c r="L177" i="1"/>
  <c r="V177" i="2" s="1"/>
  <c r="J178" i="1"/>
  <c r="R178" i="2" s="1"/>
  <c r="K178" i="1"/>
  <c r="T178" i="2" s="1"/>
  <c r="L178" i="1"/>
  <c r="V178" i="2" s="1"/>
  <c r="J179" i="1"/>
  <c r="R179" i="2" s="1"/>
  <c r="K179" i="1"/>
  <c r="T179" i="2" s="1"/>
  <c r="L179" i="1"/>
  <c r="V179" i="2" s="1"/>
  <c r="J180" i="1"/>
  <c r="R180" i="2" s="1"/>
  <c r="K180" i="1"/>
  <c r="T180" i="2" s="1"/>
  <c r="L180" i="1"/>
  <c r="V180" i="2" s="1"/>
  <c r="J181" i="1"/>
  <c r="R181" i="2" s="1"/>
  <c r="K181" i="1"/>
  <c r="T181" i="2" s="1"/>
  <c r="L181" i="1"/>
  <c r="V181" i="2" s="1"/>
  <c r="J182" i="1"/>
  <c r="R182" i="2" s="1"/>
  <c r="K182" i="1"/>
  <c r="T182" i="2" s="1"/>
  <c r="L182" i="1"/>
  <c r="V182" i="2" s="1"/>
  <c r="J183" i="1"/>
  <c r="R183" i="2" s="1"/>
  <c r="K183" i="1"/>
  <c r="T183" i="2" s="1"/>
  <c r="L183" i="1"/>
  <c r="V183" i="2" s="1"/>
  <c r="J184" i="1"/>
  <c r="R184" i="2" s="1"/>
  <c r="K184" i="1"/>
  <c r="T184" i="2" s="1"/>
  <c r="L184" i="1"/>
  <c r="V184" i="2" s="1"/>
  <c r="J185" i="1"/>
  <c r="R185" i="2" s="1"/>
  <c r="K185" i="1"/>
  <c r="T185" i="2" s="1"/>
  <c r="L185" i="1"/>
  <c r="V185" i="2" s="1"/>
  <c r="J186" i="1"/>
  <c r="R186" i="2" s="1"/>
  <c r="K186" i="1"/>
  <c r="T186" i="2" s="1"/>
  <c r="L186" i="1"/>
  <c r="V186" i="2" s="1"/>
  <c r="J187" i="1"/>
  <c r="R187" i="2" s="1"/>
  <c r="K187" i="1"/>
  <c r="T187" i="2" s="1"/>
  <c r="L187" i="1"/>
  <c r="V187" i="2" s="1"/>
  <c r="J188" i="1"/>
  <c r="R188" i="2" s="1"/>
  <c r="K188" i="1"/>
  <c r="T188" i="2" s="1"/>
  <c r="L188" i="1"/>
  <c r="V188" i="2" s="1"/>
  <c r="J189" i="1"/>
  <c r="R189" i="2" s="1"/>
  <c r="K189" i="1"/>
  <c r="T189" i="2" s="1"/>
  <c r="L189" i="1"/>
  <c r="V189" i="2" s="1"/>
  <c r="J190" i="1"/>
  <c r="R190" i="2" s="1"/>
  <c r="K190" i="1"/>
  <c r="T190" i="2" s="1"/>
  <c r="L190" i="1"/>
  <c r="V190" i="2" s="1"/>
  <c r="J191" i="1"/>
  <c r="R191" i="2" s="1"/>
  <c r="K191" i="1"/>
  <c r="T191" i="2" s="1"/>
  <c r="L191" i="1"/>
  <c r="V191" i="2" s="1"/>
  <c r="J192" i="1"/>
  <c r="R192" i="2" s="1"/>
  <c r="K192" i="1"/>
  <c r="T192" i="2" s="1"/>
  <c r="L192" i="1"/>
  <c r="V192" i="2" s="1"/>
  <c r="J193" i="1"/>
  <c r="R193" i="2" s="1"/>
  <c r="K193" i="1"/>
  <c r="T193" i="2" s="1"/>
  <c r="L193" i="1"/>
  <c r="V193" i="2" s="1"/>
  <c r="J194" i="1"/>
  <c r="R194" i="2" s="1"/>
  <c r="K194" i="1"/>
  <c r="T194" i="2" s="1"/>
  <c r="L194" i="1"/>
  <c r="V194" i="2" s="1"/>
  <c r="J195" i="1"/>
  <c r="R195" i="2" s="1"/>
  <c r="K195" i="1"/>
  <c r="T195" i="2" s="1"/>
  <c r="L195" i="1"/>
  <c r="V195" i="2" s="1"/>
  <c r="J196" i="1"/>
  <c r="R196" i="2" s="1"/>
  <c r="K196" i="1"/>
  <c r="T196" i="2" s="1"/>
  <c r="L196" i="1"/>
  <c r="V196" i="2" s="1"/>
  <c r="J197" i="1"/>
  <c r="R197" i="2" s="1"/>
  <c r="K197" i="1"/>
  <c r="T197" i="2" s="1"/>
  <c r="L197" i="1"/>
  <c r="V197" i="2" s="1"/>
  <c r="J198" i="1"/>
  <c r="R198" i="2" s="1"/>
  <c r="K198" i="1"/>
  <c r="T198" i="2" s="1"/>
  <c r="L198" i="1"/>
  <c r="V198" i="2" s="1"/>
  <c r="J199" i="1"/>
  <c r="R199" i="2" s="1"/>
  <c r="K199" i="1"/>
  <c r="T199" i="2" s="1"/>
  <c r="L199" i="1"/>
  <c r="V199" i="2" s="1"/>
  <c r="J200" i="1"/>
  <c r="R200" i="2" s="1"/>
  <c r="K200" i="1"/>
  <c r="T200" i="2" s="1"/>
  <c r="L200" i="1"/>
  <c r="V200" i="2" s="1"/>
  <c r="J201" i="1"/>
  <c r="R201" i="2" s="1"/>
  <c r="K201" i="1"/>
  <c r="T201" i="2" s="1"/>
  <c r="L201" i="1"/>
  <c r="V201" i="2" s="1"/>
  <c r="J202" i="1"/>
  <c r="R202" i="2" s="1"/>
  <c r="K202" i="1"/>
  <c r="T202" i="2" s="1"/>
  <c r="L202" i="1"/>
  <c r="V202" i="2" s="1"/>
  <c r="J203" i="1"/>
  <c r="R203" i="2" s="1"/>
  <c r="K203" i="1"/>
  <c r="T203" i="2" s="1"/>
  <c r="L203" i="1"/>
  <c r="V203" i="2" s="1"/>
  <c r="J204" i="1"/>
  <c r="R204" i="2" s="1"/>
  <c r="K204" i="1"/>
  <c r="T204" i="2" s="1"/>
  <c r="L204" i="1"/>
  <c r="V204" i="2" s="1"/>
  <c r="J205" i="1"/>
  <c r="R205" i="2" s="1"/>
  <c r="K205" i="1"/>
  <c r="T205" i="2" s="1"/>
  <c r="L205" i="1"/>
  <c r="V205" i="2" s="1"/>
  <c r="J206" i="1"/>
  <c r="R206" i="2" s="1"/>
  <c r="K206" i="1"/>
  <c r="T206" i="2" s="1"/>
  <c r="L206" i="1"/>
  <c r="V206" i="2" s="1"/>
  <c r="J207" i="1"/>
  <c r="R207" i="2" s="1"/>
  <c r="K207" i="1"/>
  <c r="T207" i="2" s="1"/>
  <c r="L207" i="1"/>
  <c r="V207" i="2" s="1"/>
  <c r="J208" i="1"/>
  <c r="R208" i="2" s="1"/>
  <c r="K208" i="1"/>
  <c r="T208" i="2" s="1"/>
  <c r="L208" i="1"/>
  <c r="V208" i="2" s="1"/>
  <c r="J209" i="1"/>
  <c r="R209" i="2" s="1"/>
  <c r="K209" i="1"/>
  <c r="T209" i="2" s="1"/>
  <c r="L209" i="1"/>
  <c r="V209" i="2" s="1"/>
  <c r="J210" i="1"/>
  <c r="R210" i="2" s="1"/>
  <c r="K210" i="1"/>
  <c r="T210" i="2" s="1"/>
  <c r="L210" i="1"/>
  <c r="V210" i="2" s="1"/>
  <c r="J211" i="1"/>
  <c r="R211" i="2" s="1"/>
  <c r="K211" i="1"/>
  <c r="T211" i="2" s="1"/>
  <c r="L211" i="1"/>
  <c r="V211" i="2" s="1"/>
  <c r="J212" i="1"/>
  <c r="R212" i="2" s="1"/>
  <c r="K212" i="1"/>
  <c r="T212" i="2" s="1"/>
  <c r="L212" i="1"/>
  <c r="V212" i="2" s="1"/>
  <c r="J213" i="1"/>
  <c r="R213" i="2" s="1"/>
  <c r="K213" i="1"/>
  <c r="T213" i="2" s="1"/>
  <c r="L213" i="1"/>
  <c r="V213" i="2" s="1"/>
  <c r="J214" i="1"/>
  <c r="R214" i="2" s="1"/>
  <c r="K214" i="1"/>
  <c r="T214" i="2" s="1"/>
  <c r="L214" i="1"/>
  <c r="V214" i="2" s="1"/>
  <c r="J215" i="1"/>
  <c r="R215" i="2" s="1"/>
  <c r="K215" i="1"/>
  <c r="T215" i="2" s="1"/>
  <c r="L215" i="1"/>
  <c r="V215" i="2" s="1"/>
  <c r="J216" i="1"/>
  <c r="R216" i="2" s="1"/>
  <c r="K216" i="1"/>
  <c r="T216" i="2" s="1"/>
  <c r="L216" i="1"/>
  <c r="V216" i="2" s="1"/>
  <c r="J217" i="1"/>
  <c r="R217" i="2" s="1"/>
  <c r="K217" i="1"/>
  <c r="T217" i="2" s="1"/>
  <c r="L217" i="1"/>
  <c r="V217" i="2" s="1"/>
  <c r="J218" i="1"/>
  <c r="R218" i="2" s="1"/>
  <c r="K218" i="1"/>
  <c r="T218" i="2" s="1"/>
  <c r="L218" i="1"/>
  <c r="V218" i="2" s="1"/>
  <c r="J219" i="1"/>
  <c r="R219" i="2" s="1"/>
  <c r="K219" i="1"/>
  <c r="T219" i="2" s="1"/>
  <c r="L219" i="1"/>
  <c r="V219" i="2" s="1"/>
  <c r="J220" i="1"/>
  <c r="R220" i="2" s="1"/>
  <c r="K220" i="1"/>
  <c r="T220" i="2" s="1"/>
  <c r="L220" i="1"/>
  <c r="V220" i="2" s="1"/>
  <c r="J221" i="1"/>
  <c r="R221" i="2" s="1"/>
  <c r="K221" i="1"/>
  <c r="T221" i="2" s="1"/>
  <c r="L221" i="1"/>
  <c r="V221" i="2" s="1"/>
  <c r="J222" i="1"/>
  <c r="R222" i="2" s="1"/>
  <c r="K222" i="1"/>
  <c r="T222" i="2" s="1"/>
  <c r="L222" i="1"/>
  <c r="V222" i="2" s="1"/>
  <c r="J223" i="1"/>
  <c r="R223" i="2" s="1"/>
  <c r="K223" i="1"/>
  <c r="T223" i="2" s="1"/>
  <c r="L223" i="1"/>
  <c r="V223" i="2" s="1"/>
  <c r="J224" i="1"/>
  <c r="R224" i="2" s="1"/>
  <c r="K224" i="1"/>
  <c r="T224" i="2" s="1"/>
  <c r="L224" i="1"/>
  <c r="V224" i="2" s="1"/>
  <c r="J225" i="1"/>
  <c r="R225" i="2" s="1"/>
  <c r="K225" i="1"/>
  <c r="T225" i="2" s="1"/>
  <c r="L225" i="1"/>
  <c r="V225" i="2" s="1"/>
  <c r="J226" i="1"/>
  <c r="R226" i="2" s="1"/>
  <c r="K226" i="1"/>
  <c r="T226" i="2" s="1"/>
  <c r="L226" i="1"/>
  <c r="V226" i="2" s="1"/>
  <c r="J227" i="1"/>
  <c r="R227" i="2" s="1"/>
  <c r="K227" i="1"/>
  <c r="T227" i="2" s="1"/>
  <c r="L227" i="1"/>
  <c r="V227" i="2" s="1"/>
  <c r="J228" i="1"/>
  <c r="R228" i="2" s="1"/>
  <c r="K228" i="1"/>
  <c r="T228" i="2" s="1"/>
  <c r="L228" i="1"/>
  <c r="V228" i="2" s="1"/>
  <c r="J229" i="1"/>
  <c r="R229" i="2" s="1"/>
  <c r="K229" i="1"/>
  <c r="T229" i="2" s="1"/>
  <c r="L229" i="1"/>
  <c r="V229" i="2" s="1"/>
  <c r="J230" i="1"/>
  <c r="R230" i="2" s="1"/>
  <c r="K230" i="1"/>
  <c r="T230" i="2" s="1"/>
  <c r="L230" i="1"/>
  <c r="V230" i="2" s="1"/>
  <c r="J231" i="1"/>
  <c r="R231" i="2" s="1"/>
  <c r="K231" i="1"/>
  <c r="T231" i="2" s="1"/>
  <c r="L231" i="1"/>
  <c r="V231" i="2" s="1"/>
  <c r="J232" i="1"/>
  <c r="R232" i="2" s="1"/>
  <c r="K232" i="1"/>
  <c r="T232" i="2" s="1"/>
  <c r="L232" i="1"/>
  <c r="V232" i="2" s="1"/>
  <c r="J233" i="1"/>
  <c r="R233" i="2" s="1"/>
  <c r="K233" i="1"/>
  <c r="T233" i="2" s="1"/>
  <c r="L233" i="1"/>
  <c r="V233" i="2" s="1"/>
  <c r="J234" i="1"/>
  <c r="R234" i="2" s="1"/>
  <c r="K234" i="1"/>
  <c r="T234" i="2" s="1"/>
  <c r="L234" i="1"/>
  <c r="V234" i="2" s="1"/>
  <c r="J235" i="1"/>
  <c r="R235" i="2" s="1"/>
  <c r="K235" i="1"/>
  <c r="T235" i="2" s="1"/>
  <c r="L235" i="1"/>
  <c r="V235" i="2" s="1"/>
  <c r="J236" i="1"/>
  <c r="R236" i="2" s="1"/>
  <c r="K236" i="1"/>
  <c r="T236" i="2" s="1"/>
  <c r="L236" i="1"/>
  <c r="V236" i="2" s="1"/>
  <c r="J237" i="1"/>
  <c r="R237" i="2" s="1"/>
  <c r="K237" i="1"/>
  <c r="T237" i="2" s="1"/>
  <c r="L237" i="1"/>
  <c r="V237" i="2" s="1"/>
  <c r="J238" i="1"/>
  <c r="R238" i="2" s="1"/>
  <c r="K238" i="1"/>
  <c r="T238" i="2" s="1"/>
  <c r="L238" i="1"/>
  <c r="V238" i="2" s="1"/>
  <c r="J239" i="1"/>
  <c r="R239" i="2" s="1"/>
  <c r="K239" i="1"/>
  <c r="T239" i="2" s="1"/>
  <c r="L239" i="1"/>
  <c r="V239" i="2" s="1"/>
  <c r="J240" i="1"/>
  <c r="R240" i="2" s="1"/>
  <c r="K240" i="1"/>
  <c r="T240" i="2" s="1"/>
  <c r="L240" i="1"/>
  <c r="V240" i="2" s="1"/>
  <c r="J241" i="1"/>
  <c r="R241" i="2" s="1"/>
  <c r="K241" i="1"/>
  <c r="T241" i="2" s="1"/>
  <c r="L241" i="1"/>
  <c r="V241" i="2" s="1"/>
  <c r="J242" i="1"/>
  <c r="R242" i="2" s="1"/>
  <c r="K242" i="1"/>
  <c r="T242" i="2" s="1"/>
  <c r="L242" i="1"/>
  <c r="V242" i="2" s="1"/>
  <c r="J243" i="1"/>
  <c r="R243" i="2" s="1"/>
  <c r="K243" i="1"/>
  <c r="T243" i="2" s="1"/>
  <c r="L243" i="1"/>
  <c r="V243" i="2" s="1"/>
  <c r="J244" i="1"/>
  <c r="R244" i="2" s="1"/>
  <c r="K244" i="1"/>
  <c r="T244" i="2" s="1"/>
  <c r="L244" i="1"/>
  <c r="V244" i="2" s="1"/>
  <c r="J245" i="1"/>
  <c r="R245" i="2" s="1"/>
  <c r="K245" i="1"/>
  <c r="T245" i="2" s="1"/>
  <c r="L245" i="1"/>
  <c r="V245" i="2" s="1"/>
  <c r="J246" i="1"/>
  <c r="R246" i="2" s="1"/>
  <c r="K246" i="1"/>
  <c r="T246" i="2" s="1"/>
  <c r="L246" i="1"/>
  <c r="V246" i="2" s="1"/>
  <c r="J247" i="1"/>
  <c r="R247" i="2" s="1"/>
  <c r="K247" i="1"/>
  <c r="T247" i="2" s="1"/>
  <c r="L247" i="1"/>
  <c r="V247" i="2" s="1"/>
  <c r="J248" i="1"/>
  <c r="R248" i="2" s="1"/>
  <c r="K248" i="1"/>
  <c r="T248" i="2" s="1"/>
  <c r="L248" i="1"/>
  <c r="V248" i="2" s="1"/>
  <c r="J249" i="1"/>
  <c r="R249" i="2" s="1"/>
  <c r="K249" i="1"/>
  <c r="T249" i="2" s="1"/>
  <c r="L249" i="1"/>
  <c r="V249" i="2" s="1"/>
  <c r="J250" i="1"/>
  <c r="R250" i="2" s="1"/>
  <c r="K250" i="1"/>
  <c r="T250" i="2" s="1"/>
  <c r="L250" i="1"/>
  <c r="V250" i="2" s="1"/>
  <c r="J251" i="1"/>
  <c r="R251" i="2" s="1"/>
  <c r="K251" i="1"/>
  <c r="T251" i="2" s="1"/>
  <c r="L251" i="1"/>
  <c r="V251" i="2" s="1"/>
  <c r="J252" i="1"/>
  <c r="R252" i="2" s="1"/>
  <c r="K252" i="1"/>
  <c r="T252" i="2" s="1"/>
  <c r="L252" i="1"/>
  <c r="V252" i="2" s="1"/>
  <c r="J253" i="1"/>
  <c r="R253" i="2" s="1"/>
  <c r="K253" i="1"/>
  <c r="T253" i="2" s="1"/>
  <c r="L253" i="1"/>
  <c r="V253" i="2" s="1"/>
  <c r="J254" i="1"/>
  <c r="R254" i="2" s="1"/>
  <c r="K254" i="1"/>
  <c r="T254" i="2" s="1"/>
  <c r="L254" i="1"/>
  <c r="V254" i="2" s="1"/>
  <c r="J255" i="1"/>
  <c r="R255" i="2" s="1"/>
  <c r="K255" i="1"/>
  <c r="T255" i="2" s="1"/>
  <c r="L255" i="1"/>
  <c r="V255" i="2" s="1"/>
  <c r="J256" i="1"/>
  <c r="R256" i="2" s="1"/>
  <c r="K256" i="1"/>
  <c r="T256" i="2" s="1"/>
  <c r="L256" i="1"/>
  <c r="V256" i="2" s="1"/>
  <c r="J257" i="1"/>
  <c r="R257" i="2" s="1"/>
  <c r="K257" i="1"/>
  <c r="T257" i="2" s="1"/>
  <c r="L257" i="1"/>
  <c r="V257" i="2" s="1"/>
  <c r="J258" i="1"/>
  <c r="R258" i="2" s="1"/>
  <c r="K258" i="1"/>
  <c r="T258" i="2" s="1"/>
  <c r="L258" i="1"/>
  <c r="V258" i="2" s="1"/>
  <c r="J259" i="1"/>
  <c r="R259" i="2" s="1"/>
  <c r="K259" i="1"/>
  <c r="T259" i="2" s="1"/>
  <c r="L259" i="1"/>
  <c r="V259" i="2" s="1"/>
  <c r="J260" i="1"/>
  <c r="R260" i="2" s="1"/>
  <c r="K260" i="1"/>
  <c r="T260" i="2" s="1"/>
  <c r="L260" i="1"/>
  <c r="V260" i="2" s="1"/>
  <c r="J261" i="1"/>
  <c r="R261" i="2" s="1"/>
  <c r="K261" i="1"/>
  <c r="T261" i="2" s="1"/>
  <c r="L261" i="1"/>
  <c r="V261" i="2" s="1"/>
  <c r="J262" i="1"/>
  <c r="R262" i="2" s="1"/>
  <c r="K262" i="1"/>
  <c r="T262" i="2" s="1"/>
  <c r="L262" i="1"/>
  <c r="V262" i="2" s="1"/>
  <c r="J263" i="1"/>
  <c r="R263" i="2" s="1"/>
  <c r="K263" i="1"/>
  <c r="T263" i="2" s="1"/>
  <c r="L263" i="1"/>
  <c r="V263" i="2" s="1"/>
  <c r="J264" i="1"/>
  <c r="R264" i="2" s="1"/>
  <c r="K264" i="1"/>
  <c r="T264" i="2" s="1"/>
  <c r="L264" i="1"/>
  <c r="V264" i="2" s="1"/>
  <c r="J265" i="1"/>
  <c r="R265" i="2" s="1"/>
  <c r="K265" i="1"/>
  <c r="T265" i="2" s="1"/>
  <c r="L265" i="1"/>
  <c r="V265" i="2" s="1"/>
  <c r="J266" i="1"/>
  <c r="R266" i="2" s="1"/>
  <c r="K266" i="1"/>
  <c r="T266" i="2" s="1"/>
  <c r="L266" i="1"/>
  <c r="V266" i="2" s="1"/>
  <c r="J267" i="1"/>
  <c r="R267" i="2" s="1"/>
  <c r="K267" i="1"/>
  <c r="T267" i="2" s="1"/>
  <c r="L267" i="1"/>
  <c r="V267" i="2" s="1"/>
  <c r="J268" i="1"/>
  <c r="R268" i="2" s="1"/>
  <c r="K268" i="1"/>
  <c r="T268" i="2" s="1"/>
  <c r="L268" i="1"/>
  <c r="V268" i="2" s="1"/>
  <c r="J269" i="1"/>
  <c r="R269" i="2" s="1"/>
  <c r="K269" i="1"/>
  <c r="T269" i="2" s="1"/>
  <c r="L269" i="1"/>
  <c r="V269" i="2" s="1"/>
  <c r="J270" i="1"/>
  <c r="R270" i="2" s="1"/>
  <c r="K270" i="1"/>
  <c r="T270" i="2" s="1"/>
  <c r="L270" i="1"/>
  <c r="V270" i="2" s="1"/>
  <c r="J271" i="1"/>
  <c r="R271" i="2" s="1"/>
  <c r="K271" i="1"/>
  <c r="T271" i="2" s="1"/>
  <c r="L271" i="1"/>
  <c r="V271" i="2" s="1"/>
  <c r="J272" i="1"/>
  <c r="R272" i="2" s="1"/>
  <c r="K272" i="1"/>
  <c r="T272" i="2" s="1"/>
  <c r="L272" i="1"/>
  <c r="V272" i="2" s="1"/>
  <c r="J273" i="1"/>
  <c r="R273" i="2" s="1"/>
  <c r="K273" i="1"/>
  <c r="T273" i="2" s="1"/>
  <c r="L273" i="1"/>
  <c r="V273" i="2" s="1"/>
  <c r="J274" i="1"/>
  <c r="R274" i="2" s="1"/>
  <c r="K274" i="1"/>
  <c r="T274" i="2" s="1"/>
  <c r="L274" i="1"/>
  <c r="V274" i="2" s="1"/>
  <c r="J275" i="1"/>
  <c r="R275" i="2" s="1"/>
  <c r="K275" i="1"/>
  <c r="T275" i="2" s="1"/>
  <c r="L275" i="1"/>
  <c r="V275" i="2" s="1"/>
  <c r="J276" i="1"/>
  <c r="R276" i="2" s="1"/>
  <c r="K276" i="1"/>
  <c r="T276" i="2" s="1"/>
  <c r="L276" i="1"/>
  <c r="V276" i="2" s="1"/>
  <c r="J277" i="1"/>
  <c r="R277" i="2" s="1"/>
  <c r="K277" i="1"/>
  <c r="T277" i="2" s="1"/>
  <c r="L277" i="1"/>
  <c r="V277" i="2" s="1"/>
  <c r="J278" i="1"/>
  <c r="R278" i="2" s="1"/>
  <c r="K278" i="1"/>
  <c r="T278" i="2" s="1"/>
  <c r="L278" i="1"/>
  <c r="V278" i="2" s="1"/>
  <c r="J279" i="1"/>
  <c r="R279" i="2" s="1"/>
  <c r="K279" i="1"/>
  <c r="T279" i="2" s="1"/>
  <c r="L279" i="1"/>
  <c r="V279" i="2" s="1"/>
  <c r="J280" i="1"/>
  <c r="R280" i="2" s="1"/>
  <c r="K280" i="1"/>
  <c r="T280" i="2" s="1"/>
  <c r="L280" i="1"/>
  <c r="V280" i="2" s="1"/>
  <c r="J281" i="1"/>
  <c r="R281" i="2" s="1"/>
  <c r="K281" i="1"/>
  <c r="T281" i="2" s="1"/>
  <c r="L281" i="1"/>
  <c r="V281" i="2" s="1"/>
  <c r="J282" i="1"/>
  <c r="R282" i="2" s="1"/>
  <c r="K282" i="1"/>
  <c r="T282" i="2" s="1"/>
  <c r="L282" i="1"/>
  <c r="V282" i="2" s="1"/>
  <c r="J283" i="1"/>
  <c r="R283" i="2" s="1"/>
  <c r="K283" i="1"/>
  <c r="T283" i="2" s="1"/>
  <c r="L283" i="1"/>
  <c r="V283" i="2" s="1"/>
  <c r="J284" i="1"/>
  <c r="R284" i="2" s="1"/>
  <c r="K284" i="1"/>
  <c r="T284" i="2" s="1"/>
  <c r="L284" i="1"/>
  <c r="V284" i="2" s="1"/>
  <c r="J285" i="1"/>
  <c r="R285" i="2" s="1"/>
  <c r="K285" i="1"/>
  <c r="T285" i="2" s="1"/>
  <c r="L285" i="1"/>
  <c r="V285" i="2" s="1"/>
  <c r="J286" i="1"/>
  <c r="R286" i="2" s="1"/>
  <c r="K286" i="1"/>
  <c r="T286" i="2" s="1"/>
  <c r="L286" i="1"/>
  <c r="V286" i="2" s="1"/>
  <c r="J287" i="1"/>
  <c r="R287" i="2" s="1"/>
  <c r="K287" i="1"/>
  <c r="T287" i="2" s="1"/>
  <c r="L287" i="1"/>
  <c r="V287" i="2" s="1"/>
  <c r="J288" i="1"/>
  <c r="R288" i="2" s="1"/>
  <c r="K288" i="1"/>
  <c r="T288" i="2" s="1"/>
  <c r="L288" i="1"/>
  <c r="V288" i="2" s="1"/>
  <c r="J289" i="1"/>
  <c r="R289" i="2" s="1"/>
  <c r="K289" i="1"/>
  <c r="T289" i="2" s="1"/>
  <c r="L289" i="1"/>
  <c r="V289" i="2" s="1"/>
  <c r="J290" i="1"/>
  <c r="R290" i="2" s="1"/>
  <c r="K290" i="1"/>
  <c r="T290" i="2" s="1"/>
  <c r="L290" i="1"/>
  <c r="V290" i="2" s="1"/>
  <c r="J291" i="1"/>
  <c r="R291" i="2" s="1"/>
  <c r="K291" i="1"/>
  <c r="T291" i="2" s="1"/>
  <c r="L291" i="1"/>
  <c r="V291" i="2" s="1"/>
  <c r="J292" i="1"/>
  <c r="R292" i="2" s="1"/>
  <c r="K292" i="1"/>
  <c r="T292" i="2" s="1"/>
  <c r="L292" i="1"/>
  <c r="V292" i="2" s="1"/>
  <c r="J293" i="1"/>
  <c r="R293" i="2" s="1"/>
  <c r="K293" i="1"/>
  <c r="T293" i="2" s="1"/>
  <c r="L293" i="1"/>
  <c r="V293" i="2" s="1"/>
  <c r="J294" i="1"/>
  <c r="R294" i="2" s="1"/>
  <c r="K294" i="1"/>
  <c r="T294" i="2" s="1"/>
  <c r="L294" i="1"/>
  <c r="V294" i="2" s="1"/>
  <c r="J295" i="1"/>
  <c r="R295" i="2" s="1"/>
  <c r="K295" i="1"/>
  <c r="T295" i="2" s="1"/>
  <c r="L295" i="1"/>
  <c r="V295" i="2" s="1"/>
  <c r="J296" i="1"/>
  <c r="R296" i="2" s="1"/>
  <c r="K296" i="1"/>
  <c r="T296" i="2" s="1"/>
  <c r="L296" i="1"/>
  <c r="V296" i="2" s="1"/>
  <c r="J297" i="1"/>
  <c r="R297" i="2" s="1"/>
  <c r="K297" i="1"/>
  <c r="T297" i="2" s="1"/>
  <c r="L297" i="1"/>
  <c r="V297" i="2" s="1"/>
  <c r="J298" i="1"/>
  <c r="R298" i="2" s="1"/>
  <c r="K298" i="1"/>
  <c r="T298" i="2" s="1"/>
  <c r="L298" i="1"/>
  <c r="V298" i="2" s="1"/>
  <c r="J299" i="1"/>
  <c r="R299" i="2" s="1"/>
  <c r="K299" i="1"/>
  <c r="T299" i="2" s="1"/>
  <c r="L299" i="1"/>
  <c r="V299" i="2" s="1"/>
  <c r="J300" i="1"/>
  <c r="R300" i="2" s="1"/>
  <c r="K300" i="1"/>
  <c r="T300" i="2" s="1"/>
  <c r="L300" i="1"/>
  <c r="V300" i="2" s="1"/>
  <c r="J301" i="1"/>
  <c r="R301" i="2" s="1"/>
  <c r="K301" i="1"/>
  <c r="T301" i="2" s="1"/>
  <c r="L301" i="1"/>
  <c r="V301" i="2" s="1"/>
  <c r="J302" i="1"/>
  <c r="R302" i="2" s="1"/>
  <c r="K302" i="1"/>
  <c r="T302" i="2" s="1"/>
  <c r="L302" i="1"/>
  <c r="V302" i="2" s="1"/>
  <c r="J303" i="1"/>
  <c r="R303" i="2" s="1"/>
  <c r="K303" i="1"/>
  <c r="T303" i="2" s="1"/>
  <c r="L303" i="1"/>
  <c r="V303" i="2" s="1"/>
  <c r="J304" i="1"/>
  <c r="R304" i="2" s="1"/>
  <c r="K304" i="1"/>
  <c r="T304" i="2" s="1"/>
  <c r="L304" i="1"/>
  <c r="V304" i="2" s="1"/>
  <c r="J305" i="1"/>
  <c r="R305" i="2" s="1"/>
  <c r="K305" i="1"/>
  <c r="T305" i="2" s="1"/>
  <c r="L305" i="1"/>
  <c r="V305" i="2" s="1"/>
  <c r="J306" i="1"/>
  <c r="R306" i="2" s="1"/>
  <c r="K306" i="1"/>
  <c r="T306" i="2" s="1"/>
  <c r="L306" i="1"/>
  <c r="V306" i="2" s="1"/>
  <c r="J307" i="1"/>
  <c r="R307" i="2" s="1"/>
  <c r="K307" i="1"/>
  <c r="T307" i="2" s="1"/>
  <c r="L307" i="1"/>
  <c r="V307" i="2" s="1"/>
  <c r="J308" i="1"/>
  <c r="R308" i="2" s="1"/>
  <c r="K308" i="1"/>
  <c r="T308" i="2" s="1"/>
  <c r="L308" i="1"/>
  <c r="V308" i="2" s="1"/>
  <c r="J309" i="1"/>
  <c r="R309" i="2" s="1"/>
  <c r="K309" i="1"/>
  <c r="T309" i="2" s="1"/>
  <c r="L309" i="1"/>
  <c r="V309" i="2" s="1"/>
  <c r="J310" i="1"/>
  <c r="R310" i="2" s="1"/>
  <c r="K310" i="1"/>
  <c r="T310" i="2" s="1"/>
  <c r="L310" i="1"/>
  <c r="V310" i="2" s="1"/>
  <c r="J311" i="1"/>
  <c r="R311" i="2" s="1"/>
  <c r="K311" i="1"/>
  <c r="T311" i="2" s="1"/>
  <c r="L311" i="1"/>
  <c r="V311" i="2" s="1"/>
  <c r="J312" i="1"/>
  <c r="R312" i="2" s="1"/>
  <c r="K312" i="1"/>
  <c r="T312" i="2" s="1"/>
  <c r="L312" i="1"/>
  <c r="V312" i="2" s="1"/>
  <c r="J313" i="1"/>
  <c r="R313" i="2" s="1"/>
  <c r="K313" i="1"/>
  <c r="T313" i="2" s="1"/>
  <c r="L313" i="1"/>
  <c r="V313" i="2" s="1"/>
  <c r="J314" i="1"/>
  <c r="R314" i="2" s="1"/>
  <c r="K314" i="1"/>
  <c r="T314" i="2" s="1"/>
  <c r="L314" i="1"/>
  <c r="V314" i="2" s="1"/>
  <c r="J315" i="1"/>
  <c r="R315" i="2" s="1"/>
  <c r="K315" i="1"/>
  <c r="T315" i="2" s="1"/>
  <c r="L315" i="1"/>
  <c r="V315" i="2" s="1"/>
  <c r="J316" i="1"/>
  <c r="R316" i="2" s="1"/>
  <c r="K316" i="1"/>
  <c r="T316" i="2" s="1"/>
  <c r="L316" i="1"/>
  <c r="V316" i="2" s="1"/>
  <c r="J317" i="1"/>
  <c r="R317" i="2" s="1"/>
  <c r="K317" i="1"/>
  <c r="T317" i="2" s="1"/>
  <c r="L317" i="1"/>
  <c r="V317" i="2" s="1"/>
  <c r="J318" i="1"/>
  <c r="R318" i="2" s="1"/>
  <c r="K318" i="1"/>
  <c r="T318" i="2" s="1"/>
  <c r="L318" i="1"/>
  <c r="V318" i="2" s="1"/>
  <c r="J319" i="1"/>
  <c r="R319" i="2" s="1"/>
  <c r="K319" i="1"/>
  <c r="T319" i="2" s="1"/>
  <c r="L319" i="1"/>
  <c r="V319" i="2" s="1"/>
  <c r="J320" i="1"/>
  <c r="R320" i="2" s="1"/>
  <c r="K320" i="1"/>
  <c r="T320" i="2" s="1"/>
  <c r="L320" i="1"/>
  <c r="V320" i="2" s="1"/>
  <c r="J321" i="1"/>
  <c r="R321" i="2" s="1"/>
  <c r="K321" i="1"/>
  <c r="T321" i="2" s="1"/>
  <c r="L321" i="1"/>
  <c r="V321" i="2" s="1"/>
  <c r="J322" i="1"/>
  <c r="R322" i="2" s="1"/>
  <c r="K322" i="1"/>
  <c r="T322" i="2" s="1"/>
  <c r="L322" i="1"/>
  <c r="V322" i="2" s="1"/>
  <c r="J323" i="1"/>
  <c r="R323" i="2" s="1"/>
  <c r="K323" i="1"/>
  <c r="T323" i="2" s="1"/>
  <c r="L323" i="1"/>
  <c r="V323" i="2" s="1"/>
  <c r="J324" i="1"/>
  <c r="R324" i="2" s="1"/>
  <c r="K324" i="1"/>
  <c r="T324" i="2" s="1"/>
  <c r="L324" i="1"/>
  <c r="V324" i="2" s="1"/>
  <c r="J325" i="1"/>
  <c r="R325" i="2" s="1"/>
  <c r="K325" i="1"/>
  <c r="T325" i="2" s="1"/>
  <c r="L325" i="1"/>
  <c r="V325" i="2" s="1"/>
  <c r="J326" i="1"/>
  <c r="R326" i="2" s="1"/>
  <c r="K326" i="1"/>
  <c r="T326" i="2" s="1"/>
  <c r="L326" i="1"/>
  <c r="V326" i="2" s="1"/>
  <c r="J327" i="1"/>
  <c r="R327" i="2" s="1"/>
  <c r="K327" i="1"/>
  <c r="T327" i="2" s="1"/>
  <c r="L327" i="1"/>
  <c r="V327" i="2" s="1"/>
  <c r="J328" i="1"/>
  <c r="R328" i="2" s="1"/>
  <c r="K328" i="1"/>
  <c r="T328" i="2" s="1"/>
  <c r="L328" i="1"/>
  <c r="V328" i="2" s="1"/>
  <c r="J329" i="1"/>
  <c r="R329" i="2" s="1"/>
  <c r="K329" i="1"/>
  <c r="T329" i="2" s="1"/>
  <c r="L329" i="1"/>
  <c r="V329" i="2" s="1"/>
  <c r="J330" i="1"/>
  <c r="R330" i="2" s="1"/>
  <c r="K330" i="1"/>
  <c r="T330" i="2" s="1"/>
  <c r="L330" i="1"/>
  <c r="V330" i="2" s="1"/>
  <c r="J331" i="1"/>
  <c r="R331" i="2" s="1"/>
  <c r="K331" i="1"/>
  <c r="T331" i="2" s="1"/>
  <c r="L331" i="1"/>
  <c r="V331" i="2" s="1"/>
  <c r="J332" i="1"/>
  <c r="R332" i="2" s="1"/>
  <c r="K332" i="1"/>
  <c r="T332" i="2" s="1"/>
  <c r="L332" i="1"/>
  <c r="V332" i="2" s="1"/>
  <c r="J333" i="1"/>
  <c r="R333" i="2" s="1"/>
  <c r="K333" i="1"/>
  <c r="T333" i="2" s="1"/>
  <c r="L333" i="1"/>
  <c r="V333" i="2" s="1"/>
  <c r="J334" i="1"/>
  <c r="R334" i="2" s="1"/>
  <c r="K334" i="1"/>
  <c r="T334" i="2" s="1"/>
  <c r="L334" i="1"/>
  <c r="V334" i="2" s="1"/>
  <c r="J335" i="1"/>
  <c r="R335" i="2" s="1"/>
  <c r="K335" i="1"/>
  <c r="T335" i="2" s="1"/>
  <c r="L335" i="1"/>
  <c r="V335" i="2" s="1"/>
  <c r="J336" i="1"/>
  <c r="R336" i="2" s="1"/>
  <c r="K336" i="1"/>
  <c r="T336" i="2" s="1"/>
  <c r="L336" i="1"/>
  <c r="V336" i="2" s="1"/>
  <c r="J337" i="1"/>
  <c r="R337" i="2" s="1"/>
  <c r="K337" i="1"/>
  <c r="T337" i="2" s="1"/>
  <c r="L337" i="1"/>
  <c r="V337" i="2" s="1"/>
  <c r="J338" i="1"/>
  <c r="R338" i="2" s="1"/>
  <c r="K338" i="1"/>
  <c r="T338" i="2" s="1"/>
  <c r="L338" i="1"/>
  <c r="V338" i="2" s="1"/>
  <c r="J339" i="1"/>
  <c r="R339" i="2" s="1"/>
  <c r="K339" i="1"/>
  <c r="T339" i="2" s="1"/>
  <c r="L339" i="1"/>
  <c r="V339" i="2" s="1"/>
  <c r="J340" i="1"/>
  <c r="R340" i="2" s="1"/>
  <c r="K340" i="1"/>
  <c r="T340" i="2" s="1"/>
  <c r="L340" i="1"/>
  <c r="V340" i="2" s="1"/>
  <c r="J341" i="1"/>
  <c r="R341" i="2" s="1"/>
  <c r="K341" i="1"/>
  <c r="T341" i="2" s="1"/>
  <c r="L341" i="1"/>
  <c r="V341" i="2" s="1"/>
  <c r="J342" i="1"/>
  <c r="R342" i="2" s="1"/>
  <c r="K342" i="1"/>
  <c r="T342" i="2" s="1"/>
  <c r="L342" i="1"/>
  <c r="V342" i="2" s="1"/>
  <c r="J343" i="1"/>
  <c r="R343" i="2" s="1"/>
  <c r="K343" i="1"/>
  <c r="T343" i="2" s="1"/>
  <c r="L343" i="1"/>
  <c r="V343" i="2" s="1"/>
  <c r="J344" i="1"/>
  <c r="R344" i="2" s="1"/>
  <c r="K344" i="1"/>
  <c r="T344" i="2" s="1"/>
  <c r="L344" i="1"/>
  <c r="V344" i="2" s="1"/>
  <c r="J345" i="1"/>
  <c r="R345" i="2" s="1"/>
  <c r="K345" i="1"/>
  <c r="T345" i="2" s="1"/>
  <c r="L345" i="1"/>
  <c r="V345" i="2" s="1"/>
  <c r="J346" i="1"/>
  <c r="R346" i="2" s="1"/>
  <c r="K346" i="1"/>
  <c r="T346" i="2" s="1"/>
  <c r="L346" i="1"/>
  <c r="V346" i="2" s="1"/>
  <c r="J347" i="1"/>
  <c r="R347" i="2" s="1"/>
  <c r="K347" i="1"/>
  <c r="T347" i="2" s="1"/>
  <c r="L347" i="1"/>
  <c r="V347" i="2" s="1"/>
  <c r="J348" i="1"/>
  <c r="R348" i="2" s="1"/>
  <c r="K348" i="1"/>
  <c r="T348" i="2" s="1"/>
  <c r="L348" i="1"/>
  <c r="V348" i="2" s="1"/>
  <c r="J349" i="1"/>
  <c r="R349" i="2" s="1"/>
  <c r="K349" i="1"/>
  <c r="T349" i="2" s="1"/>
  <c r="L349" i="1"/>
  <c r="V349" i="2" s="1"/>
  <c r="J350" i="1"/>
  <c r="R350" i="2" s="1"/>
  <c r="K350" i="1"/>
  <c r="T350" i="2" s="1"/>
  <c r="L350" i="1"/>
  <c r="V350" i="2" s="1"/>
  <c r="J351" i="1"/>
  <c r="R351" i="2" s="1"/>
  <c r="K351" i="1"/>
  <c r="T351" i="2" s="1"/>
  <c r="L351" i="1"/>
  <c r="V351" i="2" s="1"/>
  <c r="J352" i="1"/>
  <c r="R352" i="2" s="1"/>
  <c r="K352" i="1"/>
  <c r="T352" i="2" s="1"/>
  <c r="L352" i="1"/>
  <c r="V352" i="2" s="1"/>
  <c r="J353" i="1"/>
  <c r="R353" i="2" s="1"/>
  <c r="K353" i="1"/>
  <c r="T353" i="2" s="1"/>
  <c r="L353" i="1"/>
  <c r="V353" i="2" s="1"/>
  <c r="J354" i="1"/>
  <c r="R354" i="2" s="1"/>
  <c r="K354" i="1"/>
  <c r="T354" i="2" s="1"/>
  <c r="L354" i="1"/>
  <c r="V354" i="2" s="1"/>
  <c r="J355" i="1"/>
  <c r="R355" i="2" s="1"/>
  <c r="K355" i="1"/>
  <c r="T355" i="2" s="1"/>
  <c r="L355" i="1"/>
  <c r="V355" i="2" s="1"/>
  <c r="J356" i="1"/>
  <c r="R356" i="2" s="1"/>
  <c r="K356" i="1"/>
  <c r="T356" i="2" s="1"/>
  <c r="L356" i="1"/>
  <c r="V356" i="2" s="1"/>
  <c r="J357" i="1"/>
  <c r="R357" i="2" s="1"/>
  <c r="K357" i="1"/>
  <c r="T357" i="2" s="1"/>
  <c r="L357" i="1"/>
  <c r="V357" i="2" s="1"/>
  <c r="J358" i="1"/>
  <c r="R358" i="2" s="1"/>
  <c r="K358" i="1"/>
  <c r="T358" i="2" s="1"/>
  <c r="L358" i="1"/>
  <c r="V358" i="2" s="1"/>
  <c r="J359" i="1"/>
  <c r="R359" i="2" s="1"/>
  <c r="K359" i="1"/>
  <c r="T359" i="2" s="1"/>
  <c r="L359" i="1"/>
  <c r="V359" i="2" s="1"/>
  <c r="J360" i="1"/>
  <c r="R360" i="2" s="1"/>
  <c r="K360" i="1"/>
  <c r="T360" i="2" s="1"/>
  <c r="L360" i="1"/>
  <c r="V360" i="2" s="1"/>
  <c r="J361" i="1"/>
  <c r="R361" i="2" s="1"/>
  <c r="K361" i="1"/>
  <c r="T361" i="2" s="1"/>
  <c r="L361" i="1"/>
  <c r="V361" i="2" s="1"/>
  <c r="J362" i="1"/>
  <c r="R362" i="2" s="1"/>
  <c r="K362" i="1"/>
  <c r="T362" i="2" s="1"/>
  <c r="L362" i="1"/>
  <c r="V362" i="2" s="1"/>
  <c r="J363" i="1"/>
  <c r="R363" i="2" s="1"/>
  <c r="K363" i="1"/>
  <c r="T363" i="2" s="1"/>
  <c r="L363" i="1"/>
  <c r="V363" i="2" s="1"/>
  <c r="J364" i="1"/>
  <c r="R364" i="2" s="1"/>
  <c r="K364" i="1"/>
  <c r="T364" i="2" s="1"/>
  <c r="L364" i="1"/>
  <c r="V364" i="2" s="1"/>
  <c r="J365" i="1"/>
  <c r="R365" i="2" s="1"/>
  <c r="K365" i="1"/>
  <c r="T365" i="2" s="1"/>
  <c r="L365" i="1"/>
  <c r="V365" i="2" s="1"/>
  <c r="J366" i="1"/>
  <c r="R366" i="2" s="1"/>
  <c r="K366" i="1"/>
  <c r="T366" i="2" s="1"/>
  <c r="L366" i="1"/>
  <c r="V366" i="2" s="1"/>
  <c r="J367" i="1"/>
  <c r="R367" i="2" s="1"/>
  <c r="K367" i="1"/>
  <c r="T367" i="2" s="1"/>
  <c r="L367" i="1"/>
  <c r="V367" i="2" s="1"/>
  <c r="J368" i="1"/>
  <c r="R368" i="2" s="1"/>
  <c r="K368" i="1"/>
  <c r="T368" i="2" s="1"/>
  <c r="L368" i="1"/>
  <c r="V368" i="2" s="1"/>
  <c r="J369" i="1"/>
  <c r="R369" i="2" s="1"/>
  <c r="K369" i="1"/>
  <c r="T369" i="2" s="1"/>
  <c r="L369" i="1"/>
  <c r="V369" i="2" s="1"/>
  <c r="J370" i="1"/>
  <c r="R370" i="2" s="1"/>
  <c r="K370" i="1"/>
  <c r="T370" i="2" s="1"/>
  <c r="L370" i="1"/>
  <c r="V370" i="2" s="1"/>
  <c r="E177" i="1"/>
  <c r="F177" i="1"/>
  <c r="G177" i="1"/>
  <c r="L177" i="2" s="1"/>
  <c r="H177" i="1"/>
  <c r="N177" i="2" s="1"/>
  <c r="I177" i="1"/>
  <c r="P177" i="2" s="1"/>
  <c r="E178" i="1"/>
  <c r="F178" i="1"/>
  <c r="G178" i="1"/>
  <c r="L178" i="2" s="1"/>
  <c r="H178" i="1"/>
  <c r="N178" i="2" s="1"/>
  <c r="I178" i="1"/>
  <c r="P178" i="2" s="1"/>
  <c r="E179" i="1"/>
  <c r="F179" i="1"/>
  <c r="G179" i="1"/>
  <c r="L179" i="2" s="1"/>
  <c r="H179" i="1"/>
  <c r="N179" i="2" s="1"/>
  <c r="I179" i="1"/>
  <c r="P179" i="2" s="1"/>
  <c r="E180" i="1"/>
  <c r="F180" i="1"/>
  <c r="G180" i="1"/>
  <c r="L180" i="2" s="1"/>
  <c r="H180" i="1"/>
  <c r="N180" i="2" s="1"/>
  <c r="I180" i="1"/>
  <c r="P180" i="2" s="1"/>
  <c r="E181" i="1"/>
  <c r="F181" i="1"/>
  <c r="G181" i="1"/>
  <c r="L181" i="2" s="1"/>
  <c r="H181" i="1"/>
  <c r="N181" i="2" s="1"/>
  <c r="I181" i="1"/>
  <c r="P181" i="2" s="1"/>
  <c r="E182" i="1"/>
  <c r="F182" i="1"/>
  <c r="G182" i="1"/>
  <c r="L182" i="2" s="1"/>
  <c r="H182" i="1"/>
  <c r="N182" i="2" s="1"/>
  <c r="I182" i="1"/>
  <c r="P182" i="2" s="1"/>
  <c r="E183" i="1"/>
  <c r="F183" i="1"/>
  <c r="G183" i="1"/>
  <c r="L183" i="2" s="1"/>
  <c r="H183" i="1"/>
  <c r="N183" i="2" s="1"/>
  <c r="I183" i="1"/>
  <c r="P183" i="2" s="1"/>
  <c r="E184" i="1"/>
  <c r="F184" i="1"/>
  <c r="G184" i="1"/>
  <c r="L184" i="2" s="1"/>
  <c r="H184" i="1"/>
  <c r="N184" i="2" s="1"/>
  <c r="I184" i="1"/>
  <c r="P184" i="2" s="1"/>
  <c r="E185" i="1"/>
  <c r="F185" i="1"/>
  <c r="G185" i="1"/>
  <c r="L185" i="2" s="1"/>
  <c r="H185" i="1"/>
  <c r="N185" i="2" s="1"/>
  <c r="I185" i="1"/>
  <c r="P185" i="2" s="1"/>
  <c r="E186" i="1"/>
  <c r="F186" i="1"/>
  <c r="G186" i="1"/>
  <c r="L186" i="2" s="1"/>
  <c r="H186" i="1"/>
  <c r="N186" i="2" s="1"/>
  <c r="I186" i="1"/>
  <c r="P186" i="2" s="1"/>
  <c r="E187" i="1"/>
  <c r="F187" i="1"/>
  <c r="G187" i="1"/>
  <c r="L187" i="2" s="1"/>
  <c r="H187" i="1"/>
  <c r="N187" i="2" s="1"/>
  <c r="I187" i="1"/>
  <c r="P187" i="2" s="1"/>
  <c r="E188" i="1"/>
  <c r="F188" i="1"/>
  <c r="G188" i="1"/>
  <c r="L188" i="2" s="1"/>
  <c r="H188" i="1"/>
  <c r="N188" i="2" s="1"/>
  <c r="I188" i="1"/>
  <c r="P188" i="2" s="1"/>
  <c r="E189" i="1"/>
  <c r="F189" i="1"/>
  <c r="G189" i="1"/>
  <c r="L189" i="2" s="1"/>
  <c r="H189" i="1"/>
  <c r="N189" i="2" s="1"/>
  <c r="I189" i="1"/>
  <c r="P189" i="2" s="1"/>
  <c r="E190" i="1"/>
  <c r="F190" i="1"/>
  <c r="G190" i="1"/>
  <c r="L190" i="2" s="1"/>
  <c r="H190" i="1"/>
  <c r="N190" i="2" s="1"/>
  <c r="I190" i="1"/>
  <c r="P190" i="2" s="1"/>
  <c r="E191" i="1"/>
  <c r="F191" i="1"/>
  <c r="G191" i="1"/>
  <c r="L191" i="2" s="1"/>
  <c r="H191" i="1"/>
  <c r="N191" i="2" s="1"/>
  <c r="I191" i="1"/>
  <c r="P191" i="2" s="1"/>
  <c r="E192" i="1"/>
  <c r="F192" i="1"/>
  <c r="G192" i="1"/>
  <c r="L192" i="2" s="1"/>
  <c r="H192" i="1"/>
  <c r="N192" i="2" s="1"/>
  <c r="I192" i="1"/>
  <c r="P192" i="2" s="1"/>
  <c r="E193" i="1"/>
  <c r="F193" i="1"/>
  <c r="G193" i="1"/>
  <c r="L193" i="2" s="1"/>
  <c r="H193" i="1"/>
  <c r="N193" i="2" s="1"/>
  <c r="I193" i="1"/>
  <c r="P193" i="2" s="1"/>
  <c r="E194" i="1"/>
  <c r="F194" i="1"/>
  <c r="G194" i="1"/>
  <c r="L194" i="2" s="1"/>
  <c r="H194" i="1"/>
  <c r="N194" i="2" s="1"/>
  <c r="I194" i="1"/>
  <c r="P194" i="2" s="1"/>
  <c r="E195" i="1"/>
  <c r="F195" i="1"/>
  <c r="G195" i="1"/>
  <c r="L195" i="2" s="1"/>
  <c r="H195" i="1"/>
  <c r="N195" i="2" s="1"/>
  <c r="I195" i="1"/>
  <c r="P195" i="2" s="1"/>
  <c r="E196" i="1"/>
  <c r="F196" i="1"/>
  <c r="G196" i="1"/>
  <c r="L196" i="2" s="1"/>
  <c r="H196" i="1"/>
  <c r="N196" i="2" s="1"/>
  <c r="I196" i="1"/>
  <c r="P196" i="2" s="1"/>
  <c r="E197" i="1"/>
  <c r="F197" i="1"/>
  <c r="G197" i="1"/>
  <c r="L197" i="2" s="1"/>
  <c r="H197" i="1"/>
  <c r="N197" i="2" s="1"/>
  <c r="I197" i="1"/>
  <c r="P197" i="2" s="1"/>
  <c r="E198" i="1"/>
  <c r="F198" i="1"/>
  <c r="G198" i="1"/>
  <c r="L198" i="2" s="1"/>
  <c r="H198" i="1"/>
  <c r="N198" i="2" s="1"/>
  <c r="I198" i="1"/>
  <c r="P198" i="2" s="1"/>
  <c r="E199" i="1"/>
  <c r="F199" i="1"/>
  <c r="G199" i="1"/>
  <c r="L199" i="2" s="1"/>
  <c r="H199" i="1"/>
  <c r="N199" i="2" s="1"/>
  <c r="I199" i="1"/>
  <c r="P199" i="2" s="1"/>
  <c r="E200" i="1"/>
  <c r="F200" i="1"/>
  <c r="G200" i="1"/>
  <c r="L200" i="2" s="1"/>
  <c r="H200" i="1"/>
  <c r="N200" i="2" s="1"/>
  <c r="I200" i="1"/>
  <c r="P200" i="2" s="1"/>
  <c r="E201" i="1"/>
  <c r="F201" i="1"/>
  <c r="G201" i="1"/>
  <c r="L201" i="2" s="1"/>
  <c r="H201" i="1"/>
  <c r="N201" i="2" s="1"/>
  <c r="I201" i="1"/>
  <c r="P201" i="2" s="1"/>
  <c r="E202" i="1"/>
  <c r="F202" i="1"/>
  <c r="G202" i="1"/>
  <c r="L202" i="2" s="1"/>
  <c r="H202" i="1"/>
  <c r="N202" i="2" s="1"/>
  <c r="I202" i="1"/>
  <c r="P202" i="2" s="1"/>
  <c r="E203" i="1"/>
  <c r="F203" i="1"/>
  <c r="G203" i="1"/>
  <c r="L203" i="2" s="1"/>
  <c r="H203" i="1"/>
  <c r="N203" i="2" s="1"/>
  <c r="I203" i="1"/>
  <c r="P203" i="2" s="1"/>
  <c r="E204" i="1"/>
  <c r="F204" i="1"/>
  <c r="G204" i="1"/>
  <c r="L204" i="2" s="1"/>
  <c r="H204" i="1"/>
  <c r="N204" i="2" s="1"/>
  <c r="I204" i="1"/>
  <c r="P204" i="2" s="1"/>
  <c r="E205" i="1"/>
  <c r="F205" i="1"/>
  <c r="G205" i="1"/>
  <c r="L205" i="2" s="1"/>
  <c r="H205" i="1"/>
  <c r="N205" i="2" s="1"/>
  <c r="I205" i="1"/>
  <c r="P205" i="2" s="1"/>
  <c r="E206" i="1"/>
  <c r="F206" i="1"/>
  <c r="G206" i="1"/>
  <c r="L206" i="2" s="1"/>
  <c r="H206" i="1"/>
  <c r="N206" i="2" s="1"/>
  <c r="I206" i="1"/>
  <c r="P206" i="2" s="1"/>
  <c r="E207" i="1"/>
  <c r="F207" i="1"/>
  <c r="G207" i="1"/>
  <c r="L207" i="2" s="1"/>
  <c r="H207" i="1"/>
  <c r="N207" i="2" s="1"/>
  <c r="I207" i="1"/>
  <c r="P207" i="2" s="1"/>
  <c r="E208" i="1"/>
  <c r="F208" i="1"/>
  <c r="G208" i="1"/>
  <c r="L208" i="2" s="1"/>
  <c r="H208" i="1"/>
  <c r="N208" i="2" s="1"/>
  <c r="I208" i="1"/>
  <c r="P208" i="2" s="1"/>
  <c r="E209" i="1"/>
  <c r="F209" i="1"/>
  <c r="G209" i="1"/>
  <c r="L209" i="2" s="1"/>
  <c r="H209" i="1"/>
  <c r="N209" i="2" s="1"/>
  <c r="I209" i="1"/>
  <c r="P209" i="2" s="1"/>
  <c r="E210" i="1"/>
  <c r="F210" i="1"/>
  <c r="G210" i="1"/>
  <c r="L210" i="2" s="1"/>
  <c r="H210" i="1"/>
  <c r="N210" i="2" s="1"/>
  <c r="I210" i="1"/>
  <c r="P210" i="2" s="1"/>
  <c r="E211" i="1"/>
  <c r="F211" i="1"/>
  <c r="G211" i="1"/>
  <c r="L211" i="2" s="1"/>
  <c r="H211" i="1"/>
  <c r="N211" i="2" s="1"/>
  <c r="I211" i="1"/>
  <c r="P211" i="2" s="1"/>
  <c r="E212" i="1"/>
  <c r="F212" i="1"/>
  <c r="G212" i="1"/>
  <c r="L212" i="2" s="1"/>
  <c r="H212" i="1"/>
  <c r="N212" i="2" s="1"/>
  <c r="I212" i="1"/>
  <c r="P212" i="2" s="1"/>
  <c r="E213" i="1"/>
  <c r="F213" i="1"/>
  <c r="G213" i="1"/>
  <c r="L213" i="2" s="1"/>
  <c r="H213" i="1"/>
  <c r="N213" i="2" s="1"/>
  <c r="I213" i="1"/>
  <c r="P213" i="2" s="1"/>
  <c r="E214" i="1"/>
  <c r="F214" i="1"/>
  <c r="G214" i="1"/>
  <c r="L214" i="2" s="1"/>
  <c r="H214" i="1"/>
  <c r="N214" i="2" s="1"/>
  <c r="I214" i="1"/>
  <c r="P214" i="2" s="1"/>
  <c r="E215" i="1"/>
  <c r="F215" i="1"/>
  <c r="G215" i="1"/>
  <c r="L215" i="2" s="1"/>
  <c r="H215" i="1"/>
  <c r="N215" i="2" s="1"/>
  <c r="I215" i="1"/>
  <c r="P215" i="2" s="1"/>
  <c r="E216" i="1"/>
  <c r="F216" i="1"/>
  <c r="G216" i="1"/>
  <c r="L216" i="2" s="1"/>
  <c r="H216" i="1"/>
  <c r="N216" i="2" s="1"/>
  <c r="I216" i="1"/>
  <c r="P216" i="2" s="1"/>
  <c r="E217" i="1"/>
  <c r="F217" i="1"/>
  <c r="G217" i="1"/>
  <c r="L217" i="2" s="1"/>
  <c r="H217" i="1"/>
  <c r="N217" i="2" s="1"/>
  <c r="I217" i="1"/>
  <c r="P217" i="2" s="1"/>
  <c r="E218" i="1"/>
  <c r="F218" i="1"/>
  <c r="G218" i="1"/>
  <c r="L218" i="2" s="1"/>
  <c r="H218" i="1"/>
  <c r="N218" i="2" s="1"/>
  <c r="I218" i="1"/>
  <c r="P218" i="2" s="1"/>
  <c r="E219" i="1"/>
  <c r="F219" i="1"/>
  <c r="G219" i="1"/>
  <c r="L219" i="2" s="1"/>
  <c r="H219" i="1"/>
  <c r="N219" i="2" s="1"/>
  <c r="I219" i="1"/>
  <c r="P219" i="2" s="1"/>
  <c r="E220" i="1"/>
  <c r="F220" i="1"/>
  <c r="G220" i="1"/>
  <c r="L220" i="2" s="1"/>
  <c r="H220" i="1"/>
  <c r="N220" i="2" s="1"/>
  <c r="I220" i="1"/>
  <c r="P220" i="2" s="1"/>
  <c r="E221" i="1"/>
  <c r="F221" i="1"/>
  <c r="G221" i="1"/>
  <c r="L221" i="2" s="1"/>
  <c r="H221" i="1"/>
  <c r="N221" i="2" s="1"/>
  <c r="I221" i="1"/>
  <c r="P221" i="2" s="1"/>
  <c r="E222" i="1"/>
  <c r="F222" i="1"/>
  <c r="G222" i="1"/>
  <c r="L222" i="2" s="1"/>
  <c r="H222" i="1"/>
  <c r="N222" i="2" s="1"/>
  <c r="I222" i="1"/>
  <c r="P222" i="2" s="1"/>
  <c r="E223" i="1"/>
  <c r="F223" i="1"/>
  <c r="G223" i="1"/>
  <c r="L223" i="2" s="1"/>
  <c r="H223" i="1"/>
  <c r="N223" i="2" s="1"/>
  <c r="I223" i="1"/>
  <c r="P223" i="2" s="1"/>
  <c r="E224" i="1"/>
  <c r="F224" i="1"/>
  <c r="G224" i="1"/>
  <c r="L224" i="2" s="1"/>
  <c r="H224" i="1"/>
  <c r="N224" i="2" s="1"/>
  <c r="I224" i="1"/>
  <c r="P224" i="2" s="1"/>
  <c r="E225" i="1"/>
  <c r="F225" i="1"/>
  <c r="G225" i="1"/>
  <c r="L225" i="2" s="1"/>
  <c r="H225" i="1"/>
  <c r="N225" i="2" s="1"/>
  <c r="I225" i="1"/>
  <c r="P225" i="2" s="1"/>
  <c r="E226" i="1"/>
  <c r="F226" i="1"/>
  <c r="G226" i="1"/>
  <c r="L226" i="2" s="1"/>
  <c r="H226" i="1"/>
  <c r="N226" i="2" s="1"/>
  <c r="I226" i="1"/>
  <c r="P226" i="2" s="1"/>
  <c r="E227" i="1"/>
  <c r="F227" i="1"/>
  <c r="G227" i="1"/>
  <c r="L227" i="2" s="1"/>
  <c r="H227" i="1"/>
  <c r="N227" i="2" s="1"/>
  <c r="I227" i="1"/>
  <c r="P227" i="2" s="1"/>
  <c r="E228" i="1"/>
  <c r="F228" i="1"/>
  <c r="G228" i="1"/>
  <c r="L228" i="2" s="1"/>
  <c r="H228" i="1"/>
  <c r="N228" i="2" s="1"/>
  <c r="I228" i="1"/>
  <c r="P228" i="2" s="1"/>
  <c r="E229" i="1"/>
  <c r="F229" i="1"/>
  <c r="G229" i="1"/>
  <c r="L229" i="2" s="1"/>
  <c r="H229" i="1"/>
  <c r="N229" i="2" s="1"/>
  <c r="I229" i="1"/>
  <c r="P229" i="2" s="1"/>
  <c r="E230" i="1"/>
  <c r="F230" i="1"/>
  <c r="G230" i="1"/>
  <c r="L230" i="2" s="1"/>
  <c r="H230" i="1"/>
  <c r="N230" i="2" s="1"/>
  <c r="I230" i="1"/>
  <c r="P230" i="2" s="1"/>
  <c r="E231" i="1"/>
  <c r="F231" i="1"/>
  <c r="G231" i="1"/>
  <c r="L231" i="2" s="1"/>
  <c r="H231" i="1"/>
  <c r="N231" i="2" s="1"/>
  <c r="I231" i="1"/>
  <c r="P231" i="2" s="1"/>
  <c r="E232" i="1"/>
  <c r="F232" i="1"/>
  <c r="G232" i="1"/>
  <c r="L232" i="2" s="1"/>
  <c r="H232" i="1"/>
  <c r="N232" i="2" s="1"/>
  <c r="I232" i="1"/>
  <c r="P232" i="2" s="1"/>
  <c r="E233" i="1"/>
  <c r="F233" i="1"/>
  <c r="G233" i="1"/>
  <c r="L233" i="2" s="1"/>
  <c r="H233" i="1"/>
  <c r="N233" i="2" s="1"/>
  <c r="I233" i="1"/>
  <c r="P233" i="2" s="1"/>
  <c r="E234" i="1"/>
  <c r="F234" i="1"/>
  <c r="G234" i="1"/>
  <c r="L234" i="2" s="1"/>
  <c r="H234" i="1"/>
  <c r="N234" i="2" s="1"/>
  <c r="I234" i="1"/>
  <c r="P234" i="2" s="1"/>
  <c r="E235" i="1"/>
  <c r="F235" i="1"/>
  <c r="G235" i="1"/>
  <c r="L235" i="2" s="1"/>
  <c r="H235" i="1"/>
  <c r="N235" i="2" s="1"/>
  <c r="I235" i="1"/>
  <c r="P235" i="2" s="1"/>
  <c r="E236" i="1"/>
  <c r="F236" i="1"/>
  <c r="G236" i="1"/>
  <c r="L236" i="2" s="1"/>
  <c r="H236" i="1"/>
  <c r="N236" i="2" s="1"/>
  <c r="I236" i="1"/>
  <c r="P236" i="2" s="1"/>
  <c r="E237" i="1"/>
  <c r="F237" i="1"/>
  <c r="G237" i="1"/>
  <c r="L237" i="2" s="1"/>
  <c r="H237" i="1"/>
  <c r="N237" i="2" s="1"/>
  <c r="I237" i="1"/>
  <c r="P237" i="2" s="1"/>
  <c r="E238" i="1"/>
  <c r="F238" i="1"/>
  <c r="G238" i="1"/>
  <c r="L238" i="2" s="1"/>
  <c r="H238" i="1"/>
  <c r="N238" i="2" s="1"/>
  <c r="I238" i="1"/>
  <c r="P238" i="2" s="1"/>
  <c r="E239" i="1"/>
  <c r="F239" i="1"/>
  <c r="G239" i="1"/>
  <c r="L239" i="2" s="1"/>
  <c r="H239" i="1"/>
  <c r="N239" i="2" s="1"/>
  <c r="I239" i="1"/>
  <c r="P239" i="2" s="1"/>
  <c r="E240" i="1"/>
  <c r="F240" i="1"/>
  <c r="G240" i="1"/>
  <c r="L240" i="2" s="1"/>
  <c r="H240" i="1"/>
  <c r="N240" i="2" s="1"/>
  <c r="I240" i="1"/>
  <c r="P240" i="2" s="1"/>
  <c r="E241" i="1"/>
  <c r="F241" i="1"/>
  <c r="G241" i="1"/>
  <c r="L241" i="2" s="1"/>
  <c r="H241" i="1"/>
  <c r="N241" i="2" s="1"/>
  <c r="I241" i="1"/>
  <c r="P241" i="2" s="1"/>
  <c r="E242" i="1"/>
  <c r="F242" i="1"/>
  <c r="G242" i="1"/>
  <c r="L242" i="2" s="1"/>
  <c r="H242" i="1"/>
  <c r="N242" i="2" s="1"/>
  <c r="I242" i="1"/>
  <c r="P242" i="2" s="1"/>
  <c r="E243" i="1"/>
  <c r="F243" i="1"/>
  <c r="G243" i="1"/>
  <c r="L243" i="2" s="1"/>
  <c r="H243" i="1"/>
  <c r="N243" i="2" s="1"/>
  <c r="I243" i="1"/>
  <c r="P243" i="2" s="1"/>
  <c r="E244" i="1"/>
  <c r="F244" i="1"/>
  <c r="G244" i="1"/>
  <c r="L244" i="2" s="1"/>
  <c r="H244" i="1"/>
  <c r="N244" i="2" s="1"/>
  <c r="I244" i="1"/>
  <c r="P244" i="2" s="1"/>
  <c r="E245" i="1"/>
  <c r="F245" i="1"/>
  <c r="G245" i="1"/>
  <c r="L245" i="2" s="1"/>
  <c r="H245" i="1"/>
  <c r="N245" i="2" s="1"/>
  <c r="I245" i="1"/>
  <c r="P245" i="2" s="1"/>
  <c r="E246" i="1"/>
  <c r="F246" i="1"/>
  <c r="G246" i="1"/>
  <c r="L246" i="2" s="1"/>
  <c r="H246" i="1"/>
  <c r="N246" i="2" s="1"/>
  <c r="I246" i="1"/>
  <c r="P246" i="2" s="1"/>
  <c r="E247" i="1"/>
  <c r="F247" i="1"/>
  <c r="G247" i="1"/>
  <c r="L247" i="2" s="1"/>
  <c r="H247" i="1"/>
  <c r="N247" i="2" s="1"/>
  <c r="I247" i="1"/>
  <c r="P247" i="2" s="1"/>
  <c r="E248" i="1"/>
  <c r="F248" i="1"/>
  <c r="G248" i="1"/>
  <c r="L248" i="2" s="1"/>
  <c r="H248" i="1"/>
  <c r="N248" i="2" s="1"/>
  <c r="I248" i="1"/>
  <c r="P248" i="2" s="1"/>
  <c r="E249" i="1"/>
  <c r="F249" i="1"/>
  <c r="G249" i="1"/>
  <c r="L249" i="2" s="1"/>
  <c r="H249" i="1"/>
  <c r="N249" i="2" s="1"/>
  <c r="I249" i="1"/>
  <c r="P249" i="2" s="1"/>
  <c r="E250" i="1"/>
  <c r="F250" i="1"/>
  <c r="G250" i="1"/>
  <c r="L250" i="2" s="1"/>
  <c r="H250" i="1"/>
  <c r="N250" i="2" s="1"/>
  <c r="I250" i="1"/>
  <c r="P250" i="2" s="1"/>
  <c r="E251" i="1"/>
  <c r="F251" i="1"/>
  <c r="G251" i="1"/>
  <c r="L251" i="2" s="1"/>
  <c r="H251" i="1"/>
  <c r="N251" i="2" s="1"/>
  <c r="I251" i="1"/>
  <c r="P251" i="2" s="1"/>
  <c r="E252" i="1"/>
  <c r="F252" i="1"/>
  <c r="G252" i="1"/>
  <c r="L252" i="2" s="1"/>
  <c r="H252" i="1"/>
  <c r="N252" i="2" s="1"/>
  <c r="I252" i="1"/>
  <c r="P252" i="2" s="1"/>
  <c r="E253" i="1"/>
  <c r="F253" i="1"/>
  <c r="G253" i="1"/>
  <c r="L253" i="2" s="1"/>
  <c r="H253" i="1"/>
  <c r="N253" i="2" s="1"/>
  <c r="I253" i="1"/>
  <c r="P253" i="2" s="1"/>
  <c r="E254" i="1"/>
  <c r="F254" i="1"/>
  <c r="G254" i="1"/>
  <c r="L254" i="2" s="1"/>
  <c r="H254" i="1"/>
  <c r="N254" i="2" s="1"/>
  <c r="I254" i="1"/>
  <c r="P254" i="2" s="1"/>
  <c r="E255" i="1"/>
  <c r="F255" i="1"/>
  <c r="G255" i="1"/>
  <c r="L255" i="2" s="1"/>
  <c r="H255" i="1"/>
  <c r="N255" i="2" s="1"/>
  <c r="I255" i="1"/>
  <c r="P255" i="2" s="1"/>
  <c r="E256" i="1"/>
  <c r="F256" i="1"/>
  <c r="G256" i="1"/>
  <c r="L256" i="2" s="1"/>
  <c r="H256" i="1"/>
  <c r="N256" i="2" s="1"/>
  <c r="I256" i="1"/>
  <c r="P256" i="2" s="1"/>
  <c r="E257" i="1"/>
  <c r="F257" i="1"/>
  <c r="G257" i="1"/>
  <c r="L257" i="2" s="1"/>
  <c r="H257" i="1"/>
  <c r="N257" i="2" s="1"/>
  <c r="I257" i="1"/>
  <c r="P257" i="2" s="1"/>
  <c r="E258" i="1"/>
  <c r="F258" i="1"/>
  <c r="G258" i="1"/>
  <c r="L258" i="2" s="1"/>
  <c r="H258" i="1"/>
  <c r="N258" i="2" s="1"/>
  <c r="I258" i="1"/>
  <c r="P258" i="2" s="1"/>
  <c r="E259" i="1"/>
  <c r="F259" i="1"/>
  <c r="G259" i="1"/>
  <c r="L259" i="2" s="1"/>
  <c r="H259" i="1"/>
  <c r="N259" i="2" s="1"/>
  <c r="I259" i="1"/>
  <c r="P259" i="2" s="1"/>
  <c r="E260" i="1"/>
  <c r="F260" i="1"/>
  <c r="G260" i="1"/>
  <c r="L260" i="2" s="1"/>
  <c r="H260" i="1"/>
  <c r="N260" i="2" s="1"/>
  <c r="I260" i="1"/>
  <c r="P260" i="2" s="1"/>
  <c r="E261" i="1"/>
  <c r="F261" i="1"/>
  <c r="G261" i="1"/>
  <c r="L261" i="2" s="1"/>
  <c r="H261" i="1"/>
  <c r="N261" i="2" s="1"/>
  <c r="I261" i="1"/>
  <c r="P261" i="2" s="1"/>
  <c r="E262" i="1"/>
  <c r="F262" i="1"/>
  <c r="G262" i="1"/>
  <c r="L262" i="2" s="1"/>
  <c r="H262" i="1"/>
  <c r="N262" i="2" s="1"/>
  <c r="I262" i="1"/>
  <c r="P262" i="2" s="1"/>
  <c r="E263" i="1"/>
  <c r="F263" i="1"/>
  <c r="G263" i="1"/>
  <c r="L263" i="2" s="1"/>
  <c r="H263" i="1"/>
  <c r="N263" i="2" s="1"/>
  <c r="I263" i="1"/>
  <c r="P263" i="2" s="1"/>
  <c r="E264" i="1"/>
  <c r="F264" i="1"/>
  <c r="G264" i="1"/>
  <c r="L264" i="2" s="1"/>
  <c r="H264" i="1"/>
  <c r="N264" i="2" s="1"/>
  <c r="I264" i="1"/>
  <c r="P264" i="2" s="1"/>
  <c r="E265" i="1"/>
  <c r="F265" i="1"/>
  <c r="G265" i="1"/>
  <c r="L265" i="2" s="1"/>
  <c r="H265" i="1"/>
  <c r="N265" i="2" s="1"/>
  <c r="I265" i="1"/>
  <c r="P265" i="2" s="1"/>
  <c r="E266" i="1"/>
  <c r="F266" i="1"/>
  <c r="G266" i="1"/>
  <c r="L266" i="2" s="1"/>
  <c r="H266" i="1"/>
  <c r="N266" i="2" s="1"/>
  <c r="I266" i="1"/>
  <c r="P266" i="2" s="1"/>
  <c r="E267" i="1"/>
  <c r="F267" i="1"/>
  <c r="G267" i="1"/>
  <c r="L267" i="2" s="1"/>
  <c r="H267" i="1"/>
  <c r="N267" i="2" s="1"/>
  <c r="I267" i="1"/>
  <c r="P267" i="2" s="1"/>
  <c r="E268" i="1"/>
  <c r="F268" i="1"/>
  <c r="G268" i="1"/>
  <c r="L268" i="2" s="1"/>
  <c r="H268" i="1"/>
  <c r="N268" i="2" s="1"/>
  <c r="I268" i="1"/>
  <c r="P268" i="2" s="1"/>
  <c r="E269" i="1"/>
  <c r="F269" i="1"/>
  <c r="G269" i="1"/>
  <c r="L269" i="2" s="1"/>
  <c r="H269" i="1"/>
  <c r="N269" i="2" s="1"/>
  <c r="I269" i="1"/>
  <c r="P269" i="2" s="1"/>
  <c r="E270" i="1"/>
  <c r="F270" i="1"/>
  <c r="G270" i="1"/>
  <c r="L270" i="2" s="1"/>
  <c r="H270" i="1"/>
  <c r="N270" i="2" s="1"/>
  <c r="I270" i="1"/>
  <c r="P270" i="2" s="1"/>
  <c r="E271" i="1"/>
  <c r="F271" i="1"/>
  <c r="G271" i="1"/>
  <c r="L271" i="2" s="1"/>
  <c r="H271" i="1"/>
  <c r="N271" i="2" s="1"/>
  <c r="I271" i="1"/>
  <c r="P271" i="2" s="1"/>
  <c r="E272" i="1"/>
  <c r="F272" i="1"/>
  <c r="G272" i="1"/>
  <c r="L272" i="2" s="1"/>
  <c r="H272" i="1"/>
  <c r="N272" i="2" s="1"/>
  <c r="I272" i="1"/>
  <c r="P272" i="2" s="1"/>
  <c r="E273" i="1"/>
  <c r="F273" i="1"/>
  <c r="G273" i="1"/>
  <c r="L273" i="2" s="1"/>
  <c r="H273" i="1"/>
  <c r="N273" i="2" s="1"/>
  <c r="I273" i="1"/>
  <c r="P273" i="2" s="1"/>
  <c r="E274" i="1"/>
  <c r="F274" i="1"/>
  <c r="G274" i="1"/>
  <c r="L274" i="2" s="1"/>
  <c r="H274" i="1"/>
  <c r="N274" i="2" s="1"/>
  <c r="I274" i="1"/>
  <c r="P274" i="2" s="1"/>
  <c r="E275" i="1"/>
  <c r="F275" i="1"/>
  <c r="G275" i="1"/>
  <c r="L275" i="2" s="1"/>
  <c r="H275" i="1"/>
  <c r="N275" i="2" s="1"/>
  <c r="I275" i="1"/>
  <c r="P275" i="2" s="1"/>
  <c r="E276" i="1"/>
  <c r="F276" i="1"/>
  <c r="G276" i="1"/>
  <c r="L276" i="2" s="1"/>
  <c r="H276" i="1"/>
  <c r="N276" i="2" s="1"/>
  <c r="I276" i="1"/>
  <c r="P276" i="2" s="1"/>
  <c r="E277" i="1"/>
  <c r="F277" i="1"/>
  <c r="G277" i="1"/>
  <c r="L277" i="2" s="1"/>
  <c r="H277" i="1"/>
  <c r="N277" i="2" s="1"/>
  <c r="I277" i="1"/>
  <c r="P277" i="2" s="1"/>
  <c r="E278" i="1"/>
  <c r="F278" i="1"/>
  <c r="G278" i="1"/>
  <c r="L278" i="2" s="1"/>
  <c r="H278" i="1"/>
  <c r="N278" i="2" s="1"/>
  <c r="I278" i="1"/>
  <c r="P278" i="2" s="1"/>
  <c r="E279" i="1"/>
  <c r="F279" i="1"/>
  <c r="G279" i="1"/>
  <c r="L279" i="2" s="1"/>
  <c r="H279" i="1"/>
  <c r="N279" i="2" s="1"/>
  <c r="I279" i="1"/>
  <c r="P279" i="2" s="1"/>
  <c r="E280" i="1"/>
  <c r="F280" i="1"/>
  <c r="G280" i="1"/>
  <c r="L280" i="2" s="1"/>
  <c r="H280" i="1"/>
  <c r="N280" i="2" s="1"/>
  <c r="I280" i="1"/>
  <c r="P280" i="2" s="1"/>
  <c r="E281" i="1"/>
  <c r="F281" i="1"/>
  <c r="G281" i="1"/>
  <c r="L281" i="2" s="1"/>
  <c r="H281" i="1"/>
  <c r="N281" i="2" s="1"/>
  <c r="I281" i="1"/>
  <c r="P281" i="2" s="1"/>
  <c r="E282" i="1"/>
  <c r="F282" i="1"/>
  <c r="G282" i="1"/>
  <c r="L282" i="2" s="1"/>
  <c r="H282" i="1"/>
  <c r="N282" i="2" s="1"/>
  <c r="I282" i="1"/>
  <c r="P282" i="2" s="1"/>
  <c r="E283" i="1"/>
  <c r="F283" i="1"/>
  <c r="G283" i="1"/>
  <c r="L283" i="2" s="1"/>
  <c r="H283" i="1"/>
  <c r="N283" i="2" s="1"/>
  <c r="I283" i="1"/>
  <c r="P283" i="2" s="1"/>
  <c r="E284" i="1"/>
  <c r="F284" i="1"/>
  <c r="G284" i="1"/>
  <c r="L284" i="2" s="1"/>
  <c r="H284" i="1"/>
  <c r="N284" i="2" s="1"/>
  <c r="I284" i="1"/>
  <c r="P284" i="2" s="1"/>
  <c r="E285" i="1"/>
  <c r="F285" i="1"/>
  <c r="G285" i="1"/>
  <c r="L285" i="2" s="1"/>
  <c r="H285" i="1"/>
  <c r="N285" i="2" s="1"/>
  <c r="I285" i="1"/>
  <c r="P285" i="2" s="1"/>
  <c r="E286" i="1"/>
  <c r="F286" i="1"/>
  <c r="G286" i="1"/>
  <c r="L286" i="2" s="1"/>
  <c r="H286" i="1"/>
  <c r="N286" i="2" s="1"/>
  <c r="I286" i="1"/>
  <c r="P286" i="2" s="1"/>
  <c r="E287" i="1"/>
  <c r="F287" i="1"/>
  <c r="G287" i="1"/>
  <c r="L287" i="2" s="1"/>
  <c r="H287" i="1"/>
  <c r="N287" i="2" s="1"/>
  <c r="I287" i="1"/>
  <c r="P287" i="2" s="1"/>
  <c r="E288" i="1"/>
  <c r="F288" i="1"/>
  <c r="G288" i="1"/>
  <c r="L288" i="2" s="1"/>
  <c r="H288" i="1"/>
  <c r="N288" i="2" s="1"/>
  <c r="I288" i="1"/>
  <c r="P288" i="2" s="1"/>
  <c r="E289" i="1"/>
  <c r="F289" i="1"/>
  <c r="G289" i="1"/>
  <c r="L289" i="2" s="1"/>
  <c r="H289" i="1"/>
  <c r="N289" i="2" s="1"/>
  <c r="I289" i="1"/>
  <c r="P289" i="2" s="1"/>
  <c r="E290" i="1"/>
  <c r="F290" i="1"/>
  <c r="G290" i="1"/>
  <c r="L290" i="2" s="1"/>
  <c r="H290" i="1"/>
  <c r="N290" i="2" s="1"/>
  <c r="I290" i="1"/>
  <c r="P290" i="2" s="1"/>
  <c r="E291" i="1"/>
  <c r="F291" i="1"/>
  <c r="G291" i="1"/>
  <c r="L291" i="2" s="1"/>
  <c r="H291" i="1"/>
  <c r="N291" i="2" s="1"/>
  <c r="I291" i="1"/>
  <c r="P291" i="2" s="1"/>
  <c r="E292" i="1"/>
  <c r="F292" i="1"/>
  <c r="G292" i="1"/>
  <c r="L292" i="2" s="1"/>
  <c r="H292" i="1"/>
  <c r="N292" i="2" s="1"/>
  <c r="I292" i="1"/>
  <c r="P292" i="2" s="1"/>
  <c r="E293" i="1"/>
  <c r="F293" i="1"/>
  <c r="G293" i="1"/>
  <c r="L293" i="2" s="1"/>
  <c r="H293" i="1"/>
  <c r="N293" i="2" s="1"/>
  <c r="I293" i="1"/>
  <c r="P293" i="2" s="1"/>
  <c r="E294" i="1"/>
  <c r="F294" i="1"/>
  <c r="G294" i="1"/>
  <c r="L294" i="2" s="1"/>
  <c r="H294" i="1"/>
  <c r="N294" i="2" s="1"/>
  <c r="I294" i="1"/>
  <c r="P294" i="2" s="1"/>
  <c r="E295" i="1"/>
  <c r="F295" i="1"/>
  <c r="G295" i="1"/>
  <c r="L295" i="2" s="1"/>
  <c r="H295" i="1"/>
  <c r="N295" i="2" s="1"/>
  <c r="I295" i="1"/>
  <c r="P295" i="2" s="1"/>
  <c r="E296" i="1"/>
  <c r="F296" i="1"/>
  <c r="G296" i="1"/>
  <c r="L296" i="2" s="1"/>
  <c r="H296" i="1"/>
  <c r="N296" i="2" s="1"/>
  <c r="I296" i="1"/>
  <c r="P296" i="2" s="1"/>
  <c r="E297" i="1"/>
  <c r="F297" i="1"/>
  <c r="G297" i="1"/>
  <c r="L297" i="2" s="1"/>
  <c r="H297" i="1"/>
  <c r="N297" i="2" s="1"/>
  <c r="I297" i="1"/>
  <c r="P297" i="2" s="1"/>
  <c r="E298" i="1"/>
  <c r="F298" i="1"/>
  <c r="G298" i="1"/>
  <c r="L298" i="2" s="1"/>
  <c r="H298" i="1"/>
  <c r="N298" i="2" s="1"/>
  <c r="I298" i="1"/>
  <c r="P298" i="2" s="1"/>
  <c r="E299" i="1"/>
  <c r="F299" i="1"/>
  <c r="G299" i="1"/>
  <c r="L299" i="2" s="1"/>
  <c r="H299" i="1"/>
  <c r="N299" i="2" s="1"/>
  <c r="I299" i="1"/>
  <c r="P299" i="2" s="1"/>
  <c r="E300" i="1"/>
  <c r="F300" i="1"/>
  <c r="G300" i="1"/>
  <c r="L300" i="2" s="1"/>
  <c r="H300" i="1"/>
  <c r="N300" i="2" s="1"/>
  <c r="I300" i="1"/>
  <c r="P300" i="2" s="1"/>
  <c r="E301" i="1"/>
  <c r="F301" i="1"/>
  <c r="G301" i="1"/>
  <c r="L301" i="2" s="1"/>
  <c r="H301" i="1"/>
  <c r="N301" i="2" s="1"/>
  <c r="I301" i="1"/>
  <c r="P301" i="2" s="1"/>
  <c r="E302" i="1"/>
  <c r="F302" i="1"/>
  <c r="G302" i="1"/>
  <c r="L302" i="2" s="1"/>
  <c r="H302" i="1"/>
  <c r="N302" i="2" s="1"/>
  <c r="I302" i="1"/>
  <c r="P302" i="2" s="1"/>
  <c r="E303" i="1"/>
  <c r="F303" i="1"/>
  <c r="G303" i="1"/>
  <c r="L303" i="2" s="1"/>
  <c r="H303" i="1"/>
  <c r="N303" i="2" s="1"/>
  <c r="I303" i="1"/>
  <c r="P303" i="2" s="1"/>
  <c r="E304" i="1"/>
  <c r="F304" i="1"/>
  <c r="G304" i="1"/>
  <c r="L304" i="2" s="1"/>
  <c r="H304" i="1"/>
  <c r="N304" i="2" s="1"/>
  <c r="I304" i="1"/>
  <c r="P304" i="2" s="1"/>
  <c r="E305" i="1"/>
  <c r="F305" i="1"/>
  <c r="G305" i="1"/>
  <c r="L305" i="2" s="1"/>
  <c r="H305" i="1"/>
  <c r="N305" i="2" s="1"/>
  <c r="I305" i="1"/>
  <c r="P305" i="2" s="1"/>
  <c r="E306" i="1"/>
  <c r="F306" i="1"/>
  <c r="G306" i="1"/>
  <c r="L306" i="2" s="1"/>
  <c r="H306" i="1"/>
  <c r="N306" i="2" s="1"/>
  <c r="I306" i="1"/>
  <c r="P306" i="2" s="1"/>
  <c r="E307" i="1"/>
  <c r="F307" i="1"/>
  <c r="G307" i="1"/>
  <c r="L307" i="2" s="1"/>
  <c r="H307" i="1"/>
  <c r="N307" i="2" s="1"/>
  <c r="I307" i="1"/>
  <c r="P307" i="2" s="1"/>
  <c r="E308" i="1"/>
  <c r="F308" i="1"/>
  <c r="G308" i="1"/>
  <c r="L308" i="2" s="1"/>
  <c r="H308" i="1"/>
  <c r="N308" i="2" s="1"/>
  <c r="I308" i="1"/>
  <c r="P308" i="2" s="1"/>
  <c r="E309" i="1"/>
  <c r="F309" i="1"/>
  <c r="G309" i="1"/>
  <c r="L309" i="2" s="1"/>
  <c r="H309" i="1"/>
  <c r="N309" i="2" s="1"/>
  <c r="I309" i="1"/>
  <c r="P309" i="2" s="1"/>
  <c r="E310" i="1"/>
  <c r="F310" i="1"/>
  <c r="G310" i="1"/>
  <c r="L310" i="2" s="1"/>
  <c r="H310" i="1"/>
  <c r="N310" i="2" s="1"/>
  <c r="I310" i="1"/>
  <c r="P310" i="2" s="1"/>
  <c r="E311" i="1"/>
  <c r="F311" i="1"/>
  <c r="G311" i="1"/>
  <c r="L311" i="2" s="1"/>
  <c r="H311" i="1"/>
  <c r="N311" i="2" s="1"/>
  <c r="I311" i="1"/>
  <c r="P311" i="2" s="1"/>
  <c r="E312" i="1"/>
  <c r="F312" i="1"/>
  <c r="G312" i="1"/>
  <c r="L312" i="2" s="1"/>
  <c r="H312" i="1"/>
  <c r="N312" i="2" s="1"/>
  <c r="I312" i="1"/>
  <c r="P312" i="2" s="1"/>
  <c r="E313" i="1"/>
  <c r="F313" i="1"/>
  <c r="G313" i="1"/>
  <c r="L313" i="2" s="1"/>
  <c r="H313" i="1"/>
  <c r="N313" i="2" s="1"/>
  <c r="I313" i="1"/>
  <c r="P313" i="2" s="1"/>
  <c r="E314" i="1"/>
  <c r="F314" i="1"/>
  <c r="G314" i="1"/>
  <c r="L314" i="2" s="1"/>
  <c r="H314" i="1"/>
  <c r="N314" i="2" s="1"/>
  <c r="I314" i="1"/>
  <c r="P314" i="2" s="1"/>
  <c r="E315" i="1"/>
  <c r="F315" i="1"/>
  <c r="G315" i="1"/>
  <c r="L315" i="2" s="1"/>
  <c r="H315" i="1"/>
  <c r="N315" i="2" s="1"/>
  <c r="I315" i="1"/>
  <c r="P315" i="2" s="1"/>
  <c r="E316" i="1"/>
  <c r="F316" i="1"/>
  <c r="G316" i="1"/>
  <c r="L316" i="2" s="1"/>
  <c r="H316" i="1"/>
  <c r="N316" i="2" s="1"/>
  <c r="I316" i="1"/>
  <c r="P316" i="2" s="1"/>
  <c r="E317" i="1"/>
  <c r="F317" i="1"/>
  <c r="G317" i="1"/>
  <c r="L317" i="2" s="1"/>
  <c r="H317" i="1"/>
  <c r="N317" i="2" s="1"/>
  <c r="I317" i="1"/>
  <c r="P317" i="2" s="1"/>
  <c r="E318" i="1"/>
  <c r="F318" i="1"/>
  <c r="G318" i="1"/>
  <c r="L318" i="2" s="1"/>
  <c r="H318" i="1"/>
  <c r="N318" i="2" s="1"/>
  <c r="I318" i="1"/>
  <c r="P318" i="2" s="1"/>
  <c r="E319" i="1"/>
  <c r="F319" i="1"/>
  <c r="G319" i="1"/>
  <c r="L319" i="2" s="1"/>
  <c r="H319" i="1"/>
  <c r="N319" i="2" s="1"/>
  <c r="I319" i="1"/>
  <c r="P319" i="2" s="1"/>
  <c r="E320" i="1"/>
  <c r="F320" i="1"/>
  <c r="G320" i="1"/>
  <c r="L320" i="2" s="1"/>
  <c r="H320" i="1"/>
  <c r="N320" i="2" s="1"/>
  <c r="I320" i="1"/>
  <c r="P320" i="2" s="1"/>
  <c r="E321" i="1"/>
  <c r="F321" i="1"/>
  <c r="G321" i="1"/>
  <c r="L321" i="2" s="1"/>
  <c r="H321" i="1"/>
  <c r="N321" i="2" s="1"/>
  <c r="I321" i="1"/>
  <c r="P321" i="2" s="1"/>
  <c r="E322" i="1"/>
  <c r="F322" i="1"/>
  <c r="G322" i="1"/>
  <c r="L322" i="2" s="1"/>
  <c r="H322" i="1"/>
  <c r="N322" i="2" s="1"/>
  <c r="I322" i="1"/>
  <c r="P322" i="2" s="1"/>
  <c r="E323" i="1"/>
  <c r="F323" i="1"/>
  <c r="G323" i="1"/>
  <c r="L323" i="2" s="1"/>
  <c r="H323" i="1"/>
  <c r="N323" i="2" s="1"/>
  <c r="I323" i="1"/>
  <c r="P323" i="2" s="1"/>
  <c r="E324" i="1"/>
  <c r="F324" i="1"/>
  <c r="G324" i="1"/>
  <c r="L324" i="2" s="1"/>
  <c r="H324" i="1"/>
  <c r="N324" i="2" s="1"/>
  <c r="I324" i="1"/>
  <c r="P324" i="2" s="1"/>
  <c r="E325" i="1"/>
  <c r="F325" i="1"/>
  <c r="G325" i="1"/>
  <c r="L325" i="2" s="1"/>
  <c r="H325" i="1"/>
  <c r="N325" i="2" s="1"/>
  <c r="I325" i="1"/>
  <c r="P325" i="2" s="1"/>
  <c r="E326" i="1"/>
  <c r="F326" i="1"/>
  <c r="G326" i="1"/>
  <c r="L326" i="2" s="1"/>
  <c r="H326" i="1"/>
  <c r="N326" i="2" s="1"/>
  <c r="I326" i="1"/>
  <c r="P326" i="2" s="1"/>
  <c r="E327" i="1"/>
  <c r="F327" i="1"/>
  <c r="G327" i="1"/>
  <c r="L327" i="2" s="1"/>
  <c r="H327" i="1"/>
  <c r="N327" i="2" s="1"/>
  <c r="I327" i="1"/>
  <c r="P327" i="2" s="1"/>
  <c r="E328" i="1"/>
  <c r="F328" i="1"/>
  <c r="G328" i="1"/>
  <c r="L328" i="2" s="1"/>
  <c r="H328" i="1"/>
  <c r="N328" i="2" s="1"/>
  <c r="I328" i="1"/>
  <c r="P328" i="2" s="1"/>
  <c r="E329" i="1"/>
  <c r="F329" i="1"/>
  <c r="G329" i="1"/>
  <c r="L329" i="2" s="1"/>
  <c r="H329" i="1"/>
  <c r="N329" i="2" s="1"/>
  <c r="I329" i="1"/>
  <c r="P329" i="2" s="1"/>
  <c r="E330" i="1"/>
  <c r="F330" i="1"/>
  <c r="G330" i="1"/>
  <c r="L330" i="2" s="1"/>
  <c r="H330" i="1"/>
  <c r="N330" i="2" s="1"/>
  <c r="I330" i="1"/>
  <c r="P330" i="2" s="1"/>
  <c r="E331" i="1"/>
  <c r="F331" i="1"/>
  <c r="G331" i="1"/>
  <c r="L331" i="2" s="1"/>
  <c r="H331" i="1"/>
  <c r="N331" i="2" s="1"/>
  <c r="I331" i="1"/>
  <c r="P331" i="2" s="1"/>
  <c r="E332" i="1"/>
  <c r="F332" i="1"/>
  <c r="G332" i="1"/>
  <c r="L332" i="2" s="1"/>
  <c r="H332" i="1"/>
  <c r="N332" i="2" s="1"/>
  <c r="I332" i="1"/>
  <c r="P332" i="2" s="1"/>
  <c r="E333" i="1"/>
  <c r="F333" i="1"/>
  <c r="G333" i="1"/>
  <c r="L333" i="2" s="1"/>
  <c r="H333" i="1"/>
  <c r="N333" i="2" s="1"/>
  <c r="I333" i="1"/>
  <c r="P333" i="2" s="1"/>
  <c r="E334" i="1"/>
  <c r="F334" i="1"/>
  <c r="G334" i="1"/>
  <c r="L334" i="2" s="1"/>
  <c r="H334" i="1"/>
  <c r="N334" i="2" s="1"/>
  <c r="I334" i="1"/>
  <c r="P334" i="2" s="1"/>
  <c r="E335" i="1"/>
  <c r="F335" i="1"/>
  <c r="G335" i="1"/>
  <c r="L335" i="2" s="1"/>
  <c r="H335" i="1"/>
  <c r="N335" i="2" s="1"/>
  <c r="I335" i="1"/>
  <c r="P335" i="2" s="1"/>
  <c r="E336" i="1"/>
  <c r="F336" i="1"/>
  <c r="G336" i="1"/>
  <c r="L336" i="2" s="1"/>
  <c r="H336" i="1"/>
  <c r="N336" i="2" s="1"/>
  <c r="I336" i="1"/>
  <c r="P336" i="2" s="1"/>
  <c r="E337" i="1"/>
  <c r="F337" i="1"/>
  <c r="G337" i="1"/>
  <c r="L337" i="2" s="1"/>
  <c r="H337" i="1"/>
  <c r="N337" i="2" s="1"/>
  <c r="I337" i="1"/>
  <c r="P337" i="2" s="1"/>
  <c r="E338" i="1"/>
  <c r="F338" i="1"/>
  <c r="G338" i="1"/>
  <c r="L338" i="2" s="1"/>
  <c r="H338" i="1"/>
  <c r="N338" i="2" s="1"/>
  <c r="I338" i="1"/>
  <c r="P338" i="2" s="1"/>
  <c r="E339" i="1"/>
  <c r="F339" i="1"/>
  <c r="G339" i="1"/>
  <c r="L339" i="2" s="1"/>
  <c r="H339" i="1"/>
  <c r="N339" i="2" s="1"/>
  <c r="I339" i="1"/>
  <c r="P339" i="2" s="1"/>
  <c r="E340" i="1"/>
  <c r="F340" i="1"/>
  <c r="G340" i="1"/>
  <c r="L340" i="2" s="1"/>
  <c r="H340" i="1"/>
  <c r="N340" i="2" s="1"/>
  <c r="I340" i="1"/>
  <c r="P340" i="2" s="1"/>
  <c r="E341" i="1"/>
  <c r="F341" i="1"/>
  <c r="G341" i="1"/>
  <c r="L341" i="2" s="1"/>
  <c r="H341" i="1"/>
  <c r="N341" i="2" s="1"/>
  <c r="I341" i="1"/>
  <c r="P341" i="2" s="1"/>
  <c r="E342" i="1"/>
  <c r="F342" i="1"/>
  <c r="G342" i="1"/>
  <c r="L342" i="2" s="1"/>
  <c r="H342" i="1"/>
  <c r="N342" i="2" s="1"/>
  <c r="I342" i="1"/>
  <c r="P342" i="2" s="1"/>
  <c r="E343" i="1"/>
  <c r="F343" i="1"/>
  <c r="G343" i="1"/>
  <c r="L343" i="2" s="1"/>
  <c r="H343" i="1"/>
  <c r="N343" i="2" s="1"/>
  <c r="I343" i="1"/>
  <c r="P343" i="2" s="1"/>
  <c r="E344" i="1"/>
  <c r="F344" i="1"/>
  <c r="G344" i="1"/>
  <c r="L344" i="2" s="1"/>
  <c r="H344" i="1"/>
  <c r="N344" i="2" s="1"/>
  <c r="I344" i="1"/>
  <c r="P344" i="2" s="1"/>
  <c r="E345" i="1"/>
  <c r="F345" i="1"/>
  <c r="G345" i="1"/>
  <c r="L345" i="2" s="1"/>
  <c r="H345" i="1"/>
  <c r="N345" i="2" s="1"/>
  <c r="I345" i="1"/>
  <c r="P345" i="2" s="1"/>
  <c r="E346" i="1"/>
  <c r="F346" i="1"/>
  <c r="G346" i="1"/>
  <c r="L346" i="2" s="1"/>
  <c r="H346" i="1"/>
  <c r="N346" i="2" s="1"/>
  <c r="I346" i="1"/>
  <c r="P346" i="2" s="1"/>
  <c r="E347" i="1"/>
  <c r="F347" i="1"/>
  <c r="G347" i="1"/>
  <c r="L347" i="2" s="1"/>
  <c r="H347" i="1"/>
  <c r="N347" i="2" s="1"/>
  <c r="I347" i="1"/>
  <c r="P347" i="2" s="1"/>
  <c r="E348" i="1"/>
  <c r="F348" i="1"/>
  <c r="G348" i="1"/>
  <c r="L348" i="2" s="1"/>
  <c r="H348" i="1"/>
  <c r="N348" i="2" s="1"/>
  <c r="I348" i="1"/>
  <c r="P348" i="2" s="1"/>
  <c r="E349" i="1"/>
  <c r="F349" i="1"/>
  <c r="G349" i="1"/>
  <c r="L349" i="2" s="1"/>
  <c r="H349" i="1"/>
  <c r="N349" i="2" s="1"/>
  <c r="I349" i="1"/>
  <c r="P349" i="2" s="1"/>
  <c r="E350" i="1"/>
  <c r="F350" i="1"/>
  <c r="G350" i="1"/>
  <c r="L350" i="2" s="1"/>
  <c r="H350" i="1"/>
  <c r="N350" i="2" s="1"/>
  <c r="I350" i="1"/>
  <c r="P350" i="2" s="1"/>
  <c r="E351" i="1"/>
  <c r="F351" i="1"/>
  <c r="G351" i="1"/>
  <c r="L351" i="2" s="1"/>
  <c r="H351" i="1"/>
  <c r="N351" i="2" s="1"/>
  <c r="I351" i="1"/>
  <c r="P351" i="2" s="1"/>
  <c r="E352" i="1"/>
  <c r="F352" i="1"/>
  <c r="G352" i="1"/>
  <c r="L352" i="2" s="1"/>
  <c r="H352" i="1"/>
  <c r="N352" i="2" s="1"/>
  <c r="I352" i="1"/>
  <c r="P352" i="2" s="1"/>
  <c r="E353" i="1"/>
  <c r="F353" i="1"/>
  <c r="G353" i="1"/>
  <c r="L353" i="2" s="1"/>
  <c r="H353" i="1"/>
  <c r="N353" i="2" s="1"/>
  <c r="I353" i="1"/>
  <c r="P353" i="2" s="1"/>
  <c r="E354" i="1"/>
  <c r="F354" i="1"/>
  <c r="G354" i="1"/>
  <c r="L354" i="2" s="1"/>
  <c r="H354" i="1"/>
  <c r="N354" i="2" s="1"/>
  <c r="I354" i="1"/>
  <c r="P354" i="2" s="1"/>
  <c r="E355" i="1"/>
  <c r="F355" i="1"/>
  <c r="G355" i="1"/>
  <c r="L355" i="2" s="1"/>
  <c r="H355" i="1"/>
  <c r="N355" i="2" s="1"/>
  <c r="I355" i="1"/>
  <c r="P355" i="2" s="1"/>
  <c r="E356" i="1"/>
  <c r="F356" i="1"/>
  <c r="G356" i="1"/>
  <c r="L356" i="2" s="1"/>
  <c r="H356" i="1"/>
  <c r="N356" i="2" s="1"/>
  <c r="I356" i="1"/>
  <c r="P356" i="2" s="1"/>
  <c r="E357" i="1"/>
  <c r="F357" i="1"/>
  <c r="G357" i="1"/>
  <c r="L357" i="2" s="1"/>
  <c r="H357" i="1"/>
  <c r="N357" i="2" s="1"/>
  <c r="I357" i="1"/>
  <c r="P357" i="2" s="1"/>
  <c r="E358" i="1"/>
  <c r="F358" i="1"/>
  <c r="G358" i="1"/>
  <c r="L358" i="2" s="1"/>
  <c r="H358" i="1"/>
  <c r="N358" i="2" s="1"/>
  <c r="I358" i="1"/>
  <c r="P358" i="2" s="1"/>
  <c r="E359" i="1"/>
  <c r="F359" i="1"/>
  <c r="G359" i="1"/>
  <c r="L359" i="2" s="1"/>
  <c r="H359" i="1"/>
  <c r="N359" i="2" s="1"/>
  <c r="I359" i="1"/>
  <c r="P359" i="2" s="1"/>
  <c r="E360" i="1"/>
  <c r="F360" i="1"/>
  <c r="G360" i="1"/>
  <c r="L360" i="2" s="1"/>
  <c r="H360" i="1"/>
  <c r="N360" i="2" s="1"/>
  <c r="I360" i="1"/>
  <c r="P360" i="2" s="1"/>
  <c r="E361" i="1"/>
  <c r="F361" i="1"/>
  <c r="G361" i="1"/>
  <c r="L361" i="2" s="1"/>
  <c r="H361" i="1"/>
  <c r="N361" i="2" s="1"/>
  <c r="I361" i="1"/>
  <c r="P361" i="2" s="1"/>
  <c r="E362" i="1"/>
  <c r="F362" i="1"/>
  <c r="G362" i="1"/>
  <c r="L362" i="2" s="1"/>
  <c r="H362" i="1"/>
  <c r="N362" i="2" s="1"/>
  <c r="I362" i="1"/>
  <c r="P362" i="2" s="1"/>
  <c r="E363" i="1"/>
  <c r="F363" i="1"/>
  <c r="G363" i="1"/>
  <c r="L363" i="2" s="1"/>
  <c r="H363" i="1"/>
  <c r="N363" i="2" s="1"/>
  <c r="I363" i="1"/>
  <c r="P363" i="2" s="1"/>
  <c r="E364" i="1"/>
  <c r="F364" i="1"/>
  <c r="G364" i="1"/>
  <c r="L364" i="2" s="1"/>
  <c r="H364" i="1"/>
  <c r="N364" i="2" s="1"/>
  <c r="I364" i="1"/>
  <c r="P364" i="2" s="1"/>
  <c r="E365" i="1"/>
  <c r="F365" i="1"/>
  <c r="G365" i="1"/>
  <c r="L365" i="2" s="1"/>
  <c r="H365" i="1"/>
  <c r="N365" i="2" s="1"/>
  <c r="I365" i="1"/>
  <c r="P365" i="2" s="1"/>
  <c r="E366" i="1"/>
  <c r="F366" i="1"/>
  <c r="G366" i="1"/>
  <c r="L366" i="2" s="1"/>
  <c r="H366" i="1"/>
  <c r="N366" i="2" s="1"/>
  <c r="I366" i="1"/>
  <c r="P366" i="2" s="1"/>
  <c r="E367" i="1"/>
  <c r="F367" i="1"/>
  <c r="G367" i="1"/>
  <c r="L367" i="2" s="1"/>
  <c r="H367" i="1"/>
  <c r="N367" i="2" s="1"/>
  <c r="I367" i="1"/>
  <c r="P367" i="2" s="1"/>
  <c r="E368" i="1"/>
  <c r="F368" i="1"/>
  <c r="G368" i="1"/>
  <c r="L368" i="2" s="1"/>
  <c r="H368" i="1"/>
  <c r="N368" i="2" s="1"/>
  <c r="I368" i="1"/>
  <c r="P368" i="2" s="1"/>
  <c r="E369" i="1"/>
  <c r="F369" i="1"/>
  <c r="G369" i="1"/>
  <c r="L369" i="2" s="1"/>
  <c r="H369" i="1"/>
  <c r="N369" i="2" s="1"/>
  <c r="I369" i="1"/>
  <c r="P369" i="2" s="1"/>
  <c r="E370" i="1"/>
  <c r="F370" i="1"/>
  <c r="G370" i="1"/>
  <c r="L370" i="2" s="1"/>
  <c r="H370" i="1"/>
  <c r="N370" i="2" s="1"/>
  <c r="I370" i="1"/>
  <c r="P370" i="2" s="1"/>
  <c r="C177" i="1"/>
  <c r="D177" i="2" s="1"/>
  <c r="D177" i="1"/>
  <c r="F177" i="2" s="1"/>
  <c r="C178" i="1"/>
  <c r="D178" i="2" s="1"/>
  <c r="D178" i="1"/>
  <c r="F178" i="2" s="1"/>
  <c r="C179" i="1"/>
  <c r="D179" i="2" s="1"/>
  <c r="D179" i="1"/>
  <c r="F179" i="2" s="1"/>
  <c r="C180" i="1"/>
  <c r="D180" i="2" s="1"/>
  <c r="D180" i="1"/>
  <c r="F180" i="2" s="1"/>
  <c r="C181" i="1"/>
  <c r="D181" i="2" s="1"/>
  <c r="D181" i="1"/>
  <c r="F181" i="2" s="1"/>
  <c r="C182" i="1"/>
  <c r="D182" i="2" s="1"/>
  <c r="D182" i="1"/>
  <c r="F182" i="2" s="1"/>
  <c r="C183" i="1"/>
  <c r="D183" i="2" s="1"/>
  <c r="D183" i="1"/>
  <c r="F183" i="2" s="1"/>
  <c r="C184" i="1"/>
  <c r="D184" i="2" s="1"/>
  <c r="D184" i="1"/>
  <c r="F184" i="2" s="1"/>
  <c r="C185" i="1"/>
  <c r="D185" i="2" s="1"/>
  <c r="D185" i="1"/>
  <c r="F185" i="2" s="1"/>
  <c r="C186" i="1"/>
  <c r="D186" i="2" s="1"/>
  <c r="D186" i="1"/>
  <c r="F186" i="2" s="1"/>
  <c r="C187" i="1"/>
  <c r="D187" i="2" s="1"/>
  <c r="D187" i="1"/>
  <c r="F187" i="2" s="1"/>
  <c r="C188" i="1"/>
  <c r="D188" i="2" s="1"/>
  <c r="D188" i="1"/>
  <c r="F188" i="2" s="1"/>
  <c r="C189" i="1"/>
  <c r="D189" i="2" s="1"/>
  <c r="D189" i="1"/>
  <c r="F189" i="2" s="1"/>
  <c r="C190" i="1"/>
  <c r="D190" i="2" s="1"/>
  <c r="D190" i="1"/>
  <c r="F190" i="2" s="1"/>
  <c r="C191" i="1"/>
  <c r="D191" i="2" s="1"/>
  <c r="D191" i="1"/>
  <c r="F191" i="2" s="1"/>
  <c r="C192" i="1"/>
  <c r="D192" i="2" s="1"/>
  <c r="D192" i="1"/>
  <c r="F192" i="2" s="1"/>
  <c r="C193" i="1"/>
  <c r="D193" i="2" s="1"/>
  <c r="D193" i="1"/>
  <c r="F193" i="2" s="1"/>
  <c r="C194" i="1"/>
  <c r="D194" i="2" s="1"/>
  <c r="D194" i="1"/>
  <c r="F194" i="2" s="1"/>
  <c r="C195" i="1"/>
  <c r="D195" i="2" s="1"/>
  <c r="D195" i="1"/>
  <c r="F195" i="2" s="1"/>
  <c r="C196" i="1"/>
  <c r="D196" i="2" s="1"/>
  <c r="D196" i="1"/>
  <c r="F196" i="2" s="1"/>
  <c r="C197" i="1"/>
  <c r="D197" i="2" s="1"/>
  <c r="D197" i="1"/>
  <c r="F197" i="2" s="1"/>
  <c r="C198" i="1"/>
  <c r="D198" i="2" s="1"/>
  <c r="D198" i="1"/>
  <c r="F198" i="2" s="1"/>
  <c r="C199" i="1"/>
  <c r="D199" i="2" s="1"/>
  <c r="D199" i="1"/>
  <c r="F199" i="2" s="1"/>
  <c r="C200" i="1"/>
  <c r="D200" i="2" s="1"/>
  <c r="D200" i="1"/>
  <c r="F200" i="2" s="1"/>
  <c r="C201" i="1"/>
  <c r="D201" i="2" s="1"/>
  <c r="D201" i="1"/>
  <c r="F201" i="2" s="1"/>
  <c r="C202" i="1"/>
  <c r="D202" i="2" s="1"/>
  <c r="D202" i="1"/>
  <c r="F202" i="2" s="1"/>
  <c r="C203" i="1"/>
  <c r="D203" i="2" s="1"/>
  <c r="D203" i="1"/>
  <c r="F203" i="2" s="1"/>
  <c r="C204" i="1"/>
  <c r="D204" i="2" s="1"/>
  <c r="D204" i="1"/>
  <c r="F204" i="2" s="1"/>
  <c r="C205" i="1"/>
  <c r="D205" i="2" s="1"/>
  <c r="D205" i="1"/>
  <c r="F205" i="2" s="1"/>
  <c r="C206" i="1"/>
  <c r="D206" i="2" s="1"/>
  <c r="D206" i="1"/>
  <c r="F206" i="2" s="1"/>
  <c r="C207" i="1"/>
  <c r="D207" i="2" s="1"/>
  <c r="D207" i="1"/>
  <c r="F207" i="2" s="1"/>
  <c r="C208" i="1"/>
  <c r="D208" i="2" s="1"/>
  <c r="D208" i="1"/>
  <c r="F208" i="2" s="1"/>
  <c r="C209" i="1"/>
  <c r="D209" i="2" s="1"/>
  <c r="D209" i="1"/>
  <c r="F209" i="2" s="1"/>
  <c r="C210" i="1"/>
  <c r="D210" i="2" s="1"/>
  <c r="D210" i="1"/>
  <c r="F210" i="2" s="1"/>
  <c r="C211" i="1"/>
  <c r="D211" i="2" s="1"/>
  <c r="D211" i="1"/>
  <c r="F211" i="2" s="1"/>
  <c r="C212" i="1"/>
  <c r="D212" i="2" s="1"/>
  <c r="D212" i="1"/>
  <c r="F212" i="2" s="1"/>
  <c r="C213" i="1"/>
  <c r="D213" i="2" s="1"/>
  <c r="D213" i="1"/>
  <c r="F213" i="2" s="1"/>
  <c r="C214" i="1"/>
  <c r="D214" i="2" s="1"/>
  <c r="D214" i="1"/>
  <c r="F214" i="2" s="1"/>
  <c r="C215" i="1"/>
  <c r="D215" i="2" s="1"/>
  <c r="D215" i="1"/>
  <c r="F215" i="2" s="1"/>
  <c r="C216" i="1"/>
  <c r="D216" i="2" s="1"/>
  <c r="D216" i="1"/>
  <c r="F216" i="2" s="1"/>
  <c r="C217" i="1"/>
  <c r="D217" i="2" s="1"/>
  <c r="D217" i="1"/>
  <c r="F217" i="2" s="1"/>
  <c r="C218" i="1"/>
  <c r="D218" i="2" s="1"/>
  <c r="D218" i="1"/>
  <c r="F218" i="2" s="1"/>
  <c r="C219" i="1"/>
  <c r="D219" i="2" s="1"/>
  <c r="D219" i="1"/>
  <c r="F219" i="2" s="1"/>
  <c r="C220" i="1"/>
  <c r="D220" i="2" s="1"/>
  <c r="D220" i="1"/>
  <c r="F220" i="2" s="1"/>
  <c r="C221" i="1"/>
  <c r="D221" i="2" s="1"/>
  <c r="D221" i="1"/>
  <c r="F221" i="2" s="1"/>
  <c r="C222" i="1"/>
  <c r="D222" i="2" s="1"/>
  <c r="D222" i="1"/>
  <c r="F222" i="2" s="1"/>
  <c r="C223" i="1"/>
  <c r="D223" i="2" s="1"/>
  <c r="D223" i="1"/>
  <c r="F223" i="2" s="1"/>
  <c r="C224" i="1"/>
  <c r="D224" i="2" s="1"/>
  <c r="D224" i="1"/>
  <c r="F224" i="2" s="1"/>
  <c r="C225" i="1"/>
  <c r="D225" i="2" s="1"/>
  <c r="D225" i="1"/>
  <c r="F225" i="2" s="1"/>
  <c r="C226" i="1"/>
  <c r="D226" i="2" s="1"/>
  <c r="D226" i="1"/>
  <c r="F226" i="2" s="1"/>
  <c r="C227" i="1"/>
  <c r="D227" i="2" s="1"/>
  <c r="D227" i="1"/>
  <c r="F227" i="2" s="1"/>
  <c r="C228" i="1"/>
  <c r="D228" i="2" s="1"/>
  <c r="D228" i="1"/>
  <c r="F228" i="2" s="1"/>
  <c r="C229" i="1"/>
  <c r="D229" i="2" s="1"/>
  <c r="D229" i="1"/>
  <c r="F229" i="2" s="1"/>
  <c r="C230" i="1"/>
  <c r="D230" i="2" s="1"/>
  <c r="D230" i="1"/>
  <c r="F230" i="2" s="1"/>
  <c r="C231" i="1"/>
  <c r="D231" i="2" s="1"/>
  <c r="D231" i="1"/>
  <c r="F231" i="2" s="1"/>
  <c r="C232" i="1"/>
  <c r="D232" i="2" s="1"/>
  <c r="D232" i="1"/>
  <c r="F232" i="2" s="1"/>
  <c r="C233" i="1"/>
  <c r="D233" i="2" s="1"/>
  <c r="D233" i="1"/>
  <c r="F233" i="2" s="1"/>
  <c r="C234" i="1"/>
  <c r="D234" i="2" s="1"/>
  <c r="D234" i="1"/>
  <c r="F234" i="2" s="1"/>
  <c r="C235" i="1"/>
  <c r="D235" i="2" s="1"/>
  <c r="D235" i="1"/>
  <c r="F235" i="2" s="1"/>
  <c r="C236" i="1"/>
  <c r="D236" i="2" s="1"/>
  <c r="D236" i="1"/>
  <c r="F236" i="2" s="1"/>
  <c r="C237" i="1"/>
  <c r="D237" i="2" s="1"/>
  <c r="D237" i="1"/>
  <c r="F237" i="2" s="1"/>
  <c r="C238" i="1"/>
  <c r="D238" i="2" s="1"/>
  <c r="D238" i="1"/>
  <c r="F238" i="2" s="1"/>
  <c r="C239" i="1"/>
  <c r="D239" i="2" s="1"/>
  <c r="D239" i="1"/>
  <c r="F239" i="2" s="1"/>
  <c r="C240" i="1"/>
  <c r="D240" i="2" s="1"/>
  <c r="D240" i="1"/>
  <c r="F240" i="2" s="1"/>
  <c r="C241" i="1"/>
  <c r="D241" i="2" s="1"/>
  <c r="D241" i="1"/>
  <c r="F241" i="2" s="1"/>
  <c r="C242" i="1"/>
  <c r="D242" i="2" s="1"/>
  <c r="D242" i="1"/>
  <c r="F242" i="2" s="1"/>
  <c r="C243" i="1"/>
  <c r="D243" i="2" s="1"/>
  <c r="D243" i="1"/>
  <c r="F243" i="2" s="1"/>
  <c r="C244" i="1"/>
  <c r="D244" i="2" s="1"/>
  <c r="D244" i="1"/>
  <c r="F244" i="2" s="1"/>
  <c r="C245" i="1"/>
  <c r="D245" i="2" s="1"/>
  <c r="D245" i="1"/>
  <c r="F245" i="2" s="1"/>
  <c r="C246" i="1"/>
  <c r="D246" i="2" s="1"/>
  <c r="D246" i="1"/>
  <c r="F246" i="2" s="1"/>
  <c r="C247" i="1"/>
  <c r="D247" i="2" s="1"/>
  <c r="D247" i="1"/>
  <c r="F247" i="2" s="1"/>
  <c r="C248" i="1"/>
  <c r="D248" i="2" s="1"/>
  <c r="D248" i="1"/>
  <c r="F248" i="2" s="1"/>
  <c r="C249" i="1"/>
  <c r="D249" i="2" s="1"/>
  <c r="D249" i="1"/>
  <c r="F249" i="2" s="1"/>
  <c r="C250" i="1"/>
  <c r="D250" i="2" s="1"/>
  <c r="D250" i="1"/>
  <c r="F250" i="2" s="1"/>
  <c r="C251" i="1"/>
  <c r="D251" i="2" s="1"/>
  <c r="D251" i="1"/>
  <c r="F251" i="2" s="1"/>
  <c r="C252" i="1"/>
  <c r="D252" i="2" s="1"/>
  <c r="D252" i="1"/>
  <c r="F252" i="2" s="1"/>
  <c r="C253" i="1"/>
  <c r="D253" i="2" s="1"/>
  <c r="D253" i="1"/>
  <c r="F253" i="2" s="1"/>
  <c r="C254" i="1"/>
  <c r="D254" i="2" s="1"/>
  <c r="D254" i="1"/>
  <c r="F254" i="2" s="1"/>
  <c r="C255" i="1"/>
  <c r="D255" i="2" s="1"/>
  <c r="D255" i="1"/>
  <c r="F255" i="2" s="1"/>
  <c r="C256" i="1"/>
  <c r="D256" i="2" s="1"/>
  <c r="D256" i="1"/>
  <c r="F256" i="2" s="1"/>
  <c r="C257" i="1"/>
  <c r="D257" i="2" s="1"/>
  <c r="D257" i="1"/>
  <c r="F257" i="2" s="1"/>
  <c r="C258" i="1"/>
  <c r="D258" i="2" s="1"/>
  <c r="D258" i="1"/>
  <c r="F258" i="2" s="1"/>
  <c r="C259" i="1"/>
  <c r="D259" i="2" s="1"/>
  <c r="D259" i="1"/>
  <c r="F259" i="2" s="1"/>
  <c r="C260" i="1"/>
  <c r="D260" i="2" s="1"/>
  <c r="D260" i="1"/>
  <c r="F260" i="2" s="1"/>
  <c r="C261" i="1"/>
  <c r="D261" i="2" s="1"/>
  <c r="D261" i="1"/>
  <c r="F261" i="2" s="1"/>
  <c r="C262" i="1"/>
  <c r="D262" i="2" s="1"/>
  <c r="D262" i="1"/>
  <c r="F262" i="2" s="1"/>
  <c r="C263" i="1"/>
  <c r="D263" i="2" s="1"/>
  <c r="D263" i="1"/>
  <c r="F263" i="2" s="1"/>
  <c r="C264" i="1"/>
  <c r="D264" i="2" s="1"/>
  <c r="D264" i="1"/>
  <c r="F264" i="2" s="1"/>
  <c r="C265" i="1"/>
  <c r="D265" i="2" s="1"/>
  <c r="D265" i="1"/>
  <c r="F265" i="2" s="1"/>
  <c r="C266" i="1"/>
  <c r="D266" i="2" s="1"/>
  <c r="D266" i="1"/>
  <c r="F266" i="2" s="1"/>
  <c r="C267" i="1"/>
  <c r="D267" i="2" s="1"/>
  <c r="D267" i="1"/>
  <c r="F267" i="2" s="1"/>
  <c r="C268" i="1"/>
  <c r="D268" i="2" s="1"/>
  <c r="D268" i="1"/>
  <c r="F268" i="2" s="1"/>
  <c r="C269" i="1"/>
  <c r="D269" i="2" s="1"/>
  <c r="D269" i="1"/>
  <c r="F269" i="2" s="1"/>
  <c r="C270" i="1"/>
  <c r="D270" i="2" s="1"/>
  <c r="D270" i="1"/>
  <c r="F270" i="2" s="1"/>
  <c r="C271" i="1"/>
  <c r="D271" i="2" s="1"/>
  <c r="D271" i="1"/>
  <c r="F271" i="2" s="1"/>
  <c r="C272" i="1"/>
  <c r="D272" i="2" s="1"/>
  <c r="D272" i="1"/>
  <c r="F272" i="2" s="1"/>
  <c r="C273" i="1"/>
  <c r="D273" i="2" s="1"/>
  <c r="D273" i="1"/>
  <c r="F273" i="2" s="1"/>
  <c r="C274" i="1"/>
  <c r="D274" i="2" s="1"/>
  <c r="D274" i="1"/>
  <c r="F274" i="2" s="1"/>
  <c r="C275" i="1"/>
  <c r="D275" i="2" s="1"/>
  <c r="D275" i="1"/>
  <c r="F275" i="2" s="1"/>
  <c r="C276" i="1"/>
  <c r="D276" i="2" s="1"/>
  <c r="D276" i="1"/>
  <c r="F276" i="2" s="1"/>
  <c r="C277" i="1"/>
  <c r="D277" i="2" s="1"/>
  <c r="D277" i="1"/>
  <c r="F277" i="2" s="1"/>
  <c r="C278" i="1"/>
  <c r="D278" i="2" s="1"/>
  <c r="D278" i="1"/>
  <c r="F278" i="2" s="1"/>
  <c r="C279" i="1"/>
  <c r="D279" i="2" s="1"/>
  <c r="D279" i="1"/>
  <c r="F279" i="2" s="1"/>
  <c r="C280" i="1"/>
  <c r="D280" i="2" s="1"/>
  <c r="D280" i="1"/>
  <c r="F280" i="2" s="1"/>
  <c r="C281" i="1"/>
  <c r="D281" i="2" s="1"/>
  <c r="D281" i="1"/>
  <c r="F281" i="2" s="1"/>
  <c r="C282" i="1"/>
  <c r="D282" i="2" s="1"/>
  <c r="D282" i="1"/>
  <c r="F282" i="2" s="1"/>
  <c r="C283" i="1"/>
  <c r="D283" i="2" s="1"/>
  <c r="D283" i="1"/>
  <c r="F283" i="2" s="1"/>
  <c r="C284" i="1"/>
  <c r="D284" i="2" s="1"/>
  <c r="D284" i="1"/>
  <c r="F284" i="2" s="1"/>
  <c r="C285" i="1"/>
  <c r="D285" i="2" s="1"/>
  <c r="D285" i="1"/>
  <c r="F285" i="2" s="1"/>
  <c r="C286" i="1"/>
  <c r="D286" i="2" s="1"/>
  <c r="D286" i="1"/>
  <c r="F286" i="2" s="1"/>
  <c r="C287" i="1"/>
  <c r="D287" i="2" s="1"/>
  <c r="D287" i="1"/>
  <c r="F287" i="2" s="1"/>
  <c r="C288" i="1"/>
  <c r="D288" i="2" s="1"/>
  <c r="D288" i="1"/>
  <c r="F288" i="2" s="1"/>
  <c r="C289" i="1"/>
  <c r="D289" i="2" s="1"/>
  <c r="D289" i="1"/>
  <c r="F289" i="2" s="1"/>
  <c r="C290" i="1"/>
  <c r="D290" i="2" s="1"/>
  <c r="D290" i="1"/>
  <c r="F290" i="2" s="1"/>
  <c r="C291" i="1"/>
  <c r="D291" i="2" s="1"/>
  <c r="D291" i="1"/>
  <c r="F291" i="2" s="1"/>
  <c r="C292" i="1"/>
  <c r="D292" i="2" s="1"/>
  <c r="D292" i="1"/>
  <c r="F292" i="2" s="1"/>
  <c r="C293" i="1"/>
  <c r="D293" i="2" s="1"/>
  <c r="D293" i="1"/>
  <c r="F293" i="2" s="1"/>
  <c r="C294" i="1"/>
  <c r="D294" i="2" s="1"/>
  <c r="D294" i="1"/>
  <c r="F294" i="2" s="1"/>
  <c r="C295" i="1"/>
  <c r="D295" i="2" s="1"/>
  <c r="D295" i="1"/>
  <c r="F295" i="2" s="1"/>
  <c r="C296" i="1"/>
  <c r="D296" i="2" s="1"/>
  <c r="D296" i="1"/>
  <c r="F296" i="2" s="1"/>
  <c r="C297" i="1"/>
  <c r="D297" i="2" s="1"/>
  <c r="D297" i="1"/>
  <c r="F297" i="2" s="1"/>
  <c r="C298" i="1"/>
  <c r="D298" i="2" s="1"/>
  <c r="D298" i="1"/>
  <c r="F298" i="2" s="1"/>
  <c r="C299" i="1"/>
  <c r="D299" i="2" s="1"/>
  <c r="D299" i="1"/>
  <c r="F299" i="2" s="1"/>
  <c r="C300" i="1"/>
  <c r="D300" i="2" s="1"/>
  <c r="D300" i="1"/>
  <c r="F300" i="2" s="1"/>
  <c r="C301" i="1"/>
  <c r="D301" i="2" s="1"/>
  <c r="D301" i="1"/>
  <c r="F301" i="2" s="1"/>
  <c r="C302" i="1"/>
  <c r="D302" i="2" s="1"/>
  <c r="D302" i="1"/>
  <c r="F302" i="2" s="1"/>
  <c r="C303" i="1"/>
  <c r="D303" i="2" s="1"/>
  <c r="D303" i="1"/>
  <c r="F303" i="2" s="1"/>
  <c r="C304" i="1"/>
  <c r="D304" i="2" s="1"/>
  <c r="D304" i="1"/>
  <c r="F304" i="2" s="1"/>
  <c r="C305" i="1"/>
  <c r="D305" i="2" s="1"/>
  <c r="D305" i="1"/>
  <c r="F305" i="2" s="1"/>
  <c r="C306" i="1"/>
  <c r="D306" i="2" s="1"/>
  <c r="D306" i="1"/>
  <c r="F306" i="2" s="1"/>
  <c r="C307" i="1"/>
  <c r="D307" i="2" s="1"/>
  <c r="D307" i="1"/>
  <c r="F307" i="2" s="1"/>
  <c r="C308" i="1"/>
  <c r="D308" i="2" s="1"/>
  <c r="D308" i="1"/>
  <c r="F308" i="2" s="1"/>
  <c r="C309" i="1"/>
  <c r="D309" i="2" s="1"/>
  <c r="D309" i="1"/>
  <c r="F309" i="2" s="1"/>
  <c r="C310" i="1"/>
  <c r="D310" i="2" s="1"/>
  <c r="D310" i="1"/>
  <c r="F310" i="2" s="1"/>
  <c r="C311" i="1"/>
  <c r="D311" i="2" s="1"/>
  <c r="D311" i="1"/>
  <c r="F311" i="2" s="1"/>
  <c r="C312" i="1"/>
  <c r="D312" i="2" s="1"/>
  <c r="D312" i="1"/>
  <c r="F312" i="2" s="1"/>
  <c r="C313" i="1"/>
  <c r="D313" i="2" s="1"/>
  <c r="D313" i="1"/>
  <c r="F313" i="2" s="1"/>
  <c r="C314" i="1"/>
  <c r="D314" i="2" s="1"/>
  <c r="D314" i="1"/>
  <c r="F314" i="2" s="1"/>
  <c r="C315" i="1"/>
  <c r="D315" i="2" s="1"/>
  <c r="D315" i="1"/>
  <c r="F315" i="2" s="1"/>
  <c r="C316" i="1"/>
  <c r="D316" i="2" s="1"/>
  <c r="D316" i="1"/>
  <c r="F316" i="2" s="1"/>
  <c r="C317" i="1"/>
  <c r="D317" i="2" s="1"/>
  <c r="D317" i="1"/>
  <c r="F317" i="2" s="1"/>
  <c r="C318" i="1"/>
  <c r="D318" i="2" s="1"/>
  <c r="D318" i="1"/>
  <c r="F318" i="2" s="1"/>
  <c r="C319" i="1"/>
  <c r="D319" i="2" s="1"/>
  <c r="D319" i="1"/>
  <c r="F319" i="2" s="1"/>
  <c r="C320" i="1"/>
  <c r="D320" i="2" s="1"/>
  <c r="D320" i="1"/>
  <c r="F320" i="2" s="1"/>
  <c r="C321" i="1"/>
  <c r="D321" i="2" s="1"/>
  <c r="D321" i="1"/>
  <c r="F321" i="2" s="1"/>
  <c r="C322" i="1"/>
  <c r="D322" i="2" s="1"/>
  <c r="D322" i="1"/>
  <c r="F322" i="2" s="1"/>
  <c r="C323" i="1"/>
  <c r="D323" i="2" s="1"/>
  <c r="D323" i="1"/>
  <c r="F323" i="2" s="1"/>
  <c r="C324" i="1"/>
  <c r="D324" i="2" s="1"/>
  <c r="D324" i="1"/>
  <c r="F324" i="2" s="1"/>
  <c r="C325" i="1"/>
  <c r="D325" i="2" s="1"/>
  <c r="D325" i="1"/>
  <c r="F325" i="2" s="1"/>
  <c r="C326" i="1"/>
  <c r="D326" i="2" s="1"/>
  <c r="D326" i="1"/>
  <c r="F326" i="2" s="1"/>
  <c r="C327" i="1"/>
  <c r="D327" i="2" s="1"/>
  <c r="D327" i="1"/>
  <c r="F327" i="2" s="1"/>
  <c r="C328" i="1"/>
  <c r="D328" i="2" s="1"/>
  <c r="D328" i="1"/>
  <c r="F328" i="2" s="1"/>
  <c r="C329" i="1"/>
  <c r="D329" i="2" s="1"/>
  <c r="D329" i="1"/>
  <c r="F329" i="2" s="1"/>
  <c r="C330" i="1"/>
  <c r="D330" i="2" s="1"/>
  <c r="D330" i="1"/>
  <c r="F330" i="2" s="1"/>
  <c r="C331" i="1"/>
  <c r="D331" i="2" s="1"/>
  <c r="D331" i="1"/>
  <c r="F331" i="2" s="1"/>
  <c r="C332" i="1"/>
  <c r="D332" i="2" s="1"/>
  <c r="D332" i="1"/>
  <c r="F332" i="2" s="1"/>
  <c r="C333" i="1"/>
  <c r="D333" i="2" s="1"/>
  <c r="D333" i="1"/>
  <c r="F333" i="2" s="1"/>
  <c r="C334" i="1"/>
  <c r="D334" i="2" s="1"/>
  <c r="D334" i="1"/>
  <c r="F334" i="2" s="1"/>
  <c r="C335" i="1"/>
  <c r="D335" i="2" s="1"/>
  <c r="D335" i="1"/>
  <c r="F335" i="2" s="1"/>
  <c r="C336" i="1"/>
  <c r="D336" i="2" s="1"/>
  <c r="D336" i="1"/>
  <c r="F336" i="2" s="1"/>
  <c r="C337" i="1"/>
  <c r="D337" i="2" s="1"/>
  <c r="D337" i="1"/>
  <c r="F337" i="2" s="1"/>
  <c r="C338" i="1"/>
  <c r="D338" i="2" s="1"/>
  <c r="D338" i="1"/>
  <c r="F338" i="2" s="1"/>
  <c r="C339" i="1"/>
  <c r="D339" i="2" s="1"/>
  <c r="D339" i="1"/>
  <c r="F339" i="2" s="1"/>
  <c r="C340" i="1"/>
  <c r="D340" i="2" s="1"/>
  <c r="D340" i="1"/>
  <c r="F340" i="2" s="1"/>
  <c r="C341" i="1"/>
  <c r="D341" i="2" s="1"/>
  <c r="D341" i="1"/>
  <c r="F341" i="2" s="1"/>
  <c r="C342" i="1"/>
  <c r="D342" i="2" s="1"/>
  <c r="D342" i="1"/>
  <c r="F342" i="2" s="1"/>
  <c r="C343" i="1"/>
  <c r="D343" i="2" s="1"/>
  <c r="D343" i="1"/>
  <c r="F343" i="2" s="1"/>
  <c r="C344" i="1"/>
  <c r="D344" i="2" s="1"/>
  <c r="D344" i="1"/>
  <c r="F344" i="2" s="1"/>
  <c r="C345" i="1"/>
  <c r="D345" i="2" s="1"/>
  <c r="D345" i="1"/>
  <c r="F345" i="2" s="1"/>
  <c r="C346" i="1"/>
  <c r="D346" i="2" s="1"/>
  <c r="D346" i="1"/>
  <c r="F346" i="2" s="1"/>
  <c r="C347" i="1"/>
  <c r="D347" i="2" s="1"/>
  <c r="D347" i="1"/>
  <c r="F347" i="2" s="1"/>
  <c r="C348" i="1"/>
  <c r="D348" i="2" s="1"/>
  <c r="D348" i="1"/>
  <c r="F348" i="2" s="1"/>
  <c r="C349" i="1"/>
  <c r="D349" i="2" s="1"/>
  <c r="D349" i="1"/>
  <c r="F349" i="2" s="1"/>
  <c r="C350" i="1"/>
  <c r="D350" i="2" s="1"/>
  <c r="D350" i="1"/>
  <c r="F350" i="2" s="1"/>
  <c r="C351" i="1"/>
  <c r="D351" i="2" s="1"/>
  <c r="D351" i="1"/>
  <c r="F351" i="2" s="1"/>
  <c r="C352" i="1"/>
  <c r="D352" i="2" s="1"/>
  <c r="D352" i="1"/>
  <c r="F352" i="2" s="1"/>
  <c r="C353" i="1"/>
  <c r="D353" i="2" s="1"/>
  <c r="D353" i="1"/>
  <c r="F353" i="2" s="1"/>
  <c r="C354" i="1"/>
  <c r="D354" i="2" s="1"/>
  <c r="D354" i="1"/>
  <c r="F354" i="2" s="1"/>
  <c r="C355" i="1"/>
  <c r="D355" i="2" s="1"/>
  <c r="D355" i="1"/>
  <c r="F355" i="2" s="1"/>
  <c r="C356" i="1"/>
  <c r="D356" i="2" s="1"/>
  <c r="D356" i="1"/>
  <c r="F356" i="2" s="1"/>
  <c r="C357" i="1"/>
  <c r="D357" i="2" s="1"/>
  <c r="D357" i="1"/>
  <c r="F357" i="2" s="1"/>
  <c r="C358" i="1"/>
  <c r="D358" i="2" s="1"/>
  <c r="D358" i="1"/>
  <c r="F358" i="2" s="1"/>
  <c r="C359" i="1"/>
  <c r="D359" i="2" s="1"/>
  <c r="D359" i="1"/>
  <c r="F359" i="2" s="1"/>
  <c r="C360" i="1"/>
  <c r="D360" i="2" s="1"/>
  <c r="D360" i="1"/>
  <c r="F360" i="2" s="1"/>
  <c r="C361" i="1"/>
  <c r="D361" i="2" s="1"/>
  <c r="D361" i="1"/>
  <c r="F361" i="2" s="1"/>
  <c r="C362" i="1"/>
  <c r="D362" i="2" s="1"/>
  <c r="D362" i="1"/>
  <c r="F362" i="2" s="1"/>
  <c r="C363" i="1"/>
  <c r="D363" i="2" s="1"/>
  <c r="D363" i="1"/>
  <c r="F363" i="2" s="1"/>
  <c r="C364" i="1"/>
  <c r="D364" i="2" s="1"/>
  <c r="D364" i="1"/>
  <c r="F364" i="2" s="1"/>
  <c r="C365" i="1"/>
  <c r="D365" i="2" s="1"/>
  <c r="D365" i="1"/>
  <c r="F365" i="2" s="1"/>
  <c r="C366" i="1"/>
  <c r="D366" i="2" s="1"/>
  <c r="D366" i="1"/>
  <c r="F366" i="2" s="1"/>
  <c r="C367" i="1"/>
  <c r="D367" i="2" s="1"/>
  <c r="D367" i="1"/>
  <c r="F367" i="2" s="1"/>
  <c r="C368" i="1"/>
  <c r="D368" i="2" s="1"/>
  <c r="D368" i="1"/>
  <c r="F368" i="2" s="1"/>
  <c r="C369" i="1"/>
  <c r="D369" i="2" s="1"/>
  <c r="D369" i="1"/>
  <c r="F369" i="2" s="1"/>
  <c r="C370" i="1"/>
  <c r="D370" i="2" s="1"/>
  <c r="D370" i="1"/>
  <c r="F370" i="2" s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AI27" i="2"/>
  <c r="A2" i="8"/>
  <c r="J370" i="2" l="1"/>
  <c r="H370" i="2"/>
  <c r="J369" i="2"/>
  <c r="H369" i="2"/>
  <c r="J368" i="2"/>
  <c r="H368" i="2"/>
  <c r="J367" i="2"/>
  <c r="H367" i="2"/>
  <c r="J366" i="2"/>
  <c r="H366" i="2"/>
  <c r="J365" i="2"/>
  <c r="H365" i="2"/>
  <c r="J364" i="2"/>
  <c r="H364" i="2"/>
  <c r="J363" i="2"/>
  <c r="H363" i="2"/>
  <c r="J362" i="2"/>
  <c r="H362" i="2"/>
  <c r="J361" i="2"/>
  <c r="H361" i="2"/>
  <c r="J360" i="2"/>
  <c r="H360" i="2"/>
  <c r="J359" i="2"/>
  <c r="H359" i="2"/>
  <c r="J358" i="2"/>
  <c r="H358" i="2"/>
  <c r="J357" i="2"/>
  <c r="H357" i="2"/>
  <c r="J356" i="2"/>
  <c r="H356" i="2"/>
  <c r="J355" i="2"/>
  <c r="H355" i="2"/>
  <c r="J354" i="2"/>
  <c r="H354" i="2"/>
  <c r="J353" i="2"/>
  <c r="H353" i="2"/>
  <c r="J352" i="2"/>
  <c r="H352" i="2"/>
  <c r="J351" i="2"/>
  <c r="H351" i="2"/>
  <c r="J350" i="2"/>
  <c r="H350" i="2"/>
  <c r="J349" i="2"/>
  <c r="H349" i="2"/>
  <c r="J348" i="2"/>
  <c r="H348" i="2"/>
  <c r="J347" i="2"/>
  <c r="H347" i="2"/>
  <c r="J346" i="2"/>
  <c r="H346" i="2"/>
  <c r="J345" i="2"/>
  <c r="H345" i="2"/>
  <c r="J344" i="2"/>
  <c r="H344" i="2"/>
  <c r="J343" i="2"/>
  <c r="H343" i="2"/>
  <c r="J342" i="2"/>
  <c r="H342" i="2"/>
  <c r="J341" i="2"/>
  <c r="H341" i="2"/>
  <c r="J340" i="2"/>
  <c r="H340" i="2"/>
  <c r="J339" i="2"/>
  <c r="H339" i="2"/>
  <c r="J338" i="2"/>
  <c r="H338" i="2"/>
  <c r="J337" i="2"/>
  <c r="H337" i="2"/>
  <c r="J336" i="2"/>
  <c r="H336" i="2"/>
  <c r="J335" i="2"/>
  <c r="H335" i="2"/>
  <c r="J334" i="2"/>
  <c r="H334" i="2"/>
  <c r="J333" i="2"/>
  <c r="H333" i="2"/>
  <c r="J332" i="2"/>
  <c r="H332" i="2"/>
  <c r="J331" i="2"/>
  <c r="H331" i="2"/>
  <c r="J330" i="2"/>
  <c r="H330" i="2"/>
  <c r="J329" i="2"/>
  <c r="H329" i="2"/>
  <c r="J328" i="2"/>
  <c r="H328" i="2"/>
  <c r="J327" i="2"/>
  <c r="H327" i="2"/>
  <c r="J326" i="2"/>
  <c r="H326" i="2"/>
  <c r="J325" i="2"/>
  <c r="H325" i="2"/>
  <c r="J324" i="2"/>
  <c r="H324" i="2"/>
  <c r="J323" i="2"/>
  <c r="H323" i="2"/>
  <c r="J322" i="2"/>
  <c r="H322" i="2"/>
  <c r="J321" i="2"/>
  <c r="H321" i="2"/>
  <c r="J320" i="2"/>
  <c r="H320" i="2"/>
  <c r="J319" i="2"/>
  <c r="H319" i="2"/>
  <c r="J318" i="2"/>
  <c r="H318" i="2"/>
  <c r="J317" i="2"/>
  <c r="H317" i="2"/>
  <c r="J316" i="2"/>
  <c r="H316" i="2"/>
  <c r="J315" i="2"/>
  <c r="H315" i="2"/>
  <c r="J314" i="2"/>
  <c r="H314" i="2"/>
  <c r="J313" i="2"/>
  <c r="H313" i="2"/>
  <c r="J312" i="2"/>
  <c r="H312" i="2"/>
  <c r="J311" i="2"/>
  <c r="H311" i="2"/>
  <c r="J310" i="2"/>
  <c r="H310" i="2"/>
  <c r="J309" i="2"/>
  <c r="H309" i="2"/>
  <c r="J308" i="2"/>
  <c r="H308" i="2"/>
  <c r="J307" i="2"/>
  <c r="H307" i="2"/>
  <c r="J306" i="2"/>
  <c r="H306" i="2"/>
  <c r="J305" i="2"/>
  <c r="H305" i="2"/>
  <c r="J304" i="2"/>
  <c r="H304" i="2"/>
  <c r="J303" i="2"/>
  <c r="H303" i="2"/>
  <c r="J302" i="2"/>
  <c r="H302" i="2"/>
  <c r="J301" i="2"/>
  <c r="H301" i="2"/>
  <c r="J300" i="2"/>
  <c r="H300" i="2"/>
  <c r="J299" i="2"/>
  <c r="H299" i="2"/>
  <c r="J298" i="2"/>
  <c r="H298" i="2"/>
  <c r="J297" i="2"/>
  <c r="H297" i="2"/>
  <c r="J296" i="2"/>
  <c r="H296" i="2"/>
  <c r="J295" i="2"/>
  <c r="H295" i="2"/>
  <c r="J294" i="2"/>
  <c r="H294" i="2"/>
  <c r="J293" i="2"/>
  <c r="H293" i="2"/>
  <c r="J292" i="2"/>
  <c r="H292" i="2"/>
  <c r="J291" i="2"/>
  <c r="H291" i="2"/>
  <c r="J290" i="2"/>
  <c r="H290" i="2"/>
  <c r="J289" i="2"/>
  <c r="H289" i="2"/>
  <c r="J288" i="2"/>
  <c r="H288" i="2"/>
  <c r="J287" i="2"/>
  <c r="H287" i="2"/>
  <c r="J286" i="2"/>
  <c r="H286" i="2"/>
  <c r="J285" i="2"/>
  <c r="H285" i="2"/>
  <c r="J284" i="2"/>
  <c r="H284" i="2"/>
  <c r="J283" i="2"/>
  <c r="H283" i="2"/>
  <c r="J282" i="2"/>
  <c r="H282" i="2"/>
  <c r="J281" i="2"/>
  <c r="H281" i="2"/>
  <c r="J280" i="2"/>
  <c r="H280" i="2"/>
  <c r="J279" i="2"/>
  <c r="H279" i="2"/>
  <c r="J278" i="2"/>
  <c r="H278" i="2"/>
  <c r="J277" i="2"/>
  <c r="H277" i="2"/>
  <c r="J276" i="2"/>
  <c r="H276" i="2"/>
  <c r="J275" i="2"/>
  <c r="H275" i="2"/>
  <c r="J274" i="2"/>
  <c r="H274" i="2"/>
  <c r="J273" i="2"/>
  <c r="H273" i="2"/>
  <c r="J272" i="2"/>
  <c r="H272" i="2"/>
  <c r="J271" i="2"/>
  <c r="H271" i="2"/>
  <c r="J270" i="2"/>
  <c r="H270" i="2"/>
  <c r="J269" i="2"/>
  <c r="H269" i="2"/>
  <c r="J268" i="2"/>
  <c r="H268" i="2"/>
  <c r="J267" i="2"/>
  <c r="H267" i="2"/>
  <c r="J266" i="2"/>
  <c r="H266" i="2"/>
  <c r="J265" i="2"/>
  <c r="H265" i="2"/>
  <c r="J264" i="2"/>
  <c r="H264" i="2"/>
  <c r="J263" i="2"/>
  <c r="H263" i="2"/>
  <c r="J262" i="2"/>
  <c r="H262" i="2"/>
  <c r="J261" i="2"/>
  <c r="H261" i="2"/>
  <c r="J260" i="2"/>
  <c r="H260" i="2"/>
  <c r="J259" i="2"/>
  <c r="H259" i="2"/>
  <c r="J258" i="2"/>
  <c r="H258" i="2"/>
  <c r="J257" i="2"/>
  <c r="H257" i="2"/>
  <c r="J256" i="2"/>
  <c r="H256" i="2"/>
  <c r="J255" i="2"/>
  <c r="H255" i="2"/>
  <c r="J254" i="2"/>
  <c r="H254" i="2"/>
  <c r="J253" i="2"/>
  <c r="H253" i="2"/>
  <c r="J252" i="2"/>
  <c r="H252" i="2"/>
  <c r="J251" i="2"/>
  <c r="H251" i="2"/>
  <c r="J250" i="2"/>
  <c r="H250" i="2"/>
  <c r="J249" i="2"/>
  <c r="H249" i="2"/>
  <c r="J248" i="2"/>
  <c r="H248" i="2"/>
  <c r="J247" i="2"/>
  <c r="H247" i="2"/>
  <c r="J246" i="2"/>
  <c r="H246" i="2"/>
  <c r="J245" i="2"/>
  <c r="H245" i="2"/>
  <c r="J244" i="2"/>
  <c r="H244" i="2"/>
  <c r="J243" i="2"/>
  <c r="H243" i="2"/>
  <c r="J242" i="2"/>
  <c r="H242" i="2"/>
  <c r="J241" i="2"/>
  <c r="H241" i="2"/>
  <c r="J240" i="2"/>
  <c r="H240" i="2"/>
  <c r="J239" i="2"/>
  <c r="H239" i="2"/>
  <c r="J238" i="2"/>
  <c r="H238" i="2"/>
  <c r="J237" i="2"/>
  <c r="H237" i="2"/>
  <c r="J236" i="2"/>
  <c r="H236" i="2"/>
  <c r="J235" i="2"/>
  <c r="H235" i="2"/>
  <c r="J234" i="2"/>
  <c r="H234" i="2"/>
  <c r="J233" i="2"/>
  <c r="H233" i="2"/>
  <c r="J232" i="2"/>
  <c r="H232" i="2"/>
  <c r="J231" i="2"/>
  <c r="H231" i="2"/>
  <c r="J230" i="2"/>
  <c r="H230" i="2"/>
  <c r="J229" i="2"/>
  <c r="H229" i="2"/>
  <c r="J228" i="2"/>
  <c r="H228" i="2"/>
  <c r="J227" i="2"/>
  <c r="H227" i="2"/>
  <c r="J226" i="2"/>
  <c r="H226" i="2"/>
  <c r="J225" i="2"/>
  <c r="H225" i="2"/>
  <c r="J224" i="2"/>
  <c r="H224" i="2"/>
  <c r="J223" i="2"/>
  <c r="H223" i="2"/>
  <c r="J222" i="2"/>
  <c r="H222" i="2"/>
  <c r="J221" i="2"/>
  <c r="H221" i="2"/>
  <c r="J220" i="2"/>
  <c r="H220" i="2"/>
  <c r="J219" i="2"/>
  <c r="H219" i="2"/>
  <c r="J218" i="2"/>
  <c r="H218" i="2"/>
  <c r="J217" i="2"/>
  <c r="H217" i="2"/>
  <c r="J216" i="2"/>
  <c r="H216" i="2"/>
  <c r="J215" i="2"/>
  <c r="H215" i="2"/>
  <c r="J214" i="2"/>
  <c r="H214" i="2"/>
  <c r="J213" i="2"/>
  <c r="H213" i="2"/>
  <c r="J212" i="2"/>
  <c r="H212" i="2"/>
  <c r="J211" i="2"/>
  <c r="H211" i="2"/>
  <c r="J210" i="2"/>
  <c r="H210" i="2"/>
  <c r="J209" i="2"/>
  <c r="H209" i="2"/>
  <c r="J208" i="2"/>
  <c r="H208" i="2"/>
  <c r="J207" i="2"/>
  <c r="H207" i="2"/>
  <c r="J206" i="2"/>
  <c r="H206" i="2"/>
  <c r="J205" i="2"/>
  <c r="H205" i="2"/>
  <c r="J204" i="2"/>
  <c r="H204" i="2"/>
  <c r="J203" i="2"/>
  <c r="H203" i="2"/>
  <c r="J202" i="2"/>
  <c r="H202" i="2"/>
  <c r="J201" i="2"/>
  <c r="H201" i="2"/>
  <c r="J200" i="2"/>
  <c r="H200" i="2"/>
  <c r="J199" i="2"/>
  <c r="H199" i="2"/>
  <c r="J198" i="2"/>
  <c r="H198" i="2"/>
  <c r="J197" i="2"/>
  <c r="H197" i="2"/>
  <c r="J196" i="2"/>
  <c r="H196" i="2"/>
  <c r="J195" i="2"/>
  <c r="H195" i="2"/>
  <c r="J194" i="2"/>
  <c r="H194" i="2"/>
  <c r="J193" i="2"/>
  <c r="H193" i="2"/>
  <c r="J192" i="2"/>
  <c r="H192" i="2"/>
  <c r="J191" i="2"/>
  <c r="H191" i="2"/>
  <c r="J190" i="2"/>
  <c r="H190" i="2"/>
  <c r="J189" i="2"/>
  <c r="H189" i="2"/>
  <c r="J188" i="2"/>
  <c r="H188" i="2"/>
  <c r="J187" i="2"/>
  <c r="H187" i="2"/>
  <c r="J186" i="2"/>
  <c r="H186" i="2"/>
  <c r="J185" i="2"/>
  <c r="H185" i="2"/>
  <c r="J184" i="2"/>
  <c r="H184" i="2"/>
  <c r="J183" i="2"/>
  <c r="H183" i="2"/>
  <c r="J182" i="2"/>
  <c r="H182" i="2"/>
  <c r="J181" i="2"/>
  <c r="H181" i="2"/>
  <c r="J180" i="2"/>
  <c r="H180" i="2"/>
  <c r="J179" i="2"/>
  <c r="H179" i="2"/>
  <c r="J178" i="2"/>
  <c r="H178" i="2"/>
  <c r="J177" i="2"/>
  <c r="H177" i="2"/>
  <c r="CQ5" i="5" a="1"/>
  <c r="CQ5" i="5" s="1"/>
  <c r="DG5" i="5" a="1"/>
  <c r="DG5" i="5" s="1"/>
  <c r="DA6" i="5" a="1"/>
  <c r="DA6" i="5" s="1"/>
  <c r="CU7" i="5" a="1"/>
  <c r="CU7" i="5" s="1"/>
  <c r="CO8" i="5" a="1"/>
  <c r="CO8" i="5" s="1"/>
  <c r="DE8" i="5" a="1"/>
  <c r="DE8" i="5" s="1"/>
  <c r="CY9" i="5" a="1"/>
  <c r="CY9" i="5" s="1"/>
  <c r="CS10" i="5" a="1"/>
  <c r="CS10" i="5" s="1"/>
  <c r="DI10" i="5" a="1"/>
  <c r="DI10" i="5" s="1"/>
  <c r="DC11" i="5" a="1"/>
  <c r="DC11" i="5" s="1"/>
  <c r="CW12" i="5" a="1"/>
  <c r="CW12" i="5" s="1"/>
  <c r="CQ13" i="5" a="1"/>
  <c r="CQ13" i="5" s="1"/>
  <c r="DG13" i="5" a="1"/>
  <c r="DG13" i="5" s="1"/>
  <c r="DA14" i="5" a="1"/>
  <c r="DA14" i="5" s="1"/>
  <c r="AT6" i="5" a="1"/>
  <c r="AT6" i="5" s="1"/>
  <c r="AU6" i="5" s="1"/>
  <c r="CR5" i="5" a="1"/>
  <c r="CR5" i="5" s="1"/>
  <c r="DH5" i="5" a="1"/>
  <c r="DH5" i="5" s="1"/>
  <c r="DB6" i="5" a="1"/>
  <c r="DB6" i="5" s="1"/>
  <c r="CV7" i="5" a="1"/>
  <c r="CV7" i="5" s="1"/>
  <c r="CP8" i="5" a="1"/>
  <c r="CP8" i="5" s="1"/>
  <c r="DF8" i="5" a="1"/>
  <c r="DF8" i="5" s="1"/>
  <c r="CZ9" i="5" a="1"/>
  <c r="CZ9" i="5" s="1"/>
  <c r="CT10" i="5" a="1"/>
  <c r="CT10" i="5" s="1"/>
  <c r="CN11" i="5" a="1"/>
  <c r="CN11" i="5" s="1"/>
  <c r="DD11" i="5" a="1"/>
  <c r="DD11" i="5" s="1"/>
  <c r="CX12" i="5" a="1"/>
  <c r="CX12" i="5" s="1"/>
  <c r="CR13" i="5" a="1"/>
  <c r="CR13" i="5" s="1"/>
  <c r="AT7" i="5" a="1"/>
  <c r="AT7" i="5" s="1"/>
  <c r="AU7" i="5" s="1"/>
  <c r="CS5" i="5" a="1"/>
  <c r="CS5" i="5" s="1"/>
  <c r="DI5" i="5" a="1"/>
  <c r="DI5" i="5" s="1"/>
  <c r="DC6" i="5" a="1"/>
  <c r="DC6" i="5" s="1"/>
  <c r="CW7" i="5" a="1"/>
  <c r="CW7" i="5" s="1"/>
  <c r="CQ8" i="5" a="1"/>
  <c r="CQ8" i="5" s="1"/>
  <c r="DG8" i="5" a="1"/>
  <c r="DG8" i="5" s="1"/>
  <c r="DA9" i="5" a="1"/>
  <c r="DA9" i="5" s="1"/>
  <c r="CU10" i="5" a="1"/>
  <c r="CU10" i="5" s="1"/>
  <c r="CO11" i="5" a="1"/>
  <c r="CO11" i="5" s="1"/>
  <c r="DE11" i="5" a="1"/>
  <c r="DE11" i="5" s="1"/>
  <c r="CY12" i="5" a="1"/>
  <c r="CY12" i="5" s="1"/>
  <c r="CS13" i="5" a="1"/>
  <c r="CS13" i="5" s="1"/>
  <c r="DI13" i="5" a="1"/>
  <c r="DI13" i="5" s="1"/>
  <c r="DC14" i="5" a="1"/>
  <c r="DC14" i="5" s="1"/>
  <c r="CW15" i="5" a="1"/>
  <c r="CW15" i="5" s="1"/>
  <c r="CQ16" i="5" a="1"/>
  <c r="CQ16" i="5" s="1"/>
  <c r="DG16" i="5" a="1"/>
  <c r="DG16" i="5" s="1"/>
  <c r="CO16" i="5" a="1"/>
  <c r="CO16" i="5" s="1"/>
  <c r="AT8" i="5" a="1"/>
  <c r="AT8" i="5" s="1"/>
  <c r="AU8" i="5" s="1"/>
  <c r="CT5" i="5" a="1"/>
  <c r="CT5" i="5" s="1"/>
  <c r="CN6" i="5" a="1"/>
  <c r="CN6" i="5" s="1"/>
  <c r="DD6" i="5" a="1"/>
  <c r="DD6" i="5" s="1"/>
  <c r="CX7" i="5" a="1"/>
  <c r="CX7" i="5" s="1"/>
  <c r="CR8" i="5" a="1"/>
  <c r="CR8" i="5" s="1"/>
  <c r="DH8" i="5" a="1"/>
  <c r="DH8" i="5" s="1"/>
  <c r="DB9" i="5" a="1"/>
  <c r="DB9" i="5" s="1"/>
  <c r="CV10" i="5" a="1"/>
  <c r="CV10" i="5" s="1"/>
  <c r="CP11" i="5" a="1"/>
  <c r="CP11" i="5" s="1"/>
  <c r="DF11" i="5" a="1"/>
  <c r="DF11" i="5" s="1"/>
  <c r="CZ12" i="5" a="1"/>
  <c r="CZ12" i="5" s="1"/>
  <c r="CT13" i="5" a="1"/>
  <c r="CT13" i="5" s="1"/>
  <c r="CN14" i="5" a="1"/>
  <c r="CN14" i="5" s="1"/>
  <c r="DD14" i="5" a="1"/>
  <c r="DD14" i="5" s="1"/>
  <c r="CX15" i="5" a="1"/>
  <c r="CX15" i="5" s="1"/>
  <c r="CR16" i="5" a="1"/>
  <c r="CR16" i="5" s="1"/>
  <c r="DH16" i="5" a="1"/>
  <c r="DH16" i="5" s="1"/>
  <c r="DI16" i="5" a="1"/>
  <c r="DI16" i="5" s="1"/>
  <c r="CY14" i="5" a="1"/>
  <c r="CY14" i="5" s="1"/>
  <c r="DB14" i="5" a="1"/>
  <c r="DB14" i="5" s="1"/>
  <c r="AT9" i="5" a="1"/>
  <c r="AT9" i="5" s="1"/>
  <c r="AU9" i="5" s="1"/>
  <c r="CU5" i="5" a="1"/>
  <c r="CU5" i="5" s="1"/>
  <c r="CU17" i="5" s="1"/>
  <c r="CO6" i="5" a="1"/>
  <c r="CO6" i="5" s="1"/>
  <c r="DE6" i="5" a="1"/>
  <c r="DE6" i="5" s="1"/>
  <c r="CY7" i="5" a="1"/>
  <c r="CY7" i="5" s="1"/>
  <c r="CS8" i="5" a="1"/>
  <c r="CS8" i="5" s="1"/>
  <c r="DI8" i="5" a="1"/>
  <c r="DI8" i="5" s="1"/>
  <c r="DC9" i="5" a="1"/>
  <c r="DC9" i="5" s="1"/>
  <c r="CW10" i="5" a="1"/>
  <c r="CW10" i="5" s="1"/>
  <c r="CQ11" i="5" a="1"/>
  <c r="CQ11" i="5" s="1"/>
  <c r="DG11" i="5" a="1"/>
  <c r="DG11" i="5" s="1"/>
  <c r="DA12" i="5" a="1"/>
  <c r="DA12" i="5" s="1"/>
  <c r="CU13" i="5" a="1"/>
  <c r="CU13" i="5" s="1"/>
  <c r="CO14" i="5" a="1"/>
  <c r="CO14" i="5" s="1"/>
  <c r="DE14" i="5" a="1"/>
  <c r="DE14" i="5" s="1"/>
  <c r="CY15" i="5" a="1"/>
  <c r="CY15" i="5" s="1"/>
  <c r="CS16" i="5" a="1"/>
  <c r="CS16" i="5" s="1"/>
  <c r="DH15" i="5" a="1"/>
  <c r="DH15" i="5" s="1"/>
  <c r="DE16" i="5" a="1"/>
  <c r="DE16" i="5" s="1"/>
  <c r="AT10" i="5" a="1"/>
  <c r="AT10" i="5" s="1"/>
  <c r="AU10" i="5" s="1"/>
  <c r="CV5" i="5" a="1"/>
  <c r="CV5" i="5" s="1"/>
  <c r="CP6" i="5" a="1"/>
  <c r="CP6" i="5" s="1"/>
  <c r="DF6" i="5" a="1"/>
  <c r="DF6" i="5" s="1"/>
  <c r="CZ7" i="5" a="1"/>
  <c r="CZ7" i="5" s="1"/>
  <c r="CT8" i="5" a="1"/>
  <c r="CT8" i="5" s="1"/>
  <c r="CN9" i="5" a="1"/>
  <c r="CN9" i="5" s="1"/>
  <c r="DD9" i="5" a="1"/>
  <c r="DD9" i="5" s="1"/>
  <c r="CX10" i="5" a="1"/>
  <c r="CX10" i="5" s="1"/>
  <c r="CR11" i="5" a="1"/>
  <c r="CR11" i="5" s="1"/>
  <c r="DH11" i="5" a="1"/>
  <c r="DH11" i="5" s="1"/>
  <c r="DB12" i="5" a="1"/>
  <c r="DB12" i="5" s="1"/>
  <c r="CV13" i="5" a="1"/>
  <c r="CV13" i="5" s="1"/>
  <c r="CP14" i="5" a="1"/>
  <c r="CP14" i="5" s="1"/>
  <c r="DF14" i="5" a="1"/>
  <c r="DF14" i="5" s="1"/>
  <c r="CZ15" i="5" a="1"/>
  <c r="CZ15" i="5" s="1"/>
  <c r="CT16" i="5" a="1"/>
  <c r="CT16" i="5" s="1"/>
  <c r="DA15" i="5" a="1"/>
  <c r="DA15" i="5" s="1"/>
  <c r="CO15" i="5" a="1"/>
  <c r="CO15" i="5" s="1"/>
  <c r="DF15" i="5" a="1"/>
  <c r="DF15" i="5" s="1"/>
  <c r="DB16" i="5" a="1"/>
  <c r="DB16" i="5" s="1"/>
  <c r="DH13" i="5" a="1"/>
  <c r="DH13" i="5" s="1"/>
  <c r="AT11" i="5" a="1"/>
  <c r="AT11" i="5" s="1"/>
  <c r="AU11" i="5" s="1"/>
  <c r="CW5" i="5" a="1"/>
  <c r="CW5" i="5" s="1"/>
  <c r="CQ6" i="5" a="1"/>
  <c r="CQ6" i="5" s="1"/>
  <c r="DG6" i="5" a="1"/>
  <c r="DG6" i="5" s="1"/>
  <c r="DA7" i="5" a="1"/>
  <c r="DA7" i="5" s="1"/>
  <c r="CU8" i="5" a="1"/>
  <c r="CU8" i="5" s="1"/>
  <c r="CO9" i="5" a="1"/>
  <c r="CO9" i="5" s="1"/>
  <c r="DE9" i="5" a="1"/>
  <c r="DE9" i="5" s="1"/>
  <c r="CY10" i="5" a="1"/>
  <c r="CY10" i="5" s="1"/>
  <c r="CS11" i="5" a="1"/>
  <c r="CS11" i="5" s="1"/>
  <c r="DI11" i="5" a="1"/>
  <c r="DI11" i="5" s="1"/>
  <c r="DC12" i="5" a="1"/>
  <c r="DC12" i="5" s="1"/>
  <c r="CW13" i="5" a="1"/>
  <c r="CW13" i="5" s="1"/>
  <c r="CQ14" i="5" a="1"/>
  <c r="CQ14" i="5" s="1"/>
  <c r="DG14" i="5" a="1"/>
  <c r="DG14" i="5" s="1"/>
  <c r="CU16" i="5" a="1"/>
  <c r="CU16" i="5" s="1"/>
  <c r="CV14" i="5" a="1"/>
  <c r="CV14" i="5" s="1"/>
  <c r="CQ15" i="5" a="1"/>
  <c r="CQ15" i="5" s="1"/>
  <c r="CZ14" i="5" a="1"/>
  <c r="CZ14" i="5" s="1"/>
  <c r="AT12" i="5" a="1"/>
  <c r="AT12" i="5" s="1"/>
  <c r="AU12" i="5" s="1"/>
  <c r="CX5" i="5" a="1"/>
  <c r="CX5" i="5" s="1"/>
  <c r="CR6" i="5" a="1"/>
  <c r="CR6" i="5" s="1"/>
  <c r="DH6" i="5" a="1"/>
  <c r="DH6" i="5" s="1"/>
  <c r="DB7" i="5" a="1"/>
  <c r="DB7" i="5" s="1"/>
  <c r="CV8" i="5" a="1"/>
  <c r="CV8" i="5" s="1"/>
  <c r="CP9" i="5" a="1"/>
  <c r="CP9" i="5" s="1"/>
  <c r="DF9" i="5" a="1"/>
  <c r="DF9" i="5" s="1"/>
  <c r="CZ10" i="5" a="1"/>
  <c r="CZ10" i="5" s="1"/>
  <c r="CT11" i="5" a="1"/>
  <c r="CT11" i="5" s="1"/>
  <c r="CN12" i="5" a="1"/>
  <c r="CN12" i="5" s="1"/>
  <c r="DD12" i="5" a="1"/>
  <c r="DD12" i="5" s="1"/>
  <c r="CX13" i="5" a="1"/>
  <c r="CX13" i="5" s="1"/>
  <c r="CR14" i="5" a="1"/>
  <c r="CR14" i="5" s="1"/>
  <c r="DH14" i="5" a="1"/>
  <c r="DH14" i="5" s="1"/>
  <c r="DB15" i="5" a="1"/>
  <c r="DB15" i="5" s="1"/>
  <c r="CV16" i="5" a="1"/>
  <c r="CV16" i="5" s="1"/>
  <c r="DB13" i="5" a="1"/>
  <c r="DB13" i="5" s="1"/>
  <c r="CW14" i="5" a="1"/>
  <c r="CW14" i="5" s="1"/>
  <c r="DC16" i="5" a="1"/>
  <c r="DC16" i="5" s="1"/>
  <c r="DF16" i="5" a="1"/>
  <c r="DF16" i="5" s="1"/>
  <c r="AT13" i="5" a="1"/>
  <c r="AT13" i="5" s="1"/>
  <c r="AU13" i="5" s="1"/>
  <c r="CY5" i="5" a="1"/>
  <c r="CY5" i="5" s="1"/>
  <c r="CS6" i="5" a="1"/>
  <c r="CS6" i="5" s="1"/>
  <c r="DI6" i="5" a="1"/>
  <c r="DI6" i="5" s="1"/>
  <c r="DC7" i="5" a="1"/>
  <c r="DC7" i="5" s="1"/>
  <c r="CW8" i="5" a="1"/>
  <c r="CW8" i="5" s="1"/>
  <c r="CQ9" i="5" a="1"/>
  <c r="CQ9" i="5" s="1"/>
  <c r="DG9" i="5" a="1"/>
  <c r="DG9" i="5" s="1"/>
  <c r="DA10" i="5" a="1"/>
  <c r="DA10" i="5" s="1"/>
  <c r="CU11" i="5" a="1"/>
  <c r="CU11" i="5" s="1"/>
  <c r="CO12" i="5" a="1"/>
  <c r="CO12" i="5" s="1"/>
  <c r="DE12" i="5" a="1"/>
  <c r="DE12" i="5" s="1"/>
  <c r="CY13" i="5" a="1"/>
  <c r="CY13" i="5" s="1"/>
  <c r="CS14" i="5" a="1"/>
  <c r="CS14" i="5" s="1"/>
  <c r="DI14" i="5" a="1"/>
  <c r="DI14" i="5" s="1"/>
  <c r="DC15" i="5" a="1"/>
  <c r="DC15" i="5" s="1"/>
  <c r="CW16" i="5" a="1"/>
  <c r="CW16" i="5" s="1"/>
  <c r="CU14" i="5" a="1"/>
  <c r="CU14" i="5" s="1"/>
  <c r="CP15" i="5" a="1"/>
  <c r="CP15" i="5" s="1"/>
  <c r="DA16" i="5" a="1"/>
  <c r="DA16" i="5" s="1"/>
  <c r="CT15" i="5" a="1"/>
  <c r="CT15" i="5" s="1"/>
  <c r="AT14" i="5" a="1"/>
  <c r="AT14" i="5" s="1"/>
  <c r="AU14" i="5" s="1"/>
  <c r="CZ5" i="5" a="1"/>
  <c r="CZ5" i="5" s="1"/>
  <c r="CZ17" i="5" s="1"/>
  <c r="CT6" i="5" a="1"/>
  <c r="CT6" i="5" s="1"/>
  <c r="CN7" i="5" a="1"/>
  <c r="CN7" i="5" s="1"/>
  <c r="DD7" i="5" a="1"/>
  <c r="DD7" i="5" s="1"/>
  <c r="CX8" i="5" a="1"/>
  <c r="CX8" i="5" s="1"/>
  <c r="CR9" i="5" a="1"/>
  <c r="CR9" i="5" s="1"/>
  <c r="DH9" i="5" a="1"/>
  <c r="DH9" i="5" s="1"/>
  <c r="DB10" i="5" a="1"/>
  <c r="DB10" i="5" s="1"/>
  <c r="CV11" i="5" a="1"/>
  <c r="CV11" i="5" s="1"/>
  <c r="CP12" i="5" a="1"/>
  <c r="CP12" i="5" s="1"/>
  <c r="DF12" i="5" a="1"/>
  <c r="DF12" i="5" s="1"/>
  <c r="CZ13" i="5" a="1"/>
  <c r="CZ13" i="5" s="1"/>
  <c r="CT14" i="5" a="1"/>
  <c r="CT14" i="5" s="1"/>
  <c r="CN15" i="5" a="1"/>
  <c r="CN15" i="5" s="1"/>
  <c r="DD15" i="5" a="1"/>
  <c r="DD15" i="5" s="1"/>
  <c r="CX16" i="5" a="1"/>
  <c r="CX16" i="5" s="1"/>
  <c r="DA13" i="5" a="1"/>
  <c r="DA13" i="5" s="1"/>
  <c r="CY16" i="5" a="1"/>
  <c r="CY16" i="5" s="1"/>
  <c r="CZ16" i="5" a="1"/>
  <c r="CZ16" i="5" s="1"/>
  <c r="CS15" i="5" a="1"/>
  <c r="CS15" i="5" s="1"/>
  <c r="CP16" i="5" a="1"/>
  <c r="CP16" i="5" s="1"/>
  <c r="AT15" i="5" a="1"/>
  <c r="AT15" i="5" s="1"/>
  <c r="AU15" i="5" s="1"/>
  <c r="DA5" i="5" a="1"/>
  <c r="DA5" i="5" s="1"/>
  <c r="CU6" i="5" a="1"/>
  <c r="CU6" i="5" s="1"/>
  <c r="CO7" i="5" a="1"/>
  <c r="CO7" i="5" s="1"/>
  <c r="DE7" i="5" a="1"/>
  <c r="DE7" i="5" s="1"/>
  <c r="CY8" i="5" a="1"/>
  <c r="CY8" i="5" s="1"/>
  <c r="CS9" i="5" a="1"/>
  <c r="CS9" i="5" s="1"/>
  <c r="DI9" i="5" a="1"/>
  <c r="DI9" i="5" s="1"/>
  <c r="DC10" i="5" a="1"/>
  <c r="DC10" i="5" s="1"/>
  <c r="CW11" i="5" a="1"/>
  <c r="CW11" i="5" s="1"/>
  <c r="CQ12" i="5" a="1"/>
  <c r="CQ12" i="5" s="1"/>
  <c r="DG12" i="5" a="1"/>
  <c r="DG12" i="5" s="1"/>
  <c r="DE15" i="5" a="1"/>
  <c r="DE15" i="5" s="1"/>
  <c r="DG15" i="5" a="1"/>
  <c r="DG15" i="5" s="1"/>
  <c r="CV15" i="5" a="1"/>
  <c r="CV15" i="5" s="1"/>
  <c r="AT16" i="5" a="1"/>
  <c r="AT16" i="5" s="1"/>
  <c r="AU16" i="5" s="1"/>
  <c r="DB5" i="5" a="1"/>
  <c r="DB5" i="5" s="1"/>
  <c r="CV6" i="5" a="1"/>
  <c r="CV6" i="5" s="1"/>
  <c r="CP7" i="5" a="1"/>
  <c r="CP7" i="5" s="1"/>
  <c r="DF7" i="5" a="1"/>
  <c r="DF7" i="5" s="1"/>
  <c r="CZ8" i="5" a="1"/>
  <c r="CZ8" i="5" s="1"/>
  <c r="CT9" i="5" a="1"/>
  <c r="CT9" i="5" s="1"/>
  <c r="CN10" i="5" a="1"/>
  <c r="CN10" i="5" s="1"/>
  <c r="DD10" i="5" a="1"/>
  <c r="DD10" i="5" s="1"/>
  <c r="CX11" i="5" a="1"/>
  <c r="CX11" i="5" s="1"/>
  <c r="CR12" i="5" a="1"/>
  <c r="CR12" i="5" s="1"/>
  <c r="DH12" i="5" a="1"/>
  <c r="DH12" i="5" s="1"/>
  <c r="DC13" i="5" a="1"/>
  <c r="DC13" i="5" s="1"/>
  <c r="DD16" i="5" a="1"/>
  <c r="DD16" i="5" s="1"/>
  <c r="AT5" i="5" a="1"/>
  <c r="AT5" i="5" s="1"/>
  <c r="AU5" i="5" s="1"/>
  <c r="AU17" i="5" s="1"/>
  <c r="DC5" i="5" a="1"/>
  <c r="DC5" i="5" s="1"/>
  <c r="CW6" i="5" a="1"/>
  <c r="CW6" i="5" s="1"/>
  <c r="CQ7" i="5" a="1"/>
  <c r="CQ7" i="5" s="1"/>
  <c r="DG7" i="5" a="1"/>
  <c r="DG7" i="5" s="1"/>
  <c r="DG17" i="5" s="1"/>
  <c r="DA8" i="5" a="1"/>
  <c r="DA8" i="5" s="1"/>
  <c r="CU9" i="5" a="1"/>
  <c r="CU9" i="5" s="1"/>
  <c r="CO10" i="5" a="1"/>
  <c r="CO10" i="5" s="1"/>
  <c r="DE10" i="5" a="1"/>
  <c r="DE10" i="5" s="1"/>
  <c r="CY11" i="5" a="1"/>
  <c r="CY11" i="5" s="1"/>
  <c r="CS12" i="5" a="1"/>
  <c r="CS12" i="5" s="1"/>
  <c r="DI12" i="5" a="1"/>
  <c r="DI12" i="5" s="1"/>
  <c r="CR15" i="5" a="1"/>
  <c r="CR15" i="5" s="1"/>
  <c r="CN5" i="5" a="1"/>
  <c r="CN5" i="5" s="1"/>
  <c r="DD5" i="5" a="1"/>
  <c r="DD5" i="5" s="1"/>
  <c r="CX6" i="5" a="1"/>
  <c r="CX6" i="5" s="1"/>
  <c r="CR7" i="5" a="1"/>
  <c r="CR7" i="5" s="1"/>
  <c r="DH7" i="5" a="1"/>
  <c r="DH7" i="5" s="1"/>
  <c r="DB8" i="5" a="1"/>
  <c r="DB8" i="5" s="1"/>
  <c r="CV9" i="5" a="1"/>
  <c r="CV9" i="5" s="1"/>
  <c r="CP10" i="5" a="1"/>
  <c r="CP10" i="5" s="1"/>
  <c r="DF10" i="5" a="1"/>
  <c r="DF10" i="5" s="1"/>
  <c r="CZ11" i="5" a="1"/>
  <c r="CZ11" i="5" s="1"/>
  <c r="CT12" i="5" a="1"/>
  <c r="CT12" i="5" s="1"/>
  <c r="CN13" i="5" a="1"/>
  <c r="CN13" i="5" s="1"/>
  <c r="DD13" i="5" a="1"/>
  <c r="DD13" i="5" s="1"/>
  <c r="CX14" i="5" a="1"/>
  <c r="CX14" i="5" s="1"/>
  <c r="DI15" i="5" a="1"/>
  <c r="DI15" i="5" s="1"/>
  <c r="CO5" i="5" a="1"/>
  <c r="CO5" i="5" s="1"/>
  <c r="DE5" i="5" a="1"/>
  <c r="DE5" i="5" s="1"/>
  <c r="DE17" i="5" s="1"/>
  <c r="CY6" i="5" a="1"/>
  <c r="CY6" i="5" s="1"/>
  <c r="CY17" i="5" s="1"/>
  <c r="CS7" i="5" a="1"/>
  <c r="CS7" i="5" s="1"/>
  <c r="DI7" i="5" a="1"/>
  <c r="DI7" i="5" s="1"/>
  <c r="DI17" i="5" s="1"/>
  <c r="DC8" i="5" a="1"/>
  <c r="DC8" i="5" s="1"/>
  <c r="CW9" i="5" a="1"/>
  <c r="CW9" i="5" s="1"/>
  <c r="CQ10" i="5" a="1"/>
  <c r="CQ10" i="5" s="1"/>
  <c r="DG10" i="5" a="1"/>
  <c r="DG10" i="5" s="1"/>
  <c r="DA11" i="5" a="1"/>
  <c r="DA11" i="5" s="1"/>
  <c r="CU12" i="5" a="1"/>
  <c r="CU12" i="5" s="1"/>
  <c r="CO13" i="5" a="1"/>
  <c r="CO13" i="5" s="1"/>
  <c r="DE13" i="5" a="1"/>
  <c r="DE13" i="5" s="1"/>
  <c r="CU15" i="5" a="1"/>
  <c r="CU15" i="5" s="1"/>
  <c r="CP5" i="5" a="1"/>
  <c r="CP5" i="5" s="1"/>
  <c r="DF5" i="5" a="1"/>
  <c r="DF5" i="5" s="1"/>
  <c r="CZ6" i="5" a="1"/>
  <c r="CZ6" i="5" s="1"/>
  <c r="CT7" i="5" a="1"/>
  <c r="CT7" i="5" s="1"/>
  <c r="CT17" i="5" s="1"/>
  <c r="CN8" i="5" a="1"/>
  <c r="CN8" i="5" s="1"/>
  <c r="DD8" i="5" a="1"/>
  <c r="DD8" i="5" s="1"/>
  <c r="CX9" i="5" a="1"/>
  <c r="CX9" i="5" s="1"/>
  <c r="CR10" i="5" a="1"/>
  <c r="CR10" i="5" s="1"/>
  <c r="DH10" i="5" a="1"/>
  <c r="DH10" i="5" s="1"/>
  <c r="DB11" i="5" a="1"/>
  <c r="DB11" i="5" s="1"/>
  <c r="CV12" i="5" a="1"/>
  <c r="CV12" i="5" s="1"/>
  <c r="CP13" i="5" a="1"/>
  <c r="CP13" i="5" s="1"/>
  <c r="DF13" i="5" a="1"/>
  <c r="DF13" i="5" s="1"/>
  <c r="CN16" i="5" a="1"/>
  <c r="CN16" i="5" s="1"/>
  <c r="B5" i="9"/>
  <c r="BS5" i="5" a="1"/>
  <c r="BS5" i="5" s="1"/>
  <c r="BT5" i="5" a="1"/>
  <c r="BT5" i="5" s="1"/>
  <c r="BU5" i="5" a="1"/>
  <c r="BU5" i="5" s="1"/>
  <c r="BV5" i="5" a="1"/>
  <c r="BV5" i="5" s="1"/>
  <c r="BW5" i="5" a="1"/>
  <c r="BW5" i="5" s="1"/>
  <c r="BX5" i="5" a="1"/>
  <c r="BX5" i="5" s="1"/>
  <c r="BY5" i="5" a="1"/>
  <c r="BY5" i="5" s="1"/>
  <c r="BZ5" i="5" a="1"/>
  <c r="BZ5" i="5" s="1"/>
  <c r="CA5" i="5" a="1"/>
  <c r="CA5" i="5" s="1"/>
  <c r="CB5" i="5" a="1"/>
  <c r="CB5" i="5" s="1"/>
  <c r="CC5" i="5" a="1"/>
  <c r="CC5" i="5" s="1"/>
  <c r="CD5" i="5" a="1"/>
  <c r="CD5" i="5" s="1"/>
  <c r="CE5" i="5" a="1"/>
  <c r="CE5" i="5" s="1"/>
  <c r="CF5" i="5" a="1"/>
  <c r="CF5" i="5" s="1"/>
  <c r="CG5" i="5" a="1"/>
  <c r="CG5" i="5" s="1"/>
  <c r="CH5" i="5" a="1"/>
  <c r="CH5" i="5" s="1"/>
  <c r="CI5" i="5" a="1"/>
  <c r="CI5" i="5" s="1"/>
  <c r="CJ5" i="5" a="1"/>
  <c r="CJ5" i="5" s="1"/>
  <c r="CK5" i="5" a="1"/>
  <c r="CK5" i="5" s="1"/>
  <c r="CL5" i="5" a="1"/>
  <c r="CL5" i="5" s="1"/>
  <c r="CM5" i="5" a="1"/>
  <c r="CM5" i="5" s="1"/>
  <c r="BR5" i="5" a="1"/>
  <c r="BR5" i="5" s="1"/>
  <c r="CP17" i="5" l="1"/>
  <c r="DB17" i="5"/>
  <c r="DH17" i="5"/>
  <c r="CW17" i="5"/>
  <c r="CS17" i="5"/>
  <c r="CO17" i="5"/>
  <c r="DA17" i="5"/>
  <c r="CV17" i="5"/>
  <c r="CN17" i="5"/>
  <c r="CQ17" i="5"/>
  <c r="DC17" i="5"/>
  <c r="CR17" i="5"/>
  <c r="CX17" i="5"/>
  <c r="BY17" i="5"/>
  <c r="AT17" i="5"/>
  <c r="DD17" i="5"/>
  <c r="CK17" i="5"/>
  <c r="CI17" i="5"/>
  <c r="CG17" i="5"/>
  <c r="DF17" i="5"/>
  <c r="B6" i="9"/>
  <c r="A8" i="1"/>
  <c r="CM6" i="5" a="1"/>
  <c r="CM6" i="5" s="1"/>
  <c r="CI6" i="5" a="1"/>
  <c r="CI6" i="5" s="1"/>
  <c r="CE6" i="5" a="1"/>
  <c r="CE6" i="5" s="1"/>
  <c r="CA6" i="5" a="1"/>
  <c r="CA6" i="5" s="1"/>
  <c r="BW6" i="5" a="1"/>
  <c r="BW6" i="5" s="1"/>
  <c r="BS6" i="5" a="1"/>
  <c r="BS6" i="5" s="1"/>
  <c r="CK16" i="5" a="1"/>
  <c r="CK16" i="5" s="1"/>
  <c r="CG16" i="5" a="1"/>
  <c r="CG16" i="5" s="1"/>
  <c r="CC16" i="5" a="1"/>
  <c r="CC16" i="5" s="1"/>
  <c r="BY16" i="5" a="1"/>
  <c r="BY16" i="5" s="1"/>
  <c r="BU16" i="5" a="1"/>
  <c r="BU16" i="5" s="1"/>
  <c r="CK15" i="5" a="1"/>
  <c r="CK15" i="5" s="1"/>
  <c r="CG15" i="5" a="1"/>
  <c r="CG15" i="5" s="1"/>
  <c r="CC15" i="5" a="1"/>
  <c r="CC15" i="5" s="1"/>
  <c r="BY15" i="5" a="1"/>
  <c r="BY15" i="5" s="1"/>
  <c r="BU15" i="5" a="1"/>
  <c r="BU15" i="5" s="1"/>
  <c r="CM14" i="5" a="1"/>
  <c r="CM14" i="5" s="1"/>
  <c r="CI14" i="5" a="1"/>
  <c r="CI14" i="5" s="1"/>
  <c r="CE14" i="5" a="1"/>
  <c r="CE14" i="5" s="1"/>
  <c r="CA14" i="5" a="1"/>
  <c r="CA14" i="5" s="1"/>
  <c r="BW14" i="5" a="1"/>
  <c r="BW14" i="5" s="1"/>
  <c r="BS14" i="5" a="1"/>
  <c r="BS14" i="5" s="1"/>
  <c r="CM13" i="5" a="1"/>
  <c r="CM13" i="5" s="1"/>
  <c r="CI13" i="5" a="1"/>
  <c r="CI13" i="5" s="1"/>
  <c r="CE13" i="5" a="1"/>
  <c r="CE13" i="5" s="1"/>
  <c r="CA13" i="5" a="1"/>
  <c r="CA13" i="5" s="1"/>
  <c r="BW13" i="5" a="1"/>
  <c r="BW13" i="5" s="1"/>
  <c r="BS13" i="5" a="1"/>
  <c r="BS13" i="5" s="1"/>
  <c r="CK12" i="5" a="1"/>
  <c r="CK12" i="5" s="1"/>
  <c r="CG12" i="5" a="1"/>
  <c r="CG12" i="5" s="1"/>
  <c r="CC12" i="5" a="1"/>
  <c r="CC12" i="5" s="1"/>
  <c r="BY12" i="5" a="1"/>
  <c r="BY12" i="5" s="1"/>
  <c r="BU12" i="5" a="1"/>
  <c r="BU12" i="5" s="1"/>
  <c r="CM11" i="5" a="1"/>
  <c r="CM11" i="5" s="1"/>
  <c r="CI11" i="5" a="1"/>
  <c r="CI11" i="5" s="1"/>
  <c r="CE11" i="5" a="1"/>
  <c r="CE11" i="5" s="1"/>
  <c r="CA11" i="5" a="1"/>
  <c r="CA11" i="5" s="1"/>
  <c r="BW11" i="5" a="1"/>
  <c r="BW11" i="5" s="1"/>
  <c r="BS11" i="5" a="1"/>
  <c r="BS11" i="5" s="1"/>
  <c r="CM10" i="5" a="1"/>
  <c r="CM10" i="5" s="1"/>
  <c r="CI10" i="5" a="1"/>
  <c r="CI10" i="5" s="1"/>
  <c r="CE10" i="5" a="1"/>
  <c r="CE10" i="5" s="1"/>
  <c r="CA10" i="5" a="1"/>
  <c r="CA10" i="5" s="1"/>
  <c r="BW10" i="5" a="1"/>
  <c r="BW10" i="5" s="1"/>
  <c r="BS10" i="5" a="1"/>
  <c r="BS10" i="5" s="1"/>
  <c r="CK9" i="5" a="1"/>
  <c r="CK9" i="5" s="1"/>
  <c r="CG9" i="5" a="1"/>
  <c r="CG9" i="5" s="1"/>
  <c r="CC9" i="5" a="1"/>
  <c r="CC9" i="5" s="1"/>
  <c r="BY9" i="5" a="1"/>
  <c r="BY9" i="5" s="1"/>
  <c r="BU9" i="5" a="1"/>
  <c r="BU9" i="5" s="1"/>
  <c r="CK8" i="5" a="1"/>
  <c r="CK8" i="5" s="1"/>
  <c r="CG8" i="5" a="1"/>
  <c r="CG8" i="5" s="1"/>
  <c r="CC8" i="5" a="1"/>
  <c r="CC8" i="5" s="1"/>
  <c r="BY8" i="5" a="1"/>
  <c r="BY8" i="5" s="1"/>
  <c r="BU8" i="5" a="1"/>
  <c r="BU8" i="5" s="1"/>
  <c r="CM7" i="5" a="1"/>
  <c r="CM7" i="5" s="1"/>
  <c r="CI7" i="5" a="1"/>
  <c r="CI7" i="5" s="1"/>
  <c r="CE7" i="5" a="1"/>
  <c r="CE7" i="5" s="1"/>
  <c r="CA7" i="5" a="1"/>
  <c r="CA7" i="5" s="1"/>
  <c r="BW7" i="5" a="1"/>
  <c r="BW7" i="5" s="1"/>
  <c r="BS7" i="5" a="1"/>
  <c r="BS7" i="5" s="1"/>
  <c r="CL6" i="5" a="1"/>
  <c r="CL6" i="5" s="1"/>
  <c r="CH6" i="5" a="1"/>
  <c r="CH6" i="5" s="1"/>
  <c r="CD6" i="5" a="1"/>
  <c r="CD6" i="5" s="1"/>
  <c r="BZ6" i="5" a="1"/>
  <c r="BZ6" i="5" s="1"/>
  <c r="BV6" i="5" a="1"/>
  <c r="BV6" i="5" s="1"/>
  <c r="BR6" i="5" a="1"/>
  <c r="BR6" i="5" s="1"/>
  <c r="CJ16" i="5" a="1"/>
  <c r="CJ16" i="5" s="1"/>
  <c r="CF16" i="5" a="1"/>
  <c r="CF16" i="5" s="1"/>
  <c r="CB16" i="5" a="1"/>
  <c r="CB16" i="5" s="1"/>
  <c r="BX16" i="5" a="1"/>
  <c r="BX16" i="5" s="1"/>
  <c r="BT16" i="5" a="1"/>
  <c r="BT16" i="5" s="1"/>
  <c r="CJ15" i="5" a="1"/>
  <c r="CJ15" i="5" s="1"/>
  <c r="CF15" i="5" a="1"/>
  <c r="CF15" i="5" s="1"/>
  <c r="CB15" i="5" a="1"/>
  <c r="CB15" i="5" s="1"/>
  <c r="BX15" i="5" a="1"/>
  <c r="BX15" i="5" s="1"/>
  <c r="BT15" i="5" a="1"/>
  <c r="BT15" i="5" s="1"/>
  <c r="CL14" i="5" a="1"/>
  <c r="CL14" i="5" s="1"/>
  <c r="CH14" i="5" a="1"/>
  <c r="CH14" i="5" s="1"/>
  <c r="CD14" i="5" a="1"/>
  <c r="CD14" i="5" s="1"/>
  <c r="BZ14" i="5" a="1"/>
  <c r="BZ14" i="5" s="1"/>
  <c r="BV14" i="5" a="1"/>
  <c r="BV14" i="5" s="1"/>
  <c r="BR14" i="5" a="1"/>
  <c r="BR14" i="5" s="1"/>
  <c r="CL13" i="5" a="1"/>
  <c r="CL13" i="5" s="1"/>
  <c r="CH13" i="5" a="1"/>
  <c r="CH13" i="5" s="1"/>
  <c r="CD13" i="5" a="1"/>
  <c r="CD13" i="5" s="1"/>
  <c r="BZ13" i="5" a="1"/>
  <c r="BZ13" i="5" s="1"/>
  <c r="BV13" i="5" a="1"/>
  <c r="BV13" i="5" s="1"/>
  <c r="BR13" i="5" a="1"/>
  <c r="BR13" i="5" s="1"/>
  <c r="CJ12" i="5" a="1"/>
  <c r="CJ12" i="5" s="1"/>
  <c r="CF12" i="5" a="1"/>
  <c r="CF12" i="5" s="1"/>
  <c r="CB12" i="5" a="1"/>
  <c r="CB12" i="5" s="1"/>
  <c r="BX12" i="5" a="1"/>
  <c r="BX12" i="5" s="1"/>
  <c r="BT12" i="5" a="1"/>
  <c r="BT12" i="5" s="1"/>
  <c r="CL11" i="5" a="1"/>
  <c r="CL11" i="5" s="1"/>
  <c r="CH11" i="5" a="1"/>
  <c r="CH11" i="5" s="1"/>
  <c r="CD11" i="5" a="1"/>
  <c r="CD11" i="5" s="1"/>
  <c r="BZ11" i="5" a="1"/>
  <c r="BZ11" i="5" s="1"/>
  <c r="BV11" i="5" a="1"/>
  <c r="BV11" i="5" s="1"/>
  <c r="BR11" i="5" a="1"/>
  <c r="BR11" i="5" s="1"/>
  <c r="CL10" i="5" a="1"/>
  <c r="CL10" i="5" s="1"/>
  <c r="CH10" i="5" a="1"/>
  <c r="CH10" i="5" s="1"/>
  <c r="CD10" i="5" a="1"/>
  <c r="CD10" i="5" s="1"/>
  <c r="BZ10" i="5" a="1"/>
  <c r="BZ10" i="5" s="1"/>
  <c r="BV10" i="5" a="1"/>
  <c r="BV10" i="5" s="1"/>
  <c r="BR10" i="5" a="1"/>
  <c r="BR10" i="5" s="1"/>
  <c r="CJ9" i="5" a="1"/>
  <c r="CJ9" i="5" s="1"/>
  <c r="CF9" i="5" a="1"/>
  <c r="CF9" i="5" s="1"/>
  <c r="CB9" i="5" a="1"/>
  <c r="CB9" i="5" s="1"/>
  <c r="BX9" i="5" a="1"/>
  <c r="BX9" i="5" s="1"/>
  <c r="BT9" i="5" a="1"/>
  <c r="BT9" i="5" s="1"/>
  <c r="CJ8" i="5" a="1"/>
  <c r="CJ8" i="5" s="1"/>
  <c r="CF8" i="5" a="1"/>
  <c r="CF8" i="5" s="1"/>
  <c r="CB8" i="5" a="1"/>
  <c r="CB8" i="5" s="1"/>
  <c r="BX8" i="5" a="1"/>
  <c r="BX8" i="5" s="1"/>
  <c r="BT8" i="5" a="1"/>
  <c r="BT8" i="5" s="1"/>
  <c r="CL7" i="5" a="1"/>
  <c r="CL7" i="5" s="1"/>
  <c r="CH7" i="5" a="1"/>
  <c r="CH7" i="5" s="1"/>
  <c r="CD7" i="5" a="1"/>
  <c r="CD7" i="5" s="1"/>
  <c r="BZ7" i="5" a="1"/>
  <c r="BZ7" i="5" s="1"/>
  <c r="BV7" i="5" a="1"/>
  <c r="BV7" i="5" s="1"/>
  <c r="BR7" i="5" a="1"/>
  <c r="BR7" i="5" s="1"/>
  <c r="CK6" i="5" a="1"/>
  <c r="CK6" i="5" s="1"/>
  <c r="CG6" i="5" a="1"/>
  <c r="CG6" i="5" s="1"/>
  <c r="CC6" i="5" a="1"/>
  <c r="CC6" i="5" s="1"/>
  <c r="BY6" i="5" a="1"/>
  <c r="BY6" i="5" s="1"/>
  <c r="BU6" i="5" a="1"/>
  <c r="BU6" i="5" s="1"/>
  <c r="CM16" i="5" a="1"/>
  <c r="CM16" i="5" s="1"/>
  <c r="CI16" i="5" a="1"/>
  <c r="CI16" i="5" s="1"/>
  <c r="CE16" i="5" a="1"/>
  <c r="CE16" i="5" s="1"/>
  <c r="CA16" i="5" a="1"/>
  <c r="CA16" i="5" s="1"/>
  <c r="BW16" i="5" a="1"/>
  <c r="BW16" i="5" s="1"/>
  <c r="BS16" i="5" a="1"/>
  <c r="BS16" i="5" s="1"/>
  <c r="CM15" i="5" a="1"/>
  <c r="CM15" i="5" s="1"/>
  <c r="CI15" i="5" a="1"/>
  <c r="CI15" i="5" s="1"/>
  <c r="CE15" i="5" a="1"/>
  <c r="CE15" i="5" s="1"/>
  <c r="CA15" i="5" a="1"/>
  <c r="CA15" i="5" s="1"/>
  <c r="BW15" i="5" a="1"/>
  <c r="BW15" i="5" s="1"/>
  <c r="BS15" i="5" a="1"/>
  <c r="BS15" i="5" s="1"/>
  <c r="CK14" i="5" a="1"/>
  <c r="CK14" i="5" s="1"/>
  <c r="CG14" i="5" a="1"/>
  <c r="CG14" i="5" s="1"/>
  <c r="CC14" i="5" a="1"/>
  <c r="CC14" i="5" s="1"/>
  <c r="BY14" i="5" a="1"/>
  <c r="BY14" i="5" s="1"/>
  <c r="BU14" i="5" a="1"/>
  <c r="BU14" i="5" s="1"/>
  <c r="CK13" i="5" a="1"/>
  <c r="CK13" i="5" s="1"/>
  <c r="CG13" i="5" a="1"/>
  <c r="CG13" i="5" s="1"/>
  <c r="CC13" i="5" a="1"/>
  <c r="CC13" i="5" s="1"/>
  <c r="BY13" i="5" a="1"/>
  <c r="BY13" i="5" s="1"/>
  <c r="BU13" i="5" a="1"/>
  <c r="BU13" i="5" s="1"/>
  <c r="CM12" i="5" a="1"/>
  <c r="CM12" i="5" s="1"/>
  <c r="CI12" i="5" a="1"/>
  <c r="CI12" i="5" s="1"/>
  <c r="CE12" i="5" a="1"/>
  <c r="CE12" i="5" s="1"/>
  <c r="CA12" i="5" a="1"/>
  <c r="CA12" i="5" s="1"/>
  <c r="BW12" i="5" a="1"/>
  <c r="BW12" i="5" s="1"/>
  <c r="BS12" i="5" a="1"/>
  <c r="BS12" i="5" s="1"/>
  <c r="CK11" i="5" a="1"/>
  <c r="CK11" i="5" s="1"/>
  <c r="CG11" i="5" a="1"/>
  <c r="CG11" i="5" s="1"/>
  <c r="CC11" i="5" a="1"/>
  <c r="CC11" i="5" s="1"/>
  <c r="BY11" i="5" a="1"/>
  <c r="BY11" i="5" s="1"/>
  <c r="BU11" i="5" a="1"/>
  <c r="BU11" i="5" s="1"/>
  <c r="CK10" i="5" a="1"/>
  <c r="CK10" i="5" s="1"/>
  <c r="CG10" i="5" a="1"/>
  <c r="CG10" i="5" s="1"/>
  <c r="CC10" i="5" a="1"/>
  <c r="CC10" i="5" s="1"/>
  <c r="BY10" i="5" a="1"/>
  <c r="BY10" i="5" s="1"/>
  <c r="BU10" i="5" a="1"/>
  <c r="BU10" i="5" s="1"/>
  <c r="CM9" i="5" a="1"/>
  <c r="CM9" i="5" s="1"/>
  <c r="CI9" i="5" a="1"/>
  <c r="CI9" i="5" s="1"/>
  <c r="CE9" i="5" a="1"/>
  <c r="CE9" i="5" s="1"/>
  <c r="CA9" i="5" a="1"/>
  <c r="CA9" i="5" s="1"/>
  <c r="BW9" i="5" a="1"/>
  <c r="BW9" i="5" s="1"/>
  <c r="BS9" i="5" a="1"/>
  <c r="BS9" i="5" s="1"/>
  <c r="CM8" i="5" a="1"/>
  <c r="CM8" i="5" s="1"/>
  <c r="CI8" i="5" a="1"/>
  <c r="CI8" i="5" s="1"/>
  <c r="CE8" i="5" a="1"/>
  <c r="CE8" i="5" s="1"/>
  <c r="CA8" i="5" a="1"/>
  <c r="CA8" i="5" s="1"/>
  <c r="BW8" i="5" a="1"/>
  <c r="BW8" i="5" s="1"/>
  <c r="BS8" i="5" a="1"/>
  <c r="BS8" i="5" s="1"/>
  <c r="CK7" i="5" a="1"/>
  <c r="CK7" i="5" s="1"/>
  <c r="CG7" i="5" a="1"/>
  <c r="CG7" i="5" s="1"/>
  <c r="CC7" i="5" a="1"/>
  <c r="CC7" i="5" s="1"/>
  <c r="BY7" i="5" a="1"/>
  <c r="BY7" i="5" s="1"/>
  <c r="BU7" i="5" a="1"/>
  <c r="BU7" i="5" s="1"/>
  <c r="CJ6" i="5" a="1"/>
  <c r="CJ6" i="5" s="1"/>
  <c r="CF6" i="5" a="1"/>
  <c r="CF6" i="5" s="1"/>
  <c r="CB6" i="5" a="1"/>
  <c r="CB6" i="5" s="1"/>
  <c r="BX6" i="5" a="1"/>
  <c r="BX6" i="5" s="1"/>
  <c r="BT6" i="5" a="1"/>
  <c r="BT6" i="5" s="1"/>
  <c r="CL16" i="5" a="1"/>
  <c r="CL16" i="5" s="1"/>
  <c r="CH16" i="5" a="1"/>
  <c r="CH16" i="5" s="1"/>
  <c r="CD16" i="5" a="1"/>
  <c r="CD16" i="5" s="1"/>
  <c r="BZ16" i="5" a="1"/>
  <c r="BZ16" i="5" s="1"/>
  <c r="BV16" i="5" a="1"/>
  <c r="BV16" i="5" s="1"/>
  <c r="BR16" i="5" a="1"/>
  <c r="BR16" i="5" s="1"/>
  <c r="CL15" i="5" a="1"/>
  <c r="CL15" i="5" s="1"/>
  <c r="CH15" i="5" a="1"/>
  <c r="CH15" i="5" s="1"/>
  <c r="CD15" i="5" a="1"/>
  <c r="CD15" i="5" s="1"/>
  <c r="BZ15" i="5" a="1"/>
  <c r="BZ15" i="5" s="1"/>
  <c r="BV15" i="5" a="1"/>
  <c r="BV15" i="5" s="1"/>
  <c r="BR15" i="5" a="1"/>
  <c r="BR15" i="5" s="1"/>
  <c r="CJ14" i="5" a="1"/>
  <c r="CJ14" i="5" s="1"/>
  <c r="CF14" i="5" a="1"/>
  <c r="CF14" i="5" s="1"/>
  <c r="CB14" i="5" a="1"/>
  <c r="CB14" i="5" s="1"/>
  <c r="BX14" i="5" a="1"/>
  <c r="BX14" i="5" s="1"/>
  <c r="BT14" i="5" a="1"/>
  <c r="BT14" i="5" s="1"/>
  <c r="CJ13" i="5" a="1"/>
  <c r="CJ13" i="5" s="1"/>
  <c r="CF13" i="5" a="1"/>
  <c r="CF13" i="5" s="1"/>
  <c r="CB13" i="5" a="1"/>
  <c r="CB13" i="5" s="1"/>
  <c r="BX13" i="5" a="1"/>
  <c r="BX13" i="5" s="1"/>
  <c r="BT13" i="5" a="1"/>
  <c r="BT13" i="5" s="1"/>
  <c r="CL12" i="5" a="1"/>
  <c r="CL12" i="5" s="1"/>
  <c r="CH12" i="5" a="1"/>
  <c r="CH12" i="5" s="1"/>
  <c r="CD12" i="5" a="1"/>
  <c r="CD12" i="5" s="1"/>
  <c r="BZ12" i="5" a="1"/>
  <c r="BZ12" i="5" s="1"/>
  <c r="BV12" i="5" a="1"/>
  <c r="BV12" i="5" s="1"/>
  <c r="BR12" i="5" a="1"/>
  <c r="BR12" i="5" s="1"/>
  <c r="CJ11" i="5" a="1"/>
  <c r="CJ11" i="5" s="1"/>
  <c r="CF11" i="5" a="1"/>
  <c r="CF11" i="5" s="1"/>
  <c r="CB11" i="5" a="1"/>
  <c r="CB11" i="5" s="1"/>
  <c r="BX11" i="5" a="1"/>
  <c r="BX11" i="5" s="1"/>
  <c r="BX17" i="5" s="1"/>
  <c r="BT11" i="5" a="1"/>
  <c r="BT11" i="5" s="1"/>
  <c r="CJ10" i="5" a="1"/>
  <c r="CJ10" i="5" s="1"/>
  <c r="CF10" i="5" a="1"/>
  <c r="CF10" i="5" s="1"/>
  <c r="CB10" i="5" a="1"/>
  <c r="CB10" i="5" s="1"/>
  <c r="BX10" i="5" a="1"/>
  <c r="BX10" i="5" s="1"/>
  <c r="BT10" i="5" a="1"/>
  <c r="BT10" i="5" s="1"/>
  <c r="CL9" i="5" a="1"/>
  <c r="CL9" i="5" s="1"/>
  <c r="CL17" i="5" s="1"/>
  <c r="CH9" i="5" a="1"/>
  <c r="CH9" i="5" s="1"/>
  <c r="CD9" i="5" a="1"/>
  <c r="CD9" i="5" s="1"/>
  <c r="BZ9" i="5" a="1"/>
  <c r="BZ9" i="5" s="1"/>
  <c r="BV9" i="5" a="1"/>
  <c r="BV9" i="5" s="1"/>
  <c r="BR9" i="5" a="1"/>
  <c r="BR9" i="5" s="1"/>
  <c r="BR17" i="5" s="1"/>
  <c r="CL8" i="5" a="1"/>
  <c r="CL8" i="5" s="1"/>
  <c r="CH8" i="5" a="1"/>
  <c r="CH8" i="5" s="1"/>
  <c r="CH17" i="5" s="1"/>
  <c r="CD8" i="5" a="1"/>
  <c r="CD8" i="5" s="1"/>
  <c r="CD17" i="5" s="1"/>
  <c r="BZ8" i="5" a="1"/>
  <c r="BZ8" i="5" s="1"/>
  <c r="BZ17" i="5" s="1"/>
  <c r="BV8" i="5" a="1"/>
  <c r="BV8" i="5" s="1"/>
  <c r="BV17" i="5" s="1"/>
  <c r="BR8" i="5" a="1"/>
  <c r="BR8" i="5" s="1"/>
  <c r="CJ7" i="5" a="1"/>
  <c r="CJ7" i="5" s="1"/>
  <c r="CJ17" i="5" s="1"/>
  <c r="CF7" i="5" a="1"/>
  <c r="CF7" i="5" s="1"/>
  <c r="CF17" i="5" s="1"/>
  <c r="CB7" i="5" a="1"/>
  <c r="CB7" i="5" s="1"/>
  <c r="BX7" i="5" a="1"/>
  <c r="BX7" i="5" s="1"/>
  <c r="BT7" i="5" a="1"/>
  <c r="BT7" i="5" s="1"/>
  <c r="BT17" i="5" s="1"/>
  <c r="BS17" i="5"/>
  <c r="BU17" i="5"/>
  <c r="BW17" i="5"/>
  <c r="CM17" i="5"/>
  <c r="CA17" i="5"/>
  <c r="CB17" i="5"/>
  <c r="CC17" i="5"/>
  <c r="CE17" i="5"/>
  <c r="BQ5" i="5" a="1"/>
  <c r="BQ5" i="5" s="1"/>
  <c r="BN5" i="5" a="1"/>
  <c r="BN5" i="5" s="1"/>
  <c r="BM5" i="5" a="1"/>
  <c r="BM5" i="5" s="1"/>
  <c r="BK5" i="5" a="1"/>
  <c r="BK5" i="5" s="1"/>
  <c r="BJ5" i="5" a="1"/>
  <c r="BJ5" i="5" s="1"/>
  <c r="BI5" i="5" a="1"/>
  <c r="BI5" i="5" s="1"/>
  <c r="BH5" i="5" a="1"/>
  <c r="BH5" i="5" s="1"/>
  <c r="BG5" i="5" a="1"/>
  <c r="BG5" i="5" s="1"/>
  <c r="BF5" i="5" a="1"/>
  <c r="BF5" i="5" s="1"/>
  <c r="BE5" i="5" a="1"/>
  <c r="BE5" i="5" s="1"/>
  <c r="BD5" i="5" a="1"/>
  <c r="BD5" i="5" s="1"/>
  <c r="BC5" i="5" a="1"/>
  <c r="BC5" i="5" s="1"/>
  <c r="BB5" i="5" a="1"/>
  <c r="BB5" i="5" s="1"/>
  <c r="BA5" i="5" a="1"/>
  <c r="BA5" i="5" s="1"/>
  <c r="AZ5" i="5" a="1"/>
  <c r="AZ5" i="5" s="1"/>
  <c r="AY5" i="5" a="1"/>
  <c r="AY5" i="5" s="1"/>
  <c r="AX5" i="5" a="1"/>
  <c r="AX5" i="5" s="1"/>
  <c r="AW5" i="5" a="1"/>
  <c r="AW5" i="5" s="1"/>
  <c r="AV5" i="5" a="1"/>
  <c r="AV5" i="5" s="1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58" i="2"/>
  <c r="AH57" i="2"/>
  <c r="BK17" i="5" l="1"/>
  <c r="AV17" i="5"/>
  <c r="AY17" i="5"/>
  <c r="AZ17" i="5"/>
  <c r="BA17" i="5"/>
  <c r="BQ17" i="5"/>
  <c r="BB17" i="5"/>
  <c r="BJ17" i="5"/>
  <c r="AX17" i="5"/>
  <c r="BM17" i="5"/>
  <c r="BC17" i="5"/>
  <c r="BD17" i="5"/>
  <c r="BE17" i="5"/>
  <c r="AW17" i="5"/>
  <c r="BF17" i="5"/>
  <c r="BG17" i="5"/>
  <c r="BH17" i="5"/>
  <c r="BN17" i="5"/>
  <c r="BI17" i="5"/>
  <c r="B7" i="9"/>
  <c r="A9" i="1"/>
  <c r="BL5" i="5" a="1"/>
  <c r="BL5" i="5" s="1"/>
  <c r="BL17" i="5" s="1"/>
  <c r="BP5" i="5" a="1"/>
  <c r="BP5" i="5" s="1"/>
  <c r="BP17" i="5" s="1"/>
  <c r="BO5" i="5" a="1"/>
  <c r="BO5" i="5" s="1"/>
  <c r="BO17" i="5" s="1"/>
  <c r="BP12" i="5" a="1"/>
  <c r="BP12" i="5" s="1"/>
  <c r="BK12" i="5" a="1"/>
  <c r="BK12" i="5" s="1"/>
  <c r="BF12" i="5" a="1"/>
  <c r="BF12" i="5" s="1"/>
  <c r="BA12" i="5" a="1"/>
  <c r="BA12" i="5" s="1"/>
  <c r="AV12" i="5" a="1"/>
  <c r="AV12" i="5" s="1"/>
  <c r="BM11" i="5" a="1"/>
  <c r="BM11" i="5" s="1"/>
  <c r="BH11" i="5" a="1"/>
  <c r="BH11" i="5" s="1"/>
  <c r="BC11" i="5" a="1"/>
  <c r="BC11" i="5" s="1"/>
  <c r="AX11" i="5" a="1"/>
  <c r="AX11" i="5" s="1"/>
  <c r="BM10" i="5" a="1"/>
  <c r="BM10" i="5" s="1"/>
  <c r="BH10" i="5" a="1"/>
  <c r="BH10" i="5" s="1"/>
  <c r="BC10" i="5" a="1"/>
  <c r="BC10" i="5" s="1"/>
  <c r="AX10" i="5" a="1"/>
  <c r="AX10" i="5" s="1"/>
  <c r="BO9" i="5" a="1"/>
  <c r="BO9" i="5" s="1"/>
  <c r="BJ9" i="5" a="1"/>
  <c r="BJ9" i="5" s="1"/>
  <c r="BE9" i="5" a="1"/>
  <c r="BE9" i="5" s="1"/>
  <c r="AZ9" i="5" a="1"/>
  <c r="AZ9" i="5" s="1"/>
  <c r="BO8" i="5" a="1"/>
  <c r="BO8" i="5" s="1"/>
  <c r="BJ8" i="5" a="1"/>
  <c r="BJ8" i="5" s="1"/>
  <c r="BE8" i="5" a="1"/>
  <c r="BE8" i="5" s="1"/>
  <c r="AZ8" i="5" a="1"/>
  <c r="AZ8" i="5" s="1"/>
  <c r="BQ7" i="5" a="1"/>
  <c r="BQ7" i="5" s="1"/>
  <c r="BL7" i="5" a="1"/>
  <c r="BL7" i="5" s="1"/>
  <c r="BG7" i="5" a="1"/>
  <c r="BG7" i="5" s="1"/>
  <c r="BB7" i="5" a="1"/>
  <c r="BB7" i="5" s="1"/>
  <c r="AW7" i="5" a="1"/>
  <c r="AW7" i="5" s="1"/>
  <c r="BM6" i="5" a="1"/>
  <c r="BM6" i="5" s="1"/>
  <c r="BH6" i="5" a="1"/>
  <c r="BH6" i="5" s="1"/>
  <c r="BC6" i="5" a="1"/>
  <c r="BC6" i="5" s="1"/>
  <c r="AX6" i="5" a="1"/>
  <c r="AX6" i="5" s="1"/>
  <c r="BO16" i="5" a="1"/>
  <c r="BO16" i="5" s="1"/>
  <c r="BJ16" i="5" a="1"/>
  <c r="BJ16" i="5" s="1"/>
  <c r="BE16" i="5" a="1"/>
  <c r="BE16" i="5" s="1"/>
  <c r="AZ16" i="5" a="1"/>
  <c r="AZ16" i="5" s="1"/>
  <c r="BO15" i="5" a="1"/>
  <c r="BO15" i="5" s="1"/>
  <c r="BJ15" i="5" a="1"/>
  <c r="BJ15" i="5" s="1"/>
  <c r="BE15" i="5" a="1"/>
  <c r="BE15" i="5" s="1"/>
  <c r="AZ15" i="5" a="1"/>
  <c r="AZ15" i="5" s="1"/>
  <c r="BQ14" i="5" a="1"/>
  <c r="BQ14" i="5" s="1"/>
  <c r="BL14" i="5" a="1"/>
  <c r="BL14" i="5" s="1"/>
  <c r="BG14" i="5" a="1"/>
  <c r="BG14" i="5" s="1"/>
  <c r="BB14" i="5" a="1"/>
  <c r="BB14" i="5" s="1"/>
  <c r="AW14" i="5" a="1"/>
  <c r="AW14" i="5" s="1"/>
  <c r="BQ13" i="5" a="1"/>
  <c r="BQ13" i="5" s="1"/>
  <c r="BL13" i="5" a="1"/>
  <c r="BL13" i="5" s="1"/>
  <c r="BG13" i="5" a="1"/>
  <c r="BG13" i="5" s="1"/>
  <c r="BB13" i="5" a="1"/>
  <c r="BB13" i="5" s="1"/>
  <c r="AW13" i="5" a="1"/>
  <c r="AW13" i="5" s="1"/>
  <c r="BO12" i="5" a="1"/>
  <c r="BO12" i="5" s="1"/>
  <c r="BJ12" i="5" a="1"/>
  <c r="BJ12" i="5" s="1"/>
  <c r="BE12" i="5" a="1"/>
  <c r="BE12" i="5" s="1"/>
  <c r="AZ12" i="5" a="1"/>
  <c r="AZ12" i="5" s="1"/>
  <c r="BQ11" i="5" a="1"/>
  <c r="BQ11" i="5" s="1"/>
  <c r="BL11" i="5" a="1"/>
  <c r="BL11" i="5" s="1"/>
  <c r="BG11" i="5" a="1"/>
  <c r="BG11" i="5" s="1"/>
  <c r="BB11" i="5" a="1"/>
  <c r="BB11" i="5" s="1"/>
  <c r="AW11" i="5" a="1"/>
  <c r="AW11" i="5" s="1"/>
  <c r="BQ10" i="5" a="1"/>
  <c r="BQ10" i="5" s="1"/>
  <c r="BL10" i="5" a="1"/>
  <c r="BL10" i="5" s="1"/>
  <c r="BG10" i="5" a="1"/>
  <c r="BG10" i="5" s="1"/>
  <c r="BB10" i="5" a="1"/>
  <c r="BB10" i="5" s="1"/>
  <c r="AW10" i="5" a="1"/>
  <c r="AW10" i="5" s="1"/>
  <c r="BN9" i="5" a="1"/>
  <c r="BN9" i="5" s="1"/>
  <c r="BI9" i="5" a="1"/>
  <c r="BI9" i="5" s="1"/>
  <c r="BD9" i="5" a="1"/>
  <c r="BD9" i="5" s="1"/>
  <c r="AY9" i="5" a="1"/>
  <c r="AY9" i="5" s="1"/>
  <c r="BN8" i="5" a="1"/>
  <c r="BN8" i="5" s="1"/>
  <c r="BI8" i="5" a="1"/>
  <c r="BI8" i="5" s="1"/>
  <c r="BD8" i="5" a="1"/>
  <c r="BD8" i="5" s="1"/>
  <c r="AY8" i="5" a="1"/>
  <c r="AY8" i="5" s="1"/>
  <c r="BP7" i="5" a="1"/>
  <c r="BP7" i="5" s="1"/>
  <c r="BK7" i="5" a="1"/>
  <c r="BK7" i="5" s="1"/>
  <c r="BF7" i="5" a="1"/>
  <c r="BF7" i="5" s="1"/>
  <c r="BA7" i="5" a="1"/>
  <c r="BA7" i="5" s="1"/>
  <c r="AV7" i="5" a="1"/>
  <c r="AV7" i="5" s="1"/>
  <c r="BQ6" i="5" a="1"/>
  <c r="BQ6" i="5" s="1"/>
  <c r="BL6" i="5" a="1"/>
  <c r="BL6" i="5" s="1"/>
  <c r="BG6" i="5" a="1"/>
  <c r="BG6" i="5" s="1"/>
  <c r="BB6" i="5" a="1"/>
  <c r="BB6" i="5" s="1"/>
  <c r="AW6" i="5" a="1"/>
  <c r="AW6" i="5" s="1"/>
  <c r="BN16" i="5" a="1"/>
  <c r="BN16" i="5" s="1"/>
  <c r="BI16" i="5" a="1"/>
  <c r="BI16" i="5" s="1"/>
  <c r="BD16" i="5" a="1"/>
  <c r="BD16" i="5" s="1"/>
  <c r="AY16" i="5" a="1"/>
  <c r="AY16" i="5" s="1"/>
  <c r="BN15" i="5" a="1"/>
  <c r="BN15" i="5" s="1"/>
  <c r="BI15" i="5" a="1"/>
  <c r="BI15" i="5" s="1"/>
  <c r="BD15" i="5" a="1"/>
  <c r="BD15" i="5" s="1"/>
  <c r="AY15" i="5" a="1"/>
  <c r="AY15" i="5" s="1"/>
  <c r="BP14" i="5" a="1"/>
  <c r="BP14" i="5" s="1"/>
  <c r="BK14" i="5" a="1"/>
  <c r="BK14" i="5" s="1"/>
  <c r="BF14" i="5" a="1"/>
  <c r="BF14" i="5" s="1"/>
  <c r="BA14" i="5" a="1"/>
  <c r="BA14" i="5" s="1"/>
  <c r="AV14" i="5" a="1"/>
  <c r="AV14" i="5" s="1"/>
  <c r="BP13" i="5" a="1"/>
  <c r="BP13" i="5" s="1"/>
  <c r="BK13" i="5" a="1"/>
  <c r="BK13" i="5" s="1"/>
  <c r="BF13" i="5" a="1"/>
  <c r="BF13" i="5" s="1"/>
  <c r="BA13" i="5" a="1"/>
  <c r="BA13" i="5" s="1"/>
  <c r="AV13" i="5" a="1"/>
  <c r="AV13" i="5" s="1"/>
  <c r="BN12" i="5" a="1"/>
  <c r="BN12" i="5" s="1"/>
  <c r="BI12" i="5" a="1"/>
  <c r="BI12" i="5" s="1"/>
  <c r="BD12" i="5" a="1"/>
  <c r="BD12" i="5" s="1"/>
  <c r="AY12" i="5" a="1"/>
  <c r="AY12" i="5" s="1"/>
  <c r="BP11" i="5" a="1"/>
  <c r="BP11" i="5" s="1"/>
  <c r="BK11" i="5" a="1"/>
  <c r="BK11" i="5" s="1"/>
  <c r="BF11" i="5" a="1"/>
  <c r="BF11" i="5" s="1"/>
  <c r="BA11" i="5" a="1"/>
  <c r="BA11" i="5" s="1"/>
  <c r="AV11" i="5" a="1"/>
  <c r="AV11" i="5" s="1"/>
  <c r="BP10" i="5" a="1"/>
  <c r="BP10" i="5" s="1"/>
  <c r="BK10" i="5" a="1"/>
  <c r="BK10" i="5" s="1"/>
  <c r="BF10" i="5" a="1"/>
  <c r="BF10" i="5" s="1"/>
  <c r="BA10" i="5" a="1"/>
  <c r="BA10" i="5" s="1"/>
  <c r="AV10" i="5" a="1"/>
  <c r="AV10" i="5" s="1"/>
  <c r="BM9" i="5" a="1"/>
  <c r="BM9" i="5" s="1"/>
  <c r="BH9" i="5" a="1"/>
  <c r="BH9" i="5" s="1"/>
  <c r="BC9" i="5" a="1"/>
  <c r="BC9" i="5" s="1"/>
  <c r="AX9" i="5" a="1"/>
  <c r="AX9" i="5" s="1"/>
  <c r="BM8" i="5" a="1"/>
  <c r="BM8" i="5" s="1"/>
  <c r="BH8" i="5" a="1"/>
  <c r="BH8" i="5" s="1"/>
  <c r="BC8" i="5" a="1"/>
  <c r="BC8" i="5" s="1"/>
  <c r="AX8" i="5" a="1"/>
  <c r="AX8" i="5" s="1"/>
  <c r="BO7" i="5" a="1"/>
  <c r="BO7" i="5" s="1"/>
  <c r="BJ7" i="5" a="1"/>
  <c r="BJ7" i="5" s="1"/>
  <c r="BE7" i="5" a="1"/>
  <c r="BE7" i="5" s="1"/>
  <c r="AZ7" i="5" a="1"/>
  <c r="AZ7" i="5" s="1"/>
  <c r="BP6" i="5" a="1"/>
  <c r="BP6" i="5" s="1"/>
  <c r="BK6" i="5" a="1"/>
  <c r="BK6" i="5" s="1"/>
  <c r="BF6" i="5" a="1"/>
  <c r="BF6" i="5" s="1"/>
  <c r="BA6" i="5" a="1"/>
  <c r="BA6" i="5" s="1"/>
  <c r="AV6" i="5" a="1"/>
  <c r="AV6" i="5" s="1"/>
  <c r="BM16" i="5" a="1"/>
  <c r="BM16" i="5" s="1"/>
  <c r="BH16" i="5" a="1"/>
  <c r="BH16" i="5" s="1"/>
  <c r="BC16" i="5" a="1"/>
  <c r="BC16" i="5" s="1"/>
  <c r="AX16" i="5" a="1"/>
  <c r="AX16" i="5" s="1"/>
  <c r="BM15" i="5" a="1"/>
  <c r="BM15" i="5" s="1"/>
  <c r="BH15" i="5" a="1"/>
  <c r="BH15" i="5" s="1"/>
  <c r="BC15" i="5" a="1"/>
  <c r="BC15" i="5" s="1"/>
  <c r="AX15" i="5" a="1"/>
  <c r="AX15" i="5" s="1"/>
  <c r="BO14" i="5" a="1"/>
  <c r="BO14" i="5" s="1"/>
  <c r="BJ14" i="5" a="1"/>
  <c r="BJ14" i="5" s="1"/>
  <c r="BE14" i="5" a="1"/>
  <c r="BE14" i="5" s="1"/>
  <c r="AZ14" i="5" a="1"/>
  <c r="AZ14" i="5" s="1"/>
  <c r="BO13" i="5" a="1"/>
  <c r="BO13" i="5" s="1"/>
  <c r="BJ13" i="5" a="1"/>
  <c r="BJ13" i="5" s="1"/>
  <c r="BE13" i="5" a="1"/>
  <c r="BE13" i="5" s="1"/>
  <c r="AZ13" i="5" a="1"/>
  <c r="AZ13" i="5" s="1"/>
  <c r="BM12" i="5" a="1"/>
  <c r="BM12" i="5" s="1"/>
  <c r="BH12" i="5" a="1"/>
  <c r="BH12" i="5" s="1"/>
  <c r="BC12" i="5" a="1"/>
  <c r="BC12" i="5" s="1"/>
  <c r="AX12" i="5" a="1"/>
  <c r="AX12" i="5" s="1"/>
  <c r="BO11" i="5" a="1"/>
  <c r="BO11" i="5" s="1"/>
  <c r="BJ11" i="5" a="1"/>
  <c r="BJ11" i="5" s="1"/>
  <c r="BE11" i="5" a="1"/>
  <c r="BE11" i="5" s="1"/>
  <c r="AZ11" i="5" a="1"/>
  <c r="AZ11" i="5" s="1"/>
  <c r="BO10" i="5" a="1"/>
  <c r="BO10" i="5" s="1"/>
  <c r="BJ10" i="5" a="1"/>
  <c r="BJ10" i="5" s="1"/>
  <c r="BE10" i="5" a="1"/>
  <c r="BE10" i="5" s="1"/>
  <c r="AZ10" i="5" a="1"/>
  <c r="AZ10" i="5" s="1"/>
  <c r="BQ9" i="5" a="1"/>
  <c r="BQ9" i="5" s="1"/>
  <c r="BL9" i="5" a="1"/>
  <c r="BL9" i="5" s="1"/>
  <c r="BG9" i="5" a="1"/>
  <c r="BG9" i="5" s="1"/>
  <c r="BB9" i="5" a="1"/>
  <c r="BB9" i="5" s="1"/>
  <c r="AW9" i="5" a="1"/>
  <c r="AW9" i="5" s="1"/>
  <c r="BQ8" i="5" a="1"/>
  <c r="BQ8" i="5" s="1"/>
  <c r="BL8" i="5" a="1"/>
  <c r="BL8" i="5" s="1"/>
  <c r="BG8" i="5" a="1"/>
  <c r="BG8" i="5" s="1"/>
  <c r="BB8" i="5" a="1"/>
  <c r="BB8" i="5" s="1"/>
  <c r="AW8" i="5" a="1"/>
  <c r="AW8" i="5" s="1"/>
  <c r="BN7" i="5" a="1"/>
  <c r="BN7" i="5" s="1"/>
  <c r="BI7" i="5" a="1"/>
  <c r="BI7" i="5" s="1"/>
  <c r="BD7" i="5" a="1"/>
  <c r="BD7" i="5" s="1"/>
  <c r="AY7" i="5" a="1"/>
  <c r="AY7" i="5" s="1"/>
  <c r="BO6" i="5" a="1"/>
  <c r="BO6" i="5" s="1"/>
  <c r="BJ6" i="5" a="1"/>
  <c r="BJ6" i="5" s="1"/>
  <c r="BE6" i="5" a="1"/>
  <c r="BE6" i="5" s="1"/>
  <c r="AZ6" i="5" a="1"/>
  <c r="AZ6" i="5" s="1"/>
  <c r="BQ16" i="5" a="1"/>
  <c r="BQ16" i="5" s="1"/>
  <c r="BL16" i="5" a="1"/>
  <c r="BL16" i="5" s="1"/>
  <c r="BG16" i="5" a="1"/>
  <c r="BG16" i="5" s="1"/>
  <c r="BB16" i="5" a="1"/>
  <c r="BB16" i="5" s="1"/>
  <c r="AW16" i="5" a="1"/>
  <c r="AW16" i="5" s="1"/>
  <c r="BQ15" i="5" a="1"/>
  <c r="BQ15" i="5" s="1"/>
  <c r="BL15" i="5" a="1"/>
  <c r="BL15" i="5" s="1"/>
  <c r="BG15" i="5" a="1"/>
  <c r="BG15" i="5" s="1"/>
  <c r="BB15" i="5" a="1"/>
  <c r="BB15" i="5" s="1"/>
  <c r="AW15" i="5" a="1"/>
  <c r="AW15" i="5" s="1"/>
  <c r="BN14" i="5" a="1"/>
  <c r="BN14" i="5" s="1"/>
  <c r="BI14" i="5" a="1"/>
  <c r="BI14" i="5" s="1"/>
  <c r="BD14" i="5" a="1"/>
  <c r="BD14" i="5" s="1"/>
  <c r="AY14" i="5" a="1"/>
  <c r="AY14" i="5" s="1"/>
  <c r="BN13" i="5" a="1"/>
  <c r="BN13" i="5" s="1"/>
  <c r="BI13" i="5" a="1"/>
  <c r="BI13" i="5" s="1"/>
  <c r="BD13" i="5" a="1"/>
  <c r="BD13" i="5" s="1"/>
  <c r="AY13" i="5" a="1"/>
  <c r="AY13" i="5" s="1"/>
  <c r="BQ12" i="5" a="1"/>
  <c r="BQ12" i="5" s="1"/>
  <c r="BL12" i="5" a="1"/>
  <c r="BL12" i="5" s="1"/>
  <c r="BG12" i="5" a="1"/>
  <c r="BG12" i="5" s="1"/>
  <c r="BB12" i="5" a="1"/>
  <c r="BB12" i="5" s="1"/>
  <c r="AW12" i="5" a="1"/>
  <c r="AW12" i="5" s="1"/>
  <c r="BN11" i="5" a="1"/>
  <c r="BN11" i="5" s="1"/>
  <c r="BI11" i="5" a="1"/>
  <c r="BI11" i="5" s="1"/>
  <c r="BD11" i="5" a="1"/>
  <c r="BD11" i="5" s="1"/>
  <c r="AY11" i="5" a="1"/>
  <c r="AY11" i="5" s="1"/>
  <c r="BN10" i="5" a="1"/>
  <c r="BN10" i="5" s="1"/>
  <c r="BI10" i="5" a="1"/>
  <c r="BI10" i="5" s="1"/>
  <c r="BD10" i="5" a="1"/>
  <c r="BD10" i="5" s="1"/>
  <c r="AY10" i="5" a="1"/>
  <c r="AY10" i="5" s="1"/>
  <c r="BP9" i="5" a="1"/>
  <c r="BP9" i="5" s="1"/>
  <c r="BK9" i="5" a="1"/>
  <c r="BK9" i="5" s="1"/>
  <c r="BF9" i="5" a="1"/>
  <c r="BF9" i="5" s="1"/>
  <c r="BA9" i="5" a="1"/>
  <c r="BA9" i="5" s="1"/>
  <c r="AV9" i="5" a="1"/>
  <c r="AV9" i="5" s="1"/>
  <c r="BP8" i="5" a="1"/>
  <c r="BP8" i="5" s="1"/>
  <c r="BK8" i="5" a="1"/>
  <c r="BK8" i="5" s="1"/>
  <c r="BF8" i="5" a="1"/>
  <c r="BF8" i="5" s="1"/>
  <c r="BA8" i="5" a="1"/>
  <c r="BA8" i="5" s="1"/>
  <c r="AV8" i="5" a="1"/>
  <c r="AV8" i="5" s="1"/>
  <c r="BM7" i="5" a="1"/>
  <c r="BM7" i="5" s="1"/>
  <c r="BH7" i="5" a="1"/>
  <c r="BH7" i="5" s="1"/>
  <c r="BC7" i="5" a="1"/>
  <c r="BC7" i="5" s="1"/>
  <c r="AX7" i="5" a="1"/>
  <c r="AX7" i="5" s="1"/>
  <c r="BN6" i="5" a="1"/>
  <c r="BN6" i="5" s="1"/>
  <c r="BI6" i="5" a="1"/>
  <c r="BI6" i="5" s="1"/>
  <c r="BD6" i="5" a="1"/>
  <c r="BD6" i="5" s="1"/>
  <c r="AY6" i="5" a="1"/>
  <c r="AY6" i="5" s="1"/>
  <c r="BP16" i="5" a="1"/>
  <c r="BP16" i="5" s="1"/>
  <c r="BK16" i="5" a="1"/>
  <c r="BK16" i="5" s="1"/>
  <c r="BF16" i="5" a="1"/>
  <c r="BF16" i="5" s="1"/>
  <c r="BA16" i="5" a="1"/>
  <c r="BA16" i="5" s="1"/>
  <c r="AV16" i="5" a="1"/>
  <c r="AV16" i="5" s="1"/>
  <c r="BP15" i="5" a="1"/>
  <c r="BP15" i="5" s="1"/>
  <c r="BK15" i="5" a="1"/>
  <c r="BK15" i="5" s="1"/>
  <c r="BF15" i="5" a="1"/>
  <c r="BF15" i="5" s="1"/>
  <c r="BA15" i="5" a="1"/>
  <c r="BA15" i="5" s="1"/>
  <c r="AV15" i="5" a="1"/>
  <c r="AV15" i="5" s="1"/>
  <c r="BM14" i="5" a="1"/>
  <c r="BM14" i="5" s="1"/>
  <c r="BH14" i="5" a="1"/>
  <c r="BH14" i="5" s="1"/>
  <c r="BC14" i="5" a="1"/>
  <c r="BC14" i="5" s="1"/>
  <c r="AX14" i="5" a="1"/>
  <c r="AX14" i="5" s="1"/>
  <c r="BM13" i="5" a="1"/>
  <c r="BM13" i="5" s="1"/>
  <c r="BH13" i="5" a="1"/>
  <c r="BH13" i="5" s="1"/>
  <c r="BC13" i="5" a="1"/>
  <c r="BC13" i="5" s="1"/>
  <c r="AX13" i="5" a="1"/>
  <c r="AX13" i="5" s="1"/>
  <c r="AH56" i="2"/>
  <c r="AH55" i="2"/>
  <c r="AH54" i="2"/>
  <c r="AH53" i="2"/>
  <c r="AH52" i="2"/>
  <c r="AH49" i="2"/>
  <c r="AH50" i="2"/>
  <c r="AH51" i="2"/>
  <c r="AH48" i="2"/>
  <c r="AH47" i="2"/>
  <c r="AH46" i="2"/>
  <c r="AY8" i="10"/>
  <c r="BD28" i="10"/>
  <c r="BD31" i="10"/>
  <c r="C35" i="10"/>
  <c r="A10" i="1" l="1"/>
  <c r="B8" i="9"/>
  <c r="AY18" i="10"/>
  <c r="AY25" i="10" s="1"/>
  <c r="J11" i="10" s="1"/>
  <c r="C40" i="10"/>
  <c r="AP46" i="10" s="1"/>
  <c r="AH42" i="2"/>
  <c r="AH41" i="2"/>
  <c r="AR16" i="5" a="1"/>
  <c r="AR16" i="5" s="1"/>
  <c r="AS16" i="5" s="1"/>
  <c r="AR6" i="5" a="1"/>
  <c r="AR6" i="5" s="1"/>
  <c r="AS6" i="5" s="1"/>
  <c r="AR7" i="5" a="1"/>
  <c r="AR7" i="5" s="1"/>
  <c r="AS7" i="5" s="1"/>
  <c r="AR8" i="5" a="1"/>
  <c r="AR8" i="5" s="1"/>
  <c r="AS8" i="5" s="1"/>
  <c r="AR9" i="5" a="1"/>
  <c r="AR9" i="5" s="1"/>
  <c r="AS9" i="5" s="1"/>
  <c r="AR10" i="5" a="1"/>
  <c r="AR10" i="5" s="1"/>
  <c r="AS10" i="5" s="1"/>
  <c r="AR11" i="5" a="1"/>
  <c r="AR11" i="5" s="1"/>
  <c r="AS11" i="5" s="1"/>
  <c r="AR12" i="5" a="1"/>
  <c r="AR12" i="5" s="1"/>
  <c r="AS12" i="5" s="1"/>
  <c r="AR13" i="5" a="1"/>
  <c r="AR13" i="5" s="1"/>
  <c r="AS13" i="5" s="1"/>
  <c r="AR14" i="5" a="1"/>
  <c r="AR14" i="5" s="1"/>
  <c r="AS14" i="5" s="1"/>
  <c r="AR15" i="5" a="1"/>
  <c r="AR15" i="5" s="1"/>
  <c r="AS15" i="5" s="1"/>
  <c r="AR5" i="5" a="1"/>
  <c r="AR5" i="5" s="1"/>
  <c r="AS5" i="5" s="1"/>
  <c r="AP16" i="5" a="1"/>
  <c r="AP16" i="5" s="1"/>
  <c r="AQ16" i="5" s="1"/>
  <c r="AP6" i="5" a="1"/>
  <c r="AP6" i="5" s="1"/>
  <c r="AQ6" i="5" s="1"/>
  <c r="AP7" i="5" a="1"/>
  <c r="AP7" i="5" s="1"/>
  <c r="AQ7" i="5" s="1"/>
  <c r="AP8" i="5" a="1"/>
  <c r="AP8" i="5" s="1"/>
  <c r="AQ8" i="5" s="1"/>
  <c r="AP9" i="5" a="1"/>
  <c r="AP9" i="5" s="1"/>
  <c r="AQ9" i="5" s="1"/>
  <c r="AP10" i="5" a="1"/>
  <c r="AP10" i="5" s="1"/>
  <c r="AQ10" i="5" s="1"/>
  <c r="AP11" i="5" a="1"/>
  <c r="AP11" i="5" s="1"/>
  <c r="AQ11" i="5" s="1"/>
  <c r="AP12" i="5" a="1"/>
  <c r="AP12" i="5" s="1"/>
  <c r="AQ12" i="5" s="1"/>
  <c r="AP13" i="5" a="1"/>
  <c r="AP13" i="5" s="1"/>
  <c r="AQ13" i="5" s="1"/>
  <c r="AP14" i="5" a="1"/>
  <c r="AP14" i="5" s="1"/>
  <c r="AQ14" i="5" s="1"/>
  <c r="AP15" i="5" a="1"/>
  <c r="AP15" i="5" s="1"/>
  <c r="AQ15" i="5" s="1"/>
  <c r="AP5" i="5" a="1"/>
  <c r="AP5" i="5" s="1"/>
  <c r="AQ5" i="5" s="1"/>
  <c r="A11" i="1" l="1"/>
  <c r="B9" i="9"/>
  <c r="AR17" i="5"/>
  <c r="AP17" i="5"/>
  <c r="AS17" i="5"/>
  <c r="AQ17" i="5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6" i="2"/>
  <c r="A12" i="1" l="1"/>
  <c r="B10" i="9"/>
  <c r="AH45" i="2"/>
  <c r="AH44" i="2"/>
  <c r="AH43" i="2"/>
  <c r="A13" i="1" l="1"/>
  <c r="B11" i="9"/>
  <c r="AF11" i="5"/>
  <c r="AF9" i="5"/>
  <c r="AF7" i="5"/>
  <c r="AF14" i="5"/>
  <c r="AF6" i="5"/>
  <c r="AF12" i="5"/>
  <c r="AF10" i="5"/>
  <c r="AF8" i="5"/>
  <c r="AF15" i="5"/>
  <c r="AF13" i="5"/>
  <c r="AH22" i="2"/>
  <c r="AH23" i="2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AH40" i="2"/>
  <c r="A14" i="1" l="1"/>
  <c r="B12" i="9"/>
  <c r="F364" i="9"/>
  <c r="F359" i="9"/>
  <c r="F369" i="9"/>
  <c r="F361" i="9"/>
  <c r="F363" i="9"/>
  <c r="F360" i="9"/>
  <c r="F358" i="9"/>
  <c r="F357" i="9"/>
  <c r="F356" i="9"/>
  <c r="F355" i="9"/>
  <c r="F354" i="9"/>
  <c r="F353" i="9"/>
  <c r="F352" i="9"/>
  <c r="F368" i="9"/>
  <c r="F367" i="9"/>
  <c r="F366" i="9"/>
  <c r="F362" i="9"/>
  <c r="F365" i="9"/>
  <c r="AH39" i="2"/>
  <c r="AH38" i="2"/>
  <c r="X16" i="5"/>
  <c r="Y16" i="5" s="1"/>
  <c r="V16" i="5"/>
  <c r="W16" i="5" s="1"/>
  <c r="T16" i="5"/>
  <c r="U16" i="5" s="1"/>
  <c r="R16" i="5"/>
  <c r="S16" i="5" s="1"/>
  <c r="P16" i="5"/>
  <c r="Q16" i="5" s="1"/>
  <c r="N16" i="5"/>
  <c r="L16" i="5"/>
  <c r="J16" i="5"/>
  <c r="F16" i="5"/>
  <c r="D16" i="5"/>
  <c r="A15" i="1" l="1"/>
  <c r="B13" i="9"/>
  <c r="AH37" i="2"/>
  <c r="E20" i="8"/>
  <c r="C20" i="8"/>
  <c r="A16" i="1" l="1"/>
  <c r="B14" i="9"/>
  <c r="AH24" i="2"/>
  <c r="AH25" i="2"/>
  <c r="AH26" i="2"/>
  <c r="AH27" i="2"/>
  <c r="AH28" i="2"/>
  <c r="AH29" i="2"/>
  <c r="AH30" i="2"/>
  <c r="AH31" i="2"/>
  <c r="AH32" i="2"/>
  <c r="AH35" i="2"/>
  <c r="AH36" i="2"/>
  <c r="AH10" i="2"/>
  <c r="AH11" i="2"/>
  <c r="AH12" i="2"/>
  <c r="AH13" i="2"/>
  <c r="AH14" i="2"/>
  <c r="AH15" i="2"/>
  <c r="AH16" i="2"/>
  <c r="AH17" i="2"/>
  <c r="AH20" i="2"/>
  <c r="AH21" i="2"/>
  <c r="AH6" i="2"/>
  <c r="L20" i="8"/>
  <c r="L15" i="8"/>
  <c r="J20" i="8"/>
  <c r="J15" i="8"/>
  <c r="N10" i="8"/>
  <c r="L10" i="8"/>
  <c r="J10" i="8"/>
  <c r="N5" i="8"/>
  <c r="L5" i="8"/>
  <c r="J5" i="8"/>
  <c r="G20" i="8"/>
  <c r="C10" i="8"/>
  <c r="E15" i="8"/>
  <c r="C15" i="8"/>
  <c r="G10" i="8"/>
  <c r="E10" i="8"/>
  <c r="G5" i="8"/>
  <c r="E5" i="8"/>
  <c r="C5" i="8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78" i="2"/>
  <c r="BF79" i="2"/>
  <c r="BF80" i="2"/>
  <c r="BF81" i="2"/>
  <c r="BF82" i="2"/>
  <c r="BF83" i="2"/>
  <c r="BF84" i="2"/>
  <c r="BF85" i="2"/>
  <c r="BF86" i="2"/>
  <c r="BF87" i="2"/>
  <c r="BF88" i="2"/>
  <c r="BF89" i="2"/>
  <c r="BF90" i="2"/>
  <c r="BF91" i="2"/>
  <c r="BF92" i="2"/>
  <c r="BF93" i="2"/>
  <c r="BF94" i="2"/>
  <c r="BF95" i="2"/>
  <c r="BF96" i="2"/>
  <c r="BF97" i="2"/>
  <c r="BF98" i="2"/>
  <c r="BF99" i="2"/>
  <c r="BF100" i="2"/>
  <c r="BF101" i="2"/>
  <c r="BF102" i="2"/>
  <c r="BF103" i="2"/>
  <c r="BF104" i="2"/>
  <c r="BF105" i="2"/>
  <c r="BF106" i="2"/>
  <c r="BF107" i="2"/>
  <c r="BF108" i="2"/>
  <c r="BF109" i="2"/>
  <c r="BF110" i="2"/>
  <c r="BF111" i="2"/>
  <c r="BF112" i="2"/>
  <c r="BF113" i="2"/>
  <c r="BF114" i="2"/>
  <c r="BF115" i="2"/>
  <c r="BF116" i="2"/>
  <c r="BF117" i="2"/>
  <c r="BF118" i="2"/>
  <c r="BF119" i="2"/>
  <c r="BF120" i="2"/>
  <c r="BF121" i="2"/>
  <c r="BF122" i="2"/>
  <c r="BF123" i="2"/>
  <c r="BF124" i="2"/>
  <c r="BF125" i="2"/>
  <c r="BF126" i="2"/>
  <c r="BF127" i="2"/>
  <c r="BF128" i="2"/>
  <c r="BF129" i="2"/>
  <c r="BF130" i="2"/>
  <c r="BF131" i="2"/>
  <c r="BF132" i="2"/>
  <c r="BF133" i="2"/>
  <c r="BF134" i="2"/>
  <c r="BF135" i="2"/>
  <c r="BF136" i="2"/>
  <c r="BF137" i="2"/>
  <c r="BF138" i="2"/>
  <c r="BF139" i="2"/>
  <c r="BF140" i="2"/>
  <c r="BF141" i="2"/>
  <c r="BF142" i="2"/>
  <c r="BF143" i="2"/>
  <c r="BF144" i="2"/>
  <c r="BF145" i="2"/>
  <c r="BF146" i="2"/>
  <c r="BF147" i="2"/>
  <c r="BF148" i="2"/>
  <c r="BF149" i="2"/>
  <c r="BF150" i="2"/>
  <c r="BF151" i="2"/>
  <c r="BF152" i="2"/>
  <c r="BF153" i="2"/>
  <c r="BF154" i="2"/>
  <c r="BF155" i="2"/>
  <c r="BF156" i="2"/>
  <c r="BF157" i="2"/>
  <c r="BF158" i="2"/>
  <c r="BF159" i="2"/>
  <c r="BF160" i="2"/>
  <c r="BF161" i="2"/>
  <c r="BF162" i="2"/>
  <c r="BF163" i="2"/>
  <c r="BF164" i="2"/>
  <c r="BF165" i="2"/>
  <c r="BF166" i="2"/>
  <c r="BF167" i="2"/>
  <c r="BF168" i="2"/>
  <c r="BF169" i="2"/>
  <c r="BF170" i="2"/>
  <c r="BF171" i="2"/>
  <c r="BF172" i="2"/>
  <c r="BF173" i="2"/>
  <c r="BF174" i="2"/>
  <c r="BF175" i="2"/>
  <c r="BF176" i="2"/>
  <c r="BF177" i="2"/>
  <c r="BF178" i="2"/>
  <c r="BF179" i="2"/>
  <c r="BF180" i="2"/>
  <c r="BF181" i="2"/>
  <c r="BF182" i="2"/>
  <c r="BF183" i="2"/>
  <c r="BF184" i="2"/>
  <c r="BF185" i="2"/>
  <c r="BF186" i="2"/>
  <c r="BF187" i="2"/>
  <c r="BF188" i="2"/>
  <c r="BF189" i="2"/>
  <c r="BF190" i="2"/>
  <c r="BF191" i="2"/>
  <c r="BF192" i="2"/>
  <c r="BF193" i="2"/>
  <c r="BF194" i="2"/>
  <c r="BF195" i="2"/>
  <c r="BF196" i="2"/>
  <c r="BF197" i="2"/>
  <c r="BF198" i="2"/>
  <c r="BF199" i="2"/>
  <c r="BF200" i="2"/>
  <c r="BF201" i="2"/>
  <c r="BF202" i="2"/>
  <c r="BF203" i="2"/>
  <c r="BF204" i="2"/>
  <c r="BF205" i="2"/>
  <c r="BF206" i="2"/>
  <c r="BF207" i="2"/>
  <c r="BF208" i="2"/>
  <c r="BF209" i="2"/>
  <c r="BF210" i="2"/>
  <c r="BF211" i="2"/>
  <c r="BF212" i="2"/>
  <c r="BF213" i="2"/>
  <c r="BF214" i="2"/>
  <c r="BF215" i="2"/>
  <c r="BF216" i="2"/>
  <c r="BF217" i="2"/>
  <c r="BF218" i="2"/>
  <c r="BF219" i="2"/>
  <c r="BF220" i="2"/>
  <c r="BF221" i="2"/>
  <c r="BF222" i="2"/>
  <c r="BF223" i="2"/>
  <c r="BF224" i="2"/>
  <c r="BF225" i="2"/>
  <c r="BF226" i="2"/>
  <c r="BF227" i="2"/>
  <c r="BF228" i="2"/>
  <c r="BF229" i="2"/>
  <c r="BF230" i="2"/>
  <c r="BF231" i="2"/>
  <c r="BF232" i="2"/>
  <c r="BF233" i="2"/>
  <c r="BF234" i="2"/>
  <c r="BF235" i="2"/>
  <c r="BF236" i="2"/>
  <c r="BF237" i="2"/>
  <c r="BF238" i="2"/>
  <c r="BF239" i="2"/>
  <c r="BF240" i="2"/>
  <c r="BF241" i="2"/>
  <c r="BF242" i="2"/>
  <c r="BF243" i="2"/>
  <c r="BF244" i="2"/>
  <c r="BF245" i="2"/>
  <c r="BF246" i="2"/>
  <c r="BF247" i="2"/>
  <c r="BF248" i="2"/>
  <c r="BF249" i="2"/>
  <c r="BF250" i="2"/>
  <c r="BF251" i="2"/>
  <c r="BF252" i="2"/>
  <c r="BF253" i="2"/>
  <c r="BF254" i="2"/>
  <c r="BF255" i="2"/>
  <c r="BF256" i="2"/>
  <c r="BF257" i="2"/>
  <c r="BF258" i="2"/>
  <c r="BF259" i="2"/>
  <c r="BF260" i="2"/>
  <c r="BF261" i="2"/>
  <c r="BF262" i="2"/>
  <c r="BF263" i="2"/>
  <c r="BF264" i="2"/>
  <c r="BF265" i="2"/>
  <c r="BF266" i="2"/>
  <c r="BF267" i="2"/>
  <c r="BF268" i="2"/>
  <c r="BF269" i="2"/>
  <c r="BF270" i="2"/>
  <c r="BF271" i="2"/>
  <c r="BF272" i="2"/>
  <c r="BF273" i="2"/>
  <c r="BF274" i="2"/>
  <c r="BF275" i="2"/>
  <c r="BF276" i="2"/>
  <c r="BF277" i="2"/>
  <c r="BF278" i="2"/>
  <c r="BF279" i="2"/>
  <c r="BF280" i="2"/>
  <c r="BF281" i="2"/>
  <c r="BF282" i="2"/>
  <c r="BF283" i="2"/>
  <c r="BF284" i="2"/>
  <c r="BF285" i="2"/>
  <c r="BF286" i="2"/>
  <c r="BF287" i="2"/>
  <c r="BF288" i="2"/>
  <c r="BF289" i="2"/>
  <c r="BF290" i="2"/>
  <c r="BF291" i="2"/>
  <c r="BF292" i="2"/>
  <c r="BF293" i="2"/>
  <c r="BF294" i="2"/>
  <c r="BF295" i="2"/>
  <c r="BF296" i="2"/>
  <c r="BF297" i="2"/>
  <c r="BF298" i="2"/>
  <c r="BF299" i="2"/>
  <c r="BF300" i="2"/>
  <c r="BF301" i="2"/>
  <c r="BF302" i="2"/>
  <c r="BF303" i="2"/>
  <c r="BF304" i="2"/>
  <c r="BF305" i="2"/>
  <c r="BF306" i="2"/>
  <c r="BF307" i="2"/>
  <c r="BF308" i="2"/>
  <c r="BF309" i="2"/>
  <c r="BF310" i="2"/>
  <c r="BF311" i="2"/>
  <c r="BF312" i="2"/>
  <c r="BF313" i="2"/>
  <c r="BF314" i="2"/>
  <c r="BF315" i="2"/>
  <c r="BF316" i="2"/>
  <c r="BF317" i="2"/>
  <c r="BF318" i="2"/>
  <c r="BF319" i="2"/>
  <c r="BF320" i="2"/>
  <c r="BF321" i="2"/>
  <c r="BF322" i="2"/>
  <c r="BF323" i="2"/>
  <c r="BF324" i="2"/>
  <c r="BF325" i="2"/>
  <c r="BF326" i="2"/>
  <c r="BF327" i="2"/>
  <c r="BF328" i="2"/>
  <c r="BF329" i="2"/>
  <c r="BF330" i="2"/>
  <c r="BF331" i="2"/>
  <c r="BF332" i="2"/>
  <c r="BF333" i="2"/>
  <c r="BF334" i="2"/>
  <c r="BF335" i="2"/>
  <c r="BF336" i="2"/>
  <c r="BF337" i="2"/>
  <c r="BF338" i="2"/>
  <c r="BF339" i="2"/>
  <c r="BF340" i="2"/>
  <c r="BF341" i="2"/>
  <c r="BF342" i="2"/>
  <c r="BF343" i="2"/>
  <c r="BF344" i="2"/>
  <c r="BF345" i="2"/>
  <c r="BF346" i="2"/>
  <c r="BF347" i="2"/>
  <c r="BF348" i="2"/>
  <c r="BF349" i="2"/>
  <c r="BF350" i="2"/>
  <c r="BF351" i="2"/>
  <c r="BF352" i="2"/>
  <c r="BF353" i="2"/>
  <c r="BF354" i="2"/>
  <c r="BF355" i="2"/>
  <c r="BF356" i="2"/>
  <c r="BF357" i="2"/>
  <c r="BF358" i="2"/>
  <c r="BF359" i="2"/>
  <c r="BF360" i="2"/>
  <c r="BF361" i="2"/>
  <c r="BF362" i="2"/>
  <c r="BF363" i="2"/>
  <c r="BF364" i="2"/>
  <c r="BF365" i="2"/>
  <c r="BF366" i="2"/>
  <c r="BF367" i="2"/>
  <c r="BF368" i="2"/>
  <c r="BF369" i="2"/>
  <c r="BF370" i="2"/>
  <c r="A17" i="1" l="1"/>
  <c r="B15" i="9"/>
  <c r="H16" i="5"/>
  <c r="BG75" i="2"/>
  <c r="BG76" i="2"/>
  <c r="BG77" i="2"/>
  <c r="BG163" i="2"/>
  <c r="BG166" i="2"/>
  <c r="BG216" i="2"/>
  <c r="BG217" i="2"/>
  <c r="BG218" i="2"/>
  <c r="BG221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110" i="2"/>
  <c r="BG111" i="2"/>
  <c r="BG112" i="2"/>
  <c r="BG113" i="2"/>
  <c r="BG114" i="2"/>
  <c r="BG115" i="2"/>
  <c r="BG116" i="2"/>
  <c r="BG117" i="2"/>
  <c r="BG118" i="2"/>
  <c r="BG119" i="2"/>
  <c r="BG120" i="2"/>
  <c r="BG121" i="2"/>
  <c r="BG122" i="2"/>
  <c r="BG123" i="2"/>
  <c r="BG124" i="2"/>
  <c r="BG125" i="2"/>
  <c r="BG126" i="2"/>
  <c r="BG127" i="2"/>
  <c r="BG128" i="2"/>
  <c r="BG129" i="2"/>
  <c r="BG130" i="2"/>
  <c r="BG131" i="2"/>
  <c r="BG132" i="2"/>
  <c r="BG133" i="2"/>
  <c r="BG134" i="2"/>
  <c r="BG135" i="2"/>
  <c r="BG136" i="2"/>
  <c r="BG137" i="2"/>
  <c r="BG138" i="2"/>
  <c r="BG139" i="2"/>
  <c r="BG140" i="2"/>
  <c r="BG141" i="2"/>
  <c r="BG142" i="2"/>
  <c r="BG143" i="2"/>
  <c r="BG144" i="2"/>
  <c r="BG145" i="2"/>
  <c r="BG146" i="2"/>
  <c r="BG147" i="2"/>
  <c r="BG148" i="2"/>
  <c r="BG149" i="2"/>
  <c r="BG150" i="2"/>
  <c r="BG151" i="2"/>
  <c r="BG152" i="2"/>
  <c r="BG153" i="2"/>
  <c r="BG154" i="2"/>
  <c r="BG155" i="2"/>
  <c r="BG156" i="2"/>
  <c r="BG157" i="2"/>
  <c r="BG158" i="2"/>
  <c r="BG159" i="2"/>
  <c r="BG160" i="2"/>
  <c r="BG161" i="2"/>
  <c r="BG162" i="2"/>
  <c r="BG164" i="2"/>
  <c r="BG165" i="2"/>
  <c r="BG167" i="2"/>
  <c r="BG168" i="2"/>
  <c r="BG169" i="2"/>
  <c r="BG170" i="2"/>
  <c r="BG171" i="2"/>
  <c r="BG172" i="2"/>
  <c r="BG173" i="2"/>
  <c r="BG174" i="2"/>
  <c r="BG175" i="2"/>
  <c r="BG176" i="2"/>
  <c r="BG177" i="2"/>
  <c r="BG178" i="2"/>
  <c r="BG179" i="2"/>
  <c r="BG180" i="2"/>
  <c r="BG181" i="2"/>
  <c r="BG182" i="2"/>
  <c r="BG183" i="2"/>
  <c r="BG184" i="2"/>
  <c r="BG185" i="2"/>
  <c r="BG186" i="2"/>
  <c r="BG187" i="2"/>
  <c r="BG188" i="2"/>
  <c r="BG189" i="2"/>
  <c r="BG190" i="2"/>
  <c r="BG191" i="2"/>
  <c r="BG192" i="2"/>
  <c r="BG193" i="2"/>
  <c r="BG194" i="2"/>
  <c r="BG195" i="2"/>
  <c r="BG196" i="2"/>
  <c r="BG197" i="2"/>
  <c r="BG198" i="2"/>
  <c r="BG199" i="2"/>
  <c r="BG200" i="2"/>
  <c r="BG201" i="2"/>
  <c r="BG202" i="2"/>
  <c r="BG203" i="2"/>
  <c r="BG204" i="2"/>
  <c r="BG205" i="2"/>
  <c r="BG206" i="2"/>
  <c r="BG207" i="2"/>
  <c r="BG208" i="2"/>
  <c r="BG209" i="2"/>
  <c r="BG210" i="2"/>
  <c r="BG211" i="2"/>
  <c r="BG212" i="2"/>
  <c r="BG213" i="2"/>
  <c r="BG214" i="2"/>
  <c r="BG215" i="2"/>
  <c r="BG219" i="2"/>
  <c r="BG220" i="2"/>
  <c r="BG222" i="2"/>
  <c r="BG223" i="2"/>
  <c r="BG224" i="2"/>
  <c r="BG225" i="2"/>
  <c r="BG226" i="2"/>
  <c r="BG227" i="2"/>
  <c r="BG228" i="2"/>
  <c r="BG229" i="2"/>
  <c r="BG230" i="2"/>
  <c r="BG231" i="2"/>
  <c r="BG232" i="2"/>
  <c r="BG233" i="2"/>
  <c r="BG234" i="2"/>
  <c r="BG235" i="2"/>
  <c r="BG236" i="2"/>
  <c r="BG237" i="2"/>
  <c r="BG238" i="2"/>
  <c r="BG239" i="2"/>
  <c r="BG240" i="2"/>
  <c r="BG241" i="2"/>
  <c r="BG242" i="2"/>
  <c r="BG243" i="2"/>
  <c r="BG244" i="2"/>
  <c r="BG245" i="2"/>
  <c r="BG246" i="2"/>
  <c r="BG247" i="2"/>
  <c r="BG248" i="2"/>
  <c r="BG249" i="2"/>
  <c r="BG250" i="2"/>
  <c r="BG251" i="2"/>
  <c r="BG252" i="2"/>
  <c r="BG253" i="2"/>
  <c r="BG254" i="2"/>
  <c r="BG255" i="2"/>
  <c r="BG256" i="2"/>
  <c r="BG257" i="2"/>
  <c r="BG258" i="2"/>
  <c r="BG259" i="2"/>
  <c r="BG260" i="2"/>
  <c r="BG261" i="2"/>
  <c r="BG262" i="2"/>
  <c r="BG263" i="2"/>
  <c r="BG264" i="2"/>
  <c r="BG265" i="2"/>
  <c r="BG266" i="2"/>
  <c r="BG267" i="2"/>
  <c r="BG268" i="2"/>
  <c r="BG269" i="2"/>
  <c r="BG270" i="2"/>
  <c r="BG271" i="2"/>
  <c r="BG272" i="2"/>
  <c r="BG273" i="2"/>
  <c r="BG274" i="2"/>
  <c r="BG275" i="2"/>
  <c r="BG276" i="2"/>
  <c r="BG277" i="2"/>
  <c r="BG278" i="2"/>
  <c r="BG279" i="2"/>
  <c r="BG280" i="2"/>
  <c r="BG281" i="2"/>
  <c r="BG282" i="2"/>
  <c r="BG283" i="2"/>
  <c r="BG284" i="2"/>
  <c r="BG285" i="2"/>
  <c r="BG286" i="2"/>
  <c r="BG287" i="2"/>
  <c r="BG288" i="2"/>
  <c r="BG289" i="2"/>
  <c r="BG290" i="2"/>
  <c r="BG291" i="2"/>
  <c r="BG292" i="2"/>
  <c r="BG293" i="2"/>
  <c r="BG294" i="2"/>
  <c r="BG295" i="2"/>
  <c r="BG296" i="2"/>
  <c r="BG297" i="2"/>
  <c r="BG298" i="2"/>
  <c r="BG299" i="2"/>
  <c r="BG300" i="2"/>
  <c r="BG301" i="2"/>
  <c r="BG302" i="2"/>
  <c r="BG303" i="2"/>
  <c r="BG304" i="2"/>
  <c r="BG305" i="2"/>
  <c r="BG306" i="2"/>
  <c r="BG307" i="2"/>
  <c r="BG308" i="2"/>
  <c r="BG309" i="2"/>
  <c r="BG310" i="2"/>
  <c r="BG311" i="2"/>
  <c r="BG312" i="2"/>
  <c r="BG313" i="2"/>
  <c r="BG314" i="2"/>
  <c r="BG315" i="2"/>
  <c r="BG316" i="2"/>
  <c r="BG317" i="2"/>
  <c r="BG318" i="2"/>
  <c r="BG319" i="2"/>
  <c r="BG320" i="2"/>
  <c r="BG321" i="2"/>
  <c r="BG322" i="2"/>
  <c r="BG323" i="2"/>
  <c r="BG324" i="2"/>
  <c r="BG325" i="2"/>
  <c r="BG326" i="2"/>
  <c r="BG327" i="2"/>
  <c r="BG328" i="2"/>
  <c r="BG329" i="2"/>
  <c r="BG330" i="2"/>
  <c r="BG331" i="2"/>
  <c r="BG332" i="2"/>
  <c r="BG333" i="2"/>
  <c r="BG334" i="2"/>
  <c r="BG335" i="2"/>
  <c r="BG336" i="2"/>
  <c r="BG337" i="2"/>
  <c r="BG338" i="2"/>
  <c r="BG339" i="2"/>
  <c r="BG340" i="2"/>
  <c r="BG341" i="2"/>
  <c r="BG342" i="2"/>
  <c r="BG343" i="2"/>
  <c r="BG344" i="2"/>
  <c r="BG345" i="2"/>
  <c r="BG346" i="2"/>
  <c r="BG347" i="2"/>
  <c r="BG348" i="2"/>
  <c r="BG349" i="2"/>
  <c r="BG350" i="2"/>
  <c r="BG351" i="2"/>
  <c r="BG352" i="2"/>
  <c r="BG353" i="2"/>
  <c r="BG354" i="2"/>
  <c r="BG355" i="2"/>
  <c r="BG356" i="2"/>
  <c r="BG357" i="2"/>
  <c r="BG358" i="2"/>
  <c r="BG359" i="2"/>
  <c r="BG360" i="2"/>
  <c r="BG361" i="2"/>
  <c r="BG362" i="2"/>
  <c r="BG363" i="2"/>
  <c r="BG364" i="2"/>
  <c r="BG365" i="2"/>
  <c r="BG366" i="2"/>
  <c r="BG367" i="2"/>
  <c r="BG368" i="2"/>
  <c r="BG369" i="2"/>
  <c r="BG370" i="2"/>
  <c r="BG27" i="2"/>
  <c r="A18" i="1" l="1"/>
  <c r="B16" i="9"/>
  <c r="A19" i="1" l="1"/>
  <c r="B17" i="9"/>
  <c r="O16" i="5"/>
  <c r="M16" i="5"/>
  <c r="K16" i="5"/>
  <c r="G16" i="5"/>
  <c r="E16" i="5"/>
  <c r="A20" i="1" l="1"/>
  <c r="B18" i="9"/>
  <c r="I16" i="5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Q27" i="1"/>
  <c r="AB27" i="2" s="1"/>
  <c r="Q28" i="1"/>
  <c r="AB28" i="2" s="1"/>
  <c r="Q29" i="1"/>
  <c r="AB29" i="2" s="1"/>
  <c r="Q30" i="1"/>
  <c r="AB30" i="2" s="1"/>
  <c r="B31" i="2"/>
  <c r="Q31" i="1"/>
  <c r="AB31" i="2" s="1"/>
  <c r="B32" i="2"/>
  <c r="Q32" i="1"/>
  <c r="AB32" i="2" s="1"/>
  <c r="B33" i="2"/>
  <c r="Q33" i="1"/>
  <c r="AB33" i="2" s="1"/>
  <c r="B34" i="2"/>
  <c r="Q34" i="1"/>
  <c r="AB34" i="2" s="1"/>
  <c r="B35" i="2"/>
  <c r="Q35" i="1"/>
  <c r="AB35" i="2" s="1"/>
  <c r="B36" i="2"/>
  <c r="Q36" i="1"/>
  <c r="AB36" i="2" s="1"/>
  <c r="B37" i="2"/>
  <c r="Q37" i="1"/>
  <c r="AB37" i="2" s="1"/>
  <c r="B38" i="2"/>
  <c r="Q38" i="1"/>
  <c r="AB38" i="2" s="1"/>
  <c r="B39" i="2"/>
  <c r="Q39" i="1"/>
  <c r="AB39" i="2" s="1"/>
  <c r="B40" i="2"/>
  <c r="Q40" i="1"/>
  <c r="AB40" i="2" s="1"/>
  <c r="B41" i="2"/>
  <c r="Q41" i="1"/>
  <c r="AB41" i="2" s="1"/>
  <c r="B42" i="2"/>
  <c r="Q42" i="1"/>
  <c r="AB42" i="2" s="1"/>
  <c r="B43" i="2"/>
  <c r="Q43" i="1"/>
  <c r="AB43" i="2" s="1"/>
  <c r="B44" i="2"/>
  <c r="Q44" i="1"/>
  <c r="AB44" i="2" s="1"/>
  <c r="B45" i="2"/>
  <c r="Q45" i="1"/>
  <c r="AB45" i="2" s="1"/>
  <c r="B46" i="2"/>
  <c r="Q46" i="1"/>
  <c r="AB46" i="2" s="1"/>
  <c r="B47" i="2"/>
  <c r="Q47" i="1"/>
  <c r="AB47" i="2" s="1"/>
  <c r="B48" i="2"/>
  <c r="Q48" i="1"/>
  <c r="AB48" i="2" s="1"/>
  <c r="B49" i="2"/>
  <c r="Q49" i="1"/>
  <c r="AB49" i="2" s="1"/>
  <c r="B50" i="2"/>
  <c r="Q50" i="1"/>
  <c r="AB50" i="2" s="1"/>
  <c r="B51" i="2"/>
  <c r="Q51" i="1"/>
  <c r="AB51" i="2" s="1"/>
  <c r="B52" i="2"/>
  <c r="Q52" i="1"/>
  <c r="AB52" i="2" s="1"/>
  <c r="B53" i="2"/>
  <c r="Q53" i="1"/>
  <c r="AB53" i="2" s="1"/>
  <c r="B54" i="2"/>
  <c r="Q54" i="1"/>
  <c r="AB54" i="2" s="1"/>
  <c r="B55" i="2"/>
  <c r="Q55" i="1"/>
  <c r="AB55" i="2" s="1"/>
  <c r="B56" i="2"/>
  <c r="Q56" i="1"/>
  <c r="AB56" i="2" s="1"/>
  <c r="B57" i="2"/>
  <c r="Q57" i="1"/>
  <c r="AB57" i="2" s="1"/>
  <c r="B58" i="2"/>
  <c r="Q58" i="1"/>
  <c r="AB58" i="2" s="1"/>
  <c r="B59" i="2"/>
  <c r="Q59" i="1"/>
  <c r="AB59" i="2" s="1"/>
  <c r="B60" i="2"/>
  <c r="Q60" i="1"/>
  <c r="AB60" i="2" s="1"/>
  <c r="B61" i="2"/>
  <c r="Q61" i="1"/>
  <c r="AB61" i="2" s="1"/>
  <c r="B62" i="2"/>
  <c r="Q62" i="1"/>
  <c r="AB62" i="2" s="1"/>
  <c r="B63" i="2"/>
  <c r="Q63" i="1"/>
  <c r="AB63" i="2" s="1"/>
  <c r="B64" i="2"/>
  <c r="Q64" i="1"/>
  <c r="AB64" i="2" s="1"/>
  <c r="B65" i="2"/>
  <c r="Q65" i="1"/>
  <c r="AB65" i="2" s="1"/>
  <c r="B66" i="2"/>
  <c r="Q66" i="1"/>
  <c r="AB66" i="2" s="1"/>
  <c r="B67" i="2"/>
  <c r="Q67" i="1"/>
  <c r="AB67" i="2" s="1"/>
  <c r="B68" i="2"/>
  <c r="Q68" i="1"/>
  <c r="AB68" i="2" s="1"/>
  <c r="B69" i="2"/>
  <c r="Q69" i="1"/>
  <c r="AB69" i="2" s="1"/>
  <c r="B70" i="2"/>
  <c r="Q70" i="1"/>
  <c r="AB70" i="2" s="1"/>
  <c r="B71" i="2"/>
  <c r="Q71" i="1"/>
  <c r="AB71" i="2" s="1"/>
  <c r="B72" i="2"/>
  <c r="Q72" i="1"/>
  <c r="AB72" i="2" s="1"/>
  <c r="B73" i="2"/>
  <c r="Q73" i="1"/>
  <c r="AB73" i="2" s="1"/>
  <c r="B74" i="2"/>
  <c r="Q74" i="1"/>
  <c r="AB74" i="2" s="1"/>
  <c r="B75" i="2"/>
  <c r="Q75" i="1"/>
  <c r="AB75" i="2" s="1"/>
  <c r="B76" i="2"/>
  <c r="Q76" i="1"/>
  <c r="AB76" i="2" s="1"/>
  <c r="B77" i="2"/>
  <c r="Q77" i="1"/>
  <c r="AB77" i="2" s="1"/>
  <c r="B78" i="2"/>
  <c r="Q78" i="1"/>
  <c r="AB78" i="2" s="1"/>
  <c r="B79" i="2"/>
  <c r="Q79" i="1"/>
  <c r="AB79" i="2" s="1"/>
  <c r="B80" i="2"/>
  <c r="Q80" i="1"/>
  <c r="AB80" i="2" s="1"/>
  <c r="B81" i="2"/>
  <c r="Q81" i="1"/>
  <c r="AB81" i="2" s="1"/>
  <c r="B82" i="2"/>
  <c r="Q82" i="1"/>
  <c r="AB82" i="2" s="1"/>
  <c r="B83" i="2"/>
  <c r="Q83" i="1"/>
  <c r="AB83" i="2" s="1"/>
  <c r="B84" i="2"/>
  <c r="Q84" i="1"/>
  <c r="AB84" i="2" s="1"/>
  <c r="B85" i="2"/>
  <c r="Q85" i="1"/>
  <c r="AB85" i="2" s="1"/>
  <c r="B86" i="2"/>
  <c r="Q86" i="1"/>
  <c r="AB86" i="2" s="1"/>
  <c r="B87" i="2"/>
  <c r="Q87" i="1"/>
  <c r="AB87" i="2" s="1"/>
  <c r="B88" i="2"/>
  <c r="Q88" i="1"/>
  <c r="AB88" i="2" s="1"/>
  <c r="B89" i="2"/>
  <c r="Q89" i="1"/>
  <c r="AB89" i="2" s="1"/>
  <c r="B90" i="2"/>
  <c r="Q90" i="1"/>
  <c r="AB90" i="2" s="1"/>
  <c r="B91" i="2"/>
  <c r="Q91" i="1"/>
  <c r="AB91" i="2" s="1"/>
  <c r="B92" i="2"/>
  <c r="Q92" i="1"/>
  <c r="AB92" i="2" s="1"/>
  <c r="B93" i="2"/>
  <c r="Q93" i="1"/>
  <c r="AB93" i="2" s="1"/>
  <c r="B94" i="2"/>
  <c r="Q94" i="1"/>
  <c r="AB94" i="2" s="1"/>
  <c r="B95" i="2"/>
  <c r="Q95" i="1"/>
  <c r="AB95" i="2" s="1"/>
  <c r="B96" i="2"/>
  <c r="C96" i="2" s="1"/>
  <c r="E96" i="2"/>
  <c r="G96" i="2"/>
  <c r="I96" i="2"/>
  <c r="D77" i="9" s="1"/>
  <c r="K96" i="2"/>
  <c r="M96" i="2"/>
  <c r="O96" i="2"/>
  <c r="Q96" i="2"/>
  <c r="C77" i="9" s="1"/>
  <c r="S96" i="2"/>
  <c r="U96" i="2"/>
  <c r="W96" i="2"/>
  <c r="Q96" i="1"/>
  <c r="AB96" i="2" s="1"/>
  <c r="B97" i="2"/>
  <c r="C97" i="2" s="1"/>
  <c r="E97" i="2"/>
  <c r="G97" i="2"/>
  <c r="I97" i="2"/>
  <c r="D78" i="9" s="1"/>
  <c r="K97" i="2"/>
  <c r="M97" i="2"/>
  <c r="O97" i="2"/>
  <c r="Q97" i="2"/>
  <c r="C78" i="9" s="1"/>
  <c r="S97" i="2"/>
  <c r="U97" i="2"/>
  <c r="W97" i="2"/>
  <c r="Q97" i="1"/>
  <c r="AB97" i="2" s="1"/>
  <c r="B98" i="2"/>
  <c r="C98" i="2" s="1"/>
  <c r="E98" i="2"/>
  <c r="G98" i="2"/>
  <c r="I98" i="2"/>
  <c r="D79" i="9" s="1"/>
  <c r="K98" i="2"/>
  <c r="M98" i="2"/>
  <c r="O98" i="2"/>
  <c r="Q98" i="2"/>
  <c r="C79" i="9" s="1"/>
  <c r="S98" i="2"/>
  <c r="U98" i="2"/>
  <c r="W98" i="2"/>
  <c r="Q98" i="1"/>
  <c r="AB98" i="2" s="1"/>
  <c r="B99" i="2"/>
  <c r="C99" i="2" s="1"/>
  <c r="E99" i="2"/>
  <c r="G99" i="2"/>
  <c r="I99" i="2"/>
  <c r="D80" i="9" s="1"/>
  <c r="K99" i="2"/>
  <c r="M99" i="2"/>
  <c r="O99" i="2"/>
  <c r="Q99" i="2"/>
  <c r="C80" i="9" s="1"/>
  <c r="S99" i="2"/>
  <c r="U99" i="2"/>
  <c r="W99" i="2"/>
  <c r="Q99" i="1"/>
  <c r="AB99" i="2" s="1"/>
  <c r="B100" i="2"/>
  <c r="E100" i="2"/>
  <c r="G100" i="2"/>
  <c r="I100" i="2"/>
  <c r="D81" i="9" s="1"/>
  <c r="K100" i="2"/>
  <c r="M100" i="2"/>
  <c r="O100" i="2"/>
  <c r="Q100" i="2"/>
  <c r="C81" i="9" s="1"/>
  <c r="S100" i="2"/>
  <c r="U100" i="2"/>
  <c r="W100" i="2"/>
  <c r="Q100" i="1"/>
  <c r="AB100" i="2" s="1"/>
  <c r="B101" i="2"/>
  <c r="C101" i="2" s="1"/>
  <c r="E101" i="2"/>
  <c r="G101" i="2"/>
  <c r="I101" i="2"/>
  <c r="D82" i="9" s="1"/>
  <c r="K101" i="2"/>
  <c r="M101" i="2"/>
  <c r="O101" i="2"/>
  <c r="Q101" i="2"/>
  <c r="C82" i="9" s="1"/>
  <c r="S101" i="2"/>
  <c r="U101" i="2"/>
  <c r="W101" i="2"/>
  <c r="Q101" i="1"/>
  <c r="AB101" i="2" s="1"/>
  <c r="B102" i="2"/>
  <c r="C102" i="2" s="1"/>
  <c r="E102" i="2"/>
  <c r="G102" i="2"/>
  <c r="I102" i="2"/>
  <c r="D83" i="9" s="1"/>
  <c r="K102" i="2"/>
  <c r="M102" i="2"/>
  <c r="O102" i="2"/>
  <c r="Q102" i="2"/>
  <c r="C83" i="9" s="1"/>
  <c r="S102" i="2"/>
  <c r="U102" i="2"/>
  <c r="W102" i="2"/>
  <c r="Q102" i="1"/>
  <c r="AB102" i="2" s="1"/>
  <c r="B103" i="2"/>
  <c r="C103" i="2" s="1"/>
  <c r="E103" i="2"/>
  <c r="G103" i="2"/>
  <c r="I103" i="2"/>
  <c r="D84" i="9" s="1"/>
  <c r="K103" i="2"/>
  <c r="M103" i="2"/>
  <c r="O103" i="2"/>
  <c r="Q103" i="2"/>
  <c r="C84" i="9" s="1"/>
  <c r="S103" i="2"/>
  <c r="U103" i="2"/>
  <c r="W103" i="2"/>
  <c r="Q103" i="1"/>
  <c r="AB103" i="2" s="1"/>
  <c r="B104" i="2"/>
  <c r="C104" i="2" s="1"/>
  <c r="E104" i="2"/>
  <c r="G104" i="2"/>
  <c r="I104" i="2"/>
  <c r="D85" i="9" s="1"/>
  <c r="K104" i="2"/>
  <c r="M104" i="2"/>
  <c r="O104" i="2"/>
  <c r="Q104" i="2"/>
  <c r="C85" i="9" s="1"/>
  <c r="S104" i="2"/>
  <c r="U104" i="2"/>
  <c r="W104" i="2"/>
  <c r="Q104" i="1"/>
  <c r="AB104" i="2" s="1"/>
  <c r="B105" i="2"/>
  <c r="E105" i="2"/>
  <c r="G105" i="2"/>
  <c r="I105" i="2"/>
  <c r="D86" i="9" s="1"/>
  <c r="K105" i="2"/>
  <c r="M105" i="2"/>
  <c r="O105" i="2"/>
  <c r="Q105" i="2"/>
  <c r="C86" i="9" s="1"/>
  <c r="S105" i="2"/>
  <c r="U105" i="2"/>
  <c r="W105" i="2"/>
  <c r="Q105" i="1"/>
  <c r="AB105" i="2" s="1"/>
  <c r="B106" i="2"/>
  <c r="C106" i="2" s="1"/>
  <c r="E106" i="2"/>
  <c r="G106" i="2"/>
  <c r="I106" i="2"/>
  <c r="D87" i="9" s="1"/>
  <c r="K106" i="2"/>
  <c r="M106" i="2"/>
  <c r="O106" i="2"/>
  <c r="Q106" i="2"/>
  <c r="C87" i="9" s="1"/>
  <c r="S106" i="2"/>
  <c r="U106" i="2"/>
  <c r="W106" i="2"/>
  <c r="Q106" i="1"/>
  <c r="AB106" i="2" s="1"/>
  <c r="B107" i="2"/>
  <c r="C107" i="2" s="1"/>
  <c r="E107" i="2"/>
  <c r="G107" i="2"/>
  <c r="I107" i="2"/>
  <c r="D88" i="9" s="1"/>
  <c r="K107" i="2"/>
  <c r="M107" i="2"/>
  <c r="O107" i="2"/>
  <c r="Q107" i="2"/>
  <c r="C88" i="9" s="1"/>
  <c r="S107" i="2"/>
  <c r="U107" i="2"/>
  <c r="W107" i="2"/>
  <c r="Q107" i="1"/>
  <c r="AB107" i="2" s="1"/>
  <c r="B108" i="2"/>
  <c r="C108" i="2" s="1"/>
  <c r="E108" i="2"/>
  <c r="G108" i="2"/>
  <c r="I108" i="2"/>
  <c r="D89" i="9" s="1"/>
  <c r="K108" i="2"/>
  <c r="M108" i="2"/>
  <c r="O108" i="2"/>
  <c r="Q108" i="2"/>
  <c r="C89" i="9" s="1"/>
  <c r="S108" i="2"/>
  <c r="U108" i="2"/>
  <c r="W108" i="2"/>
  <c r="Q108" i="1"/>
  <c r="AB108" i="2" s="1"/>
  <c r="B109" i="2"/>
  <c r="C109" i="2" s="1"/>
  <c r="E109" i="2"/>
  <c r="G109" i="2"/>
  <c r="I109" i="2"/>
  <c r="D90" i="9" s="1"/>
  <c r="K109" i="2"/>
  <c r="M109" i="2"/>
  <c r="O109" i="2"/>
  <c r="Q109" i="2"/>
  <c r="C90" i="9" s="1"/>
  <c r="S109" i="2"/>
  <c r="U109" i="2"/>
  <c r="W109" i="2"/>
  <c r="Q109" i="1"/>
  <c r="AB109" i="2" s="1"/>
  <c r="B110" i="2"/>
  <c r="E110" i="2"/>
  <c r="G110" i="2"/>
  <c r="I110" i="2"/>
  <c r="D91" i="9" s="1"/>
  <c r="K110" i="2"/>
  <c r="M110" i="2"/>
  <c r="O110" i="2"/>
  <c r="Q110" i="2"/>
  <c r="C91" i="9" s="1"/>
  <c r="S110" i="2"/>
  <c r="U110" i="2"/>
  <c r="W110" i="2"/>
  <c r="Q110" i="1"/>
  <c r="AB110" i="2" s="1"/>
  <c r="B111" i="2"/>
  <c r="C111" i="2" s="1"/>
  <c r="E111" i="2"/>
  <c r="G111" i="2"/>
  <c r="I111" i="2"/>
  <c r="D92" i="9" s="1"/>
  <c r="K111" i="2"/>
  <c r="M111" i="2"/>
  <c r="O111" i="2"/>
  <c r="Q111" i="2"/>
  <c r="C92" i="9" s="1"/>
  <c r="S111" i="2"/>
  <c r="U111" i="2"/>
  <c r="W111" i="2"/>
  <c r="Q111" i="1"/>
  <c r="AB111" i="2" s="1"/>
  <c r="B112" i="2"/>
  <c r="C112" i="2" s="1"/>
  <c r="E112" i="2"/>
  <c r="G112" i="2"/>
  <c r="I112" i="2"/>
  <c r="D93" i="9" s="1"/>
  <c r="K112" i="2"/>
  <c r="M112" i="2"/>
  <c r="O112" i="2"/>
  <c r="Q112" i="2"/>
  <c r="C93" i="9" s="1"/>
  <c r="S112" i="2"/>
  <c r="U112" i="2"/>
  <c r="W112" i="2"/>
  <c r="Q112" i="1"/>
  <c r="AB112" i="2" s="1"/>
  <c r="B113" i="2"/>
  <c r="C113" i="2" s="1"/>
  <c r="E113" i="2"/>
  <c r="G113" i="2"/>
  <c r="I113" i="2"/>
  <c r="D94" i="9" s="1"/>
  <c r="K113" i="2"/>
  <c r="M113" i="2"/>
  <c r="O113" i="2"/>
  <c r="Q113" i="2"/>
  <c r="C94" i="9" s="1"/>
  <c r="S113" i="2"/>
  <c r="U113" i="2"/>
  <c r="W113" i="2"/>
  <c r="Q113" i="1"/>
  <c r="AB113" i="2" s="1"/>
  <c r="B114" i="2"/>
  <c r="C114" i="2" s="1"/>
  <c r="E114" i="2"/>
  <c r="G114" i="2"/>
  <c r="I114" i="2"/>
  <c r="D95" i="9" s="1"/>
  <c r="K114" i="2"/>
  <c r="M114" i="2"/>
  <c r="O114" i="2"/>
  <c r="Q114" i="2"/>
  <c r="C95" i="9" s="1"/>
  <c r="S114" i="2"/>
  <c r="U114" i="2"/>
  <c r="W114" i="2"/>
  <c r="Q114" i="1"/>
  <c r="AB114" i="2" s="1"/>
  <c r="B115" i="2"/>
  <c r="E115" i="2"/>
  <c r="G115" i="2"/>
  <c r="I115" i="2"/>
  <c r="D96" i="9" s="1"/>
  <c r="K115" i="2"/>
  <c r="M115" i="2"/>
  <c r="O115" i="2"/>
  <c r="Q115" i="2"/>
  <c r="C96" i="9" s="1"/>
  <c r="S115" i="2"/>
  <c r="U115" i="2"/>
  <c r="W115" i="2"/>
  <c r="Q115" i="1"/>
  <c r="AB115" i="2" s="1"/>
  <c r="B116" i="2"/>
  <c r="C116" i="2" s="1"/>
  <c r="E116" i="2"/>
  <c r="G116" i="2"/>
  <c r="I116" i="2"/>
  <c r="D97" i="9" s="1"/>
  <c r="K116" i="2"/>
  <c r="M116" i="2"/>
  <c r="O116" i="2"/>
  <c r="Q116" i="2"/>
  <c r="C97" i="9" s="1"/>
  <c r="S116" i="2"/>
  <c r="U116" i="2"/>
  <c r="W116" i="2"/>
  <c r="Q116" i="1"/>
  <c r="AB116" i="2" s="1"/>
  <c r="B117" i="2"/>
  <c r="C117" i="2" s="1"/>
  <c r="E117" i="2"/>
  <c r="G117" i="2"/>
  <c r="I117" i="2"/>
  <c r="D98" i="9" s="1"/>
  <c r="K117" i="2"/>
  <c r="M117" i="2"/>
  <c r="O117" i="2"/>
  <c r="Q117" i="2"/>
  <c r="C98" i="9" s="1"/>
  <c r="S117" i="2"/>
  <c r="U117" i="2"/>
  <c r="W117" i="2"/>
  <c r="Q117" i="1"/>
  <c r="AB117" i="2" s="1"/>
  <c r="B118" i="2"/>
  <c r="C118" i="2" s="1"/>
  <c r="E118" i="2"/>
  <c r="G118" i="2"/>
  <c r="I118" i="2"/>
  <c r="D99" i="9" s="1"/>
  <c r="K118" i="2"/>
  <c r="M118" i="2"/>
  <c r="O118" i="2"/>
  <c r="Q118" i="2"/>
  <c r="C99" i="9" s="1"/>
  <c r="S118" i="2"/>
  <c r="U118" i="2"/>
  <c r="W118" i="2"/>
  <c r="Q118" i="1"/>
  <c r="AB118" i="2" s="1"/>
  <c r="B119" i="2"/>
  <c r="C119" i="2" s="1"/>
  <c r="E119" i="2"/>
  <c r="G119" i="2"/>
  <c r="I119" i="2"/>
  <c r="D100" i="9" s="1"/>
  <c r="K119" i="2"/>
  <c r="M119" i="2"/>
  <c r="O119" i="2"/>
  <c r="Q119" i="2"/>
  <c r="C100" i="9" s="1"/>
  <c r="S119" i="2"/>
  <c r="U119" i="2"/>
  <c r="W119" i="2"/>
  <c r="Q119" i="1"/>
  <c r="AB119" i="2" s="1"/>
  <c r="B120" i="2"/>
  <c r="E120" i="2"/>
  <c r="G120" i="2"/>
  <c r="I120" i="2"/>
  <c r="D101" i="9" s="1"/>
  <c r="K120" i="2"/>
  <c r="M120" i="2"/>
  <c r="O120" i="2"/>
  <c r="Q120" i="2"/>
  <c r="C101" i="9" s="1"/>
  <c r="S120" i="2"/>
  <c r="U120" i="2"/>
  <c r="W120" i="2"/>
  <c r="Q120" i="1"/>
  <c r="AB120" i="2" s="1"/>
  <c r="B121" i="2"/>
  <c r="C121" i="2" s="1"/>
  <c r="E121" i="2"/>
  <c r="G121" i="2"/>
  <c r="I121" i="2"/>
  <c r="D102" i="9" s="1"/>
  <c r="K121" i="2"/>
  <c r="M121" i="2"/>
  <c r="O121" i="2"/>
  <c r="Q121" i="2"/>
  <c r="C102" i="9" s="1"/>
  <c r="S121" i="2"/>
  <c r="U121" i="2"/>
  <c r="W121" i="2"/>
  <c r="Q121" i="1"/>
  <c r="AB121" i="2" s="1"/>
  <c r="B122" i="2"/>
  <c r="C122" i="2" s="1"/>
  <c r="E122" i="2"/>
  <c r="G122" i="2"/>
  <c r="I122" i="2"/>
  <c r="D103" i="9" s="1"/>
  <c r="K122" i="2"/>
  <c r="M122" i="2"/>
  <c r="O122" i="2"/>
  <c r="Q122" i="2"/>
  <c r="C103" i="9" s="1"/>
  <c r="S122" i="2"/>
  <c r="U122" i="2"/>
  <c r="W122" i="2"/>
  <c r="Q122" i="1"/>
  <c r="AB122" i="2" s="1"/>
  <c r="B123" i="2"/>
  <c r="C123" i="2" s="1"/>
  <c r="E123" i="2"/>
  <c r="G123" i="2"/>
  <c r="I123" i="2"/>
  <c r="D104" i="9" s="1"/>
  <c r="K123" i="2"/>
  <c r="M123" i="2"/>
  <c r="O123" i="2"/>
  <c r="Q123" i="2"/>
  <c r="C104" i="9" s="1"/>
  <c r="S123" i="2"/>
  <c r="U123" i="2"/>
  <c r="W123" i="2"/>
  <c r="Q123" i="1"/>
  <c r="AB123" i="2" s="1"/>
  <c r="B124" i="2"/>
  <c r="C124" i="2" s="1"/>
  <c r="E124" i="2"/>
  <c r="G124" i="2"/>
  <c r="I124" i="2"/>
  <c r="D105" i="9" s="1"/>
  <c r="K124" i="2"/>
  <c r="M124" i="2"/>
  <c r="O124" i="2"/>
  <c r="Q124" i="2"/>
  <c r="C105" i="9" s="1"/>
  <c r="S124" i="2"/>
  <c r="U124" i="2"/>
  <c r="W124" i="2"/>
  <c r="Q124" i="1"/>
  <c r="AB124" i="2" s="1"/>
  <c r="B125" i="2"/>
  <c r="E125" i="2"/>
  <c r="G125" i="2"/>
  <c r="I125" i="2"/>
  <c r="D106" i="9" s="1"/>
  <c r="K125" i="2"/>
  <c r="M125" i="2"/>
  <c r="O125" i="2"/>
  <c r="Q125" i="2"/>
  <c r="C106" i="9" s="1"/>
  <c r="S125" i="2"/>
  <c r="U125" i="2"/>
  <c r="W125" i="2"/>
  <c r="Q125" i="1"/>
  <c r="AB125" i="2" s="1"/>
  <c r="B126" i="2"/>
  <c r="C126" i="2" s="1"/>
  <c r="E126" i="2"/>
  <c r="G126" i="2"/>
  <c r="I126" i="2"/>
  <c r="D107" i="9" s="1"/>
  <c r="K126" i="2"/>
  <c r="M126" i="2"/>
  <c r="O126" i="2"/>
  <c r="Q126" i="2"/>
  <c r="C107" i="9" s="1"/>
  <c r="S126" i="2"/>
  <c r="U126" i="2"/>
  <c r="W126" i="2"/>
  <c r="Q126" i="1"/>
  <c r="AB126" i="2" s="1"/>
  <c r="B127" i="2"/>
  <c r="C127" i="2" s="1"/>
  <c r="E127" i="2"/>
  <c r="G127" i="2"/>
  <c r="I127" i="2"/>
  <c r="D108" i="9" s="1"/>
  <c r="K127" i="2"/>
  <c r="M127" i="2"/>
  <c r="O127" i="2"/>
  <c r="Q127" i="2"/>
  <c r="C108" i="9" s="1"/>
  <c r="S127" i="2"/>
  <c r="U127" i="2"/>
  <c r="W127" i="2"/>
  <c r="Q127" i="1"/>
  <c r="AB127" i="2" s="1"/>
  <c r="B128" i="2"/>
  <c r="C128" i="2" s="1"/>
  <c r="E128" i="2"/>
  <c r="G128" i="2"/>
  <c r="I128" i="2"/>
  <c r="D109" i="9" s="1"/>
  <c r="K128" i="2"/>
  <c r="M128" i="2"/>
  <c r="O128" i="2"/>
  <c r="Q128" i="2"/>
  <c r="C109" i="9" s="1"/>
  <c r="S128" i="2"/>
  <c r="U128" i="2"/>
  <c r="W128" i="2"/>
  <c r="Q128" i="1"/>
  <c r="AB128" i="2" s="1"/>
  <c r="B129" i="2"/>
  <c r="C129" i="2" s="1"/>
  <c r="E129" i="2"/>
  <c r="G129" i="2"/>
  <c r="I129" i="2"/>
  <c r="D110" i="9" s="1"/>
  <c r="K129" i="2"/>
  <c r="M129" i="2"/>
  <c r="O129" i="2"/>
  <c r="Q129" i="2"/>
  <c r="C110" i="9" s="1"/>
  <c r="S129" i="2"/>
  <c r="U129" i="2"/>
  <c r="W129" i="2"/>
  <c r="Q129" i="1"/>
  <c r="AB129" i="2" s="1"/>
  <c r="B130" i="2"/>
  <c r="E130" i="2"/>
  <c r="G130" i="2"/>
  <c r="I130" i="2"/>
  <c r="D111" i="9" s="1"/>
  <c r="K130" i="2"/>
  <c r="M130" i="2"/>
  <c r="O130" i="2"/>
  <c r="Q130" i="2"/>
  <c r="C111" i="9" s="1"/>
  <c r="S130" i="2"/>
  <c r="U130" i="2"/>
  <c r="W130" i="2"/>
  <c r="Q130" i="1"/>
  <c r="AB130" i="2" s="1"/>
  <c r="B131" i="2"/>
  <c r="C131" i="2" s="1"/>
  <c r="E131" i="2"/>
  <c r="G131" i="2"/>
  <c r="I131" i="2"/>
  <c r="D112" i="9" s="1"/>
  <c r="K131" i="2"/>
  <c r="M131" i="2"/>
  <c r="O131" i="2"/>
  <c r="Q131" i="2"/>
  <c r="C112" i="9" s="1"/>
  <c r="S131" i="2"/>
  <c r="U131" i="2"/>
  <c r="W131" i="2"/>
  <c r="Q131" i="1"/>
  <c r="AB131" i="2" s="1"/>
  <c r="B132" i="2"/>
  <c r="C132" i="2" s="1"/>
  <c r="E132" i="2"/>
  <c r="G132" i="2"/>
  <c r="I132" i="2"/>
  <c r="D113" i="9" s="1"/>
  <c r="K132" i="2"/>
  <c r="M132" i="2"/>
  <c r="O132" i="2"/>
  <c r="Q132" i="2"/>
  <c r="C113" i="9" s="1"/>
  <c r="S132" i="2"/>
  <c r="U132" i="2"/>
  <c r="W132" i="2"/>
  <c r="Q132" i="1"/>
  <c r="AB132" i="2" s="1"/>
  <c r="B133" i="2"/>
  <c r="C133" i="2" s="1"/>
  <c r="E133" i="2"/>
  <c r="G133" i="2"/>
  <c r="I133" i="2"/>
  <c r="D114" i="9" s="1"/>
  <c r="K133" i="2"/>
  <c r="M133" i="2"/>
  <c r="O133" i="2"/>
  <c r="Q133" i="2"/>
  <c r="C114" i="9" s="1"/>
  <c r="S133" i="2"/>
  <c r="U133" i="2"/>
  <c r="W133" i="2"/>
  <c r="Q133" i="1"/>
  <c r="AB133" i="2" s="1"/>
  <c r="B134" i="2"/>
  <c r="C134" i="2" s="1"/>
  <c r="E134" i="2"/>
  <c r="G134" i="2"/>
  <c r="I134" i="2"/>
  <c r="D115" i="9" s="1"/>
  <c r="K134" i="2"/>
  <c r="M134" i="2"/>
  <c r="O134" i="2"/>
  <c r="Q134" i="2"/>
  <c r="C115" i="9" s="1"/>
  <c r="S134" i="2"/>
  <c r="U134" i="2"/>
  <c r="W134" i="2"/>
  <c r="Q134" i="1"/>
  <c r="AB134" i="2" s="1"/>
  <c r="B135" i="2"/>
  <c r="E135" i="2"/>
  <c r="G135" i="2"/>
  <c r="I135" i="2"/>
  <c r="D116" i="9" s="1"/>
  <c r="K135" i="2"/>
  <c r="M135" i="2"/>
  <c r="O135" i="2"/>
  <c r="Q135" i="2"/>
  <c r="C116" i="9" s="1"/>
  <c r="S135" i="2"/>
  <c r="U135" i="2"/>
  <c r="W135" i="2"/>
  <c r="Q135" i="1"/>
  <c r="AB135" i="2" s="1"/>
  <c r="B136" i="2"/>
  <c r="C136" i="2" s="1"/>
  <c r="E136" i="2"/>
  <c r="G136" i="2"/>
  <c r="I136" i="2"/>
  <c r="D117" i="9" s="1"/>
  <c r="K136" i="2"/>
  <c r="M136" i="2"/>
  <c r="O136" i="2"/>
  <c r="Q136" i="2"/>
  <c r="C117" i="9" s="1"/>
  <c r="S136" i="2"/>
  <c r="U136" i="2"/>
  <c r="W136" i="2"/>
  <c r="Q136" i="1"/>
  <c r="AB136" i="2" s="1"/>
  <c r="B137" i="2"/>
  <c r="C137" i="2" s="1"/>
  <c r="E137" i="2"/>
  <c r="G137" i="2"/>
  <c r="I137" i="2"/>
  <c r="D118" i="9" s="1"/>
  <c r="K137" i="2"/>
  <c r="M137" i="2"/>
  <c r="O137" i="2"/>
  <c r="Q137" i="2"/>
  <c r="C118" i="9" s="1"/>
  <c r="S137" i="2"/>
  <c r="U137" i="2"/>
  <c r="W137" i="2"/>
  <c r="Q137" i="1"/>
  <c r="AB137" i="2" s="1"/>
  <c r="B138" i="2"/>
  <c r="C138" i="2" s="1"/>
  <c r="E138" i="2"/>
  <c r="G138" i="2"/>
  <c r="I138" i="2"/>
  <c r="D119" i="9" s="1"/>
  <c r="K138" i="2"/>
  <c r="M138" i="2"/>
  <c r="O138" i="2"/>
  <c r="Q138" i="2"/>
  <c r="C119" i="9" s="1"/>
  <c r="S138" i="2"/>
  <c r="U138" i="2"/>
  <c r="W138" i="2"/>
  <c r="Q138" i="1"/>
  <c r="AB138" i="2" s="1"/>
  <c r="B139" i="2"/>
  <c r="C139" i="2" s="1"/>
  <c r="E139" i="2"/>
  <c r="G139" i="2"/>
  <c r="I139" i="2"/>
  <c r="D120" i="9" s="1"/>
  <c r="K139" i="2"/>
  <c r="M139" i="2"/>
  <c r="O139" i="2"/>
  <c r="Q139" i="2"/>
  <c r="C120" i="9" s="1"/>
  <c r="S139" i="2"/>
  <c r="U139" i="2"/>
  <c r="W139" i="2"/>
  <c r="Q139" i="1"/>
  <c r="AB139" i="2" s="1"/>
  <c r="B140" i="2"/>
  <c r="E140" i="2"/>
  <c r="G140" i="2"/>
  <c r="I140" i="2"/>
  <c r="D121" i="9" s="1"/>
  <c r="K140" i="2"/>
  <c r="M140" i="2"/>
  <c r="O140" i="2"/>
  <c r="Q140" i="2"/>
  <c r="C121" i="9" s="1"/>
  <c r="S140" i="2"/>
  <c r="U140" i="2"/>
  <c r="W140" i="2"/>
  <c r="Q140" i="1"/>
  <c r="AB140" i="2" s="1"/>
  <c r="B141" i="2"/>
  <c r="C141" i="2" s="1"/>
  <c r="E141" i="2"/>
  <c r="G141" i="2"/>
  <c r="I141" i="2"/>
  <c r="D122" i="9" s="1"/>
  <c r="K141" i="2"/>
  <c r="M141" i="2"/>
  <c r="O141" i="2"/>
  <c r="Q141" i="2"/>
  <c r="C122" i="9" s="1"/>
  <c r="S141" i="2"/>
  <c r="U141" i="2"/>
  <c r="W141" i="2"/>
  <c r="Q141" i="1"/>
  <c r="AB141" i="2" s="1"/>
  <c r="B142" i="2"/>
  <c r="C142" i="2" s="1"/>
  <c r="E142" i="2"/>
  <c r="G142" i="2"/>
  <c r="I142" i="2"/>
  <c r="D123" i="9" s="1"/>
  <c r="K142" i="2"/>
  <c r="M142" i="2"/>
  <c r="O142" i="2"/>
  <c r="Q142" i="2"/>
  <c r="C123" i="9" s="1"/>
  <c r="S142" i="2"/>
  <c r="U142" i="2"/>
  <c r="W142" i="2"/>
  <c r="Q142" i="1"/>
  <c r="AB142" i="2" s="1"/>
  <c r="B143" i="2"/>
  <c r="C143" i="2" s="1"/>
  <c r="E143" i="2"/>
  <c r="G143" i="2"/>
  <c r="I143" i="2"/>
  <c r="D124" i="9" s="1"/>
  <c r="K143" i="2"/>
  <c r="M143" i="2"/>
  <c r="O143" i="2"/>
  <c r="Q143" i="2"/>
  <c r="C124" i="9" s="1"/>
  <c r="S143" i="2"/>
  <c r="U143" i="2"/>
  <c r="W143" i="2"/>
  <c r="Q143" i="1"/>
  <c r="AB143" i="2" s="1"/>
  <c r="B144" i="2"/>
  <c r="C144" i="2" s="1"/>
  <c r="E144" i="2"/>
  <c r="G144" i="2"/>
  <c r="I144" i="2"/>
  <c r="D125" i="9" s="1"/>
  <c r="K144" i="2"/>
  <c r="M144" i="2"/>
  <c r="O144" i="2"/>
  <c r="Q144" i="2"/>
  <c r="C125" i="9" s="1"/>
  <c r="S144" i="2"/>
  <c r="U144" i="2"/>
  <c r="W144" i="2"/>
  <c r="Q144" i="1"/>
  <c r="AB144" i="2" s="1"/>
  <c r="B145" i="2"/>
  <c r="E145" i="2"/>
  <c r="G145" i="2"/>
  <c r="I145" i="2"/>
  <c r="D126" i="9" s="1"/>
  <c r="K145" i="2"/>
  <c r="M145" i="2"/>
  <c r="O145" i="2"/>
  <c r="Q145" i="2"/>
  <c r="C126" i="9" s="1"/>
  <c r="S145" i="2"/>
  <c r="U145" i="2"/>
  <c r="W145" i="2"/>
  <c r="Q145" i="1"/>
  <c r="AB145" i="2" s="1"/>
  <c r="B146" i="2"/>
  <c r="C146" i="2" s="1"/>
  <c r="E146" i="2"/>
  <c r="G146" i="2"/>
  <c r="I146" i="2"/>
  <c r="D127" i="9" s="1"/>
  <c r="K146" i="2"/>
  <c r="M146" i="2"/>
  <c r="O146" i="2"/>
  <c r="Q146" i="2"/>
  <c r="C127" i="9" s="1"/>
  <c r="S146" i="2"/>
  <c r="U146" i="2"/>
  <c r="W146" i="2"/>
  <c r="Q146" i="1"/>
  <c r="AB146" i="2" s="1"/>
  <c r="B147" i="2"/>
  <c r="C147" i="2" s="1"/>
  <c r="E147" i="2"/>
  <c r="G147" i="2"/>
  <c r="I147" i="2"/>
  <c r="D128" i="9" s="1"/>
  <c r="K147" i="2"/>
  <c r="M147" i="2"/>
  <c r="O147" i="2"/>
  <c r="Q147" i="2"/>
  <c r="C128" i="9" s="1"/>
  <c r="S147" i="2"/>
  <c r="U147" i="2"/>
  <c r="W147" i="2"/>
  <c r="Q147" i="1"/>
  <c r="AB147" i="2" s="1"/>
  <c r="B148" i="2"/>
  <c r="C148" i="2" s="1"/>
  <c r="E148" i="2"/>
  <c r="G148" i="2"/>
  <c r="I148" i="2"/>
  <c r="D129" i="9" s="1"/>
  <c r="K148" i="2"/>
  <c r="M148" i="2"/>
  <c r="O148" i="2"/>
  <c r="Q148" i="2"/>
  <c r="C129" i="9" s="1"/>
  <c r="S148" i="2"/>
  <c r="U148" i="2"/>
  <c r="W148" i="2"/>
  <c r="Q148" i="1"/>
  <c r="AB148" i="2" s="1"/>
  <c r="B149" i="2"/>
  <c r="C149" i="2" s="1"/>
  <c r="E149" i="2"/>
  <c r="G149" i="2"/>
  <c r="I149" i="2"/>
  <c r="D130" i="9" s="1"/>
  <c r="K149" i="2"/>
  <c r="M149" i="2"/>
  <c r="O149" i="2"/>
  <c r="Q149" i="2"/>
  <c r="C130" i="9" s="1"/>
  <c r="S149" i="2"/>
  <c r="U149" i="2"/>
  <c r="W149" i="2"/>
  <c r="Q149" i="1"/>
  <c r="AB149" i="2" s="1"/>
  <c r="B150" i="2"/>
  <c r="E150" i="2"/>
  <c r="G150" i="2"/>
  <c r="I150" i="2"/>
  <c r="D131" i="9" s="1"/>
  <c r="K150" i="2"/>
  <c r="M150" i="2"/>
  <c r="O150" i="2"/>
  <c r="Q150" i="2"/>
  <c r="C131" i="9" s="1"/>
  <c r="S150" i="2"/>
  <c r="U150" i="2"/>
  <c r="W150" i="2"/>
  <c r="Q150" i="1"/>
  <c r="AB150" i="2" s="1"/>
  <c r="B151" i="2"/>
  <c r="C151" i="2" s="1"/>
  <c r="E151" i="2"/>
  <c r="G151" i="2"/>
  <c r="I151" i="2"/>
  <c r="D132" i="9" s="1"/>
  <c r="K151" i="2"/>
  <c r="M151" i="2"/>
  <c r="O151" i="2"/>
  <c r="Q151" i="2"/>
  <c r="C132" i="9" s="1"/>
  <c r="S151" i="2"/>
  <c r="U151" i="2"/>
  <c r="W151" i="2"/>
  <c r="Q151" i="1"/>
  <c r="AB151" i="2" s="1"/>
  <c r="B152" i="2"/>
  <c r="C152" i="2" s="1"/>
  <c r="E152" i="2"/>
  <c r="G152" i="2"/>
  <c r="I152" i="2"/>
  <c r="D133" i="9" s="1"/>
  <c r="K152" i="2"/>
  <c r="M152" i="2"/>
  <c r="O152" i="2"/>
  <c r="Q152" i="2"/>
  <c r="C133" i="9" s="1"/>
  <c r="S152" i="2"/>
  <c r="U152" i="2"/>
  <c r="W152" i="2"/>
  <c r="Q152" i="1"/>
  <c r="AB152" i="2" s="1"/>
  <c r="B153" i="2"/>
  <c r="C153" i="2" s="1"/>
  <c r="E153" i="2"/>
  <c r="G153" i="2"/>
  <c r="I153" i="2"/>
  <c r="D134" i="9" s="1"/>
  <c r="K153" i="2"/>
  <c r="M153" i="2"/>
  <c r="O153" i="2"/>
  <c r="Q153" i="2"/>
  <c r="C134" i="9" s="1"/>
  <c r="S153" i="2"/>
  <c r="U153" i="2"/>
  <c r="W153" i="2"/>
  <c r="Q153" i="1"/>
  <c r="AB153" i="2" s="1"/>
  <c r="B154" i="2"/>
  <c r="C154" i="2" s="1"/>
  <c r="E154" i="2"/>
  <c r="G154" i="2"/>
  <c r="I154" i="2"/>
  <c r="D135" i="9" s="1"/>
  <c r="K154" i="2"/>
  <c r="M154" i="2"/>
  <c r="O154" i="2"/>
  <c r="Q154" i="2"/>
  <c r="C135" i="9" s="1"/>
  <c r="S154" i="2"/>
  <c r="U154" i="2"/>
  <c r="W154" i="2"/>
  <c r="Q154" i="1"/>
  <c r="AB154" i="2" s="1"/>
  <c r="B155" i="2"/>
  <c r="E155" i="2"/>
  <c r="G155" i="2"/>
  <c r="I155" i="2"/>
  <c r="D136" i="9" s="1"/>
  <c r="K155" i="2"/>
  <c r="M155" i="2"/>
  <c r="O155" i="2"/>
  <c r="Q155" i="2"/>
  <c r="C136" i="9" s="1"/>
  <c r="S155" i="2"/>
  <c r="U155" i="2"/>
  <c r="W155" i="2"/>
  <c r="Q155" i="1"/>
  <c r="AB155" i="2" s="1"/>
  <c r="B156" i="2"/>
  <c r="C156" i="2" s="1"/>
  <c r="E156" i="2"/>
  <c r="G156" i="2"/>
  <c r="I156" i="2"/>
  <c r="D137" i="9" s="1"/>
  <c r="K156" i="2"/>
  <c r="M156" i="2"/>
  <c r="O156" i="2"/>
  <c r="Q156" i="2"/>
  <c r="C137" i="9" s="1"/>
  <c r="S156" i="2"/>
  <c r="U156" i="2"/>
  <c r="W156" i="2"/>
  <c r="Q156" i="1"/>
  <c r="AB156" i="2" s="1"/>
  <c r="B157" i="2"/>
  <c r="C157" i="2" s="1"/>
  <c r="E157" i="2"/>
  <c r="G157" i="2"/>
  <c r="I157" i="2"/>
  <c r="D138" i="9" s="1"/>
  <c r="K157" i="2"/>
  <c r="M157" i="2"/>
  <c r="O157" i="2"/>
  <c r="Q157" i="2"/>
  <c r="C138" i="9" s="1"/>
  <c r="S157" i="2"/>
  <c r="U157" i="2"/>
  <c r="W157" i="2"/>
  <c r="Q157" i="1"/>
  <c r="AB157" i="2" s="1"/>
  <c r="B158" i="2"/>
  <c r="C158" i="2" s="1"/>
  <c r="E158" i="2"/>
  <c r="G158" i="2"/>
  <c r="I158" i="2"/>
  <c r="D139" i="9" s="1"/>
  <c r="K158" i="2"/>
  <c r="M158" i="2"/>
  <c r="O158" i="2"/>
  <c r="Q158" i="2"/>
  <c r="C139" i="9" s="1"/>
  <c r="S158" i="2"/>
  <c r="U158" i="2"/>
  <c r="W158" i="2"/>
  <c r="Q158" i="1"/>
  <c r="AB158" i="2" s="1"/>
  <c r="B159" i="2"/>
  <c r="C159" i="2" s="1"/>
  <c r="E159" i="2"/>
  <c r="G159" i="2"/>
  <c r="I159" i="2"/>
  <c r="D140" i="9" s="1"/>
  <c r="K159" i="2"/>
  <c r="M159" i="2"/>
  <c r="O159" i="2"/>
  <c r="Q159" i="2"/>
  <c r="C140" i="9" s="1"/>
  <c r="S159" i="2"/>
  <c r="U159" i="2"/>
  <c r="W159" i="2"/>
  <c r="Q159" i="1"/>
  <c r="AB159" i="2" s="1"/>
  <c r="B160" i="2"/>
  <c r="E160" i="2"/>
  <c r="G160" i="2"/>
  <c r="I160" i="2"/>
  <c r="D141" i="9" s="1"/>
  <c r="K160" i="2"/>
  <c r="M160" i="2"/>
  <c r="O160" i="2"/>
  <c r="Q160" i="2"/>
  <c r="C141" i="9" s="1"/>
  <c r="S160" i="2"/>
  <c r="U160" i="2"/>
  <c r="W160" i="2"/>
  <c r="Q160" i="1"/>
  <c r="AB160" i="2" s="1"/>
  <c r="B161" i="2"/>
  <c r="C161" i="2" s="1"/>
  <c r="E161" i="2"/>
  <c r="G161" i="2"/>
  <c r="I161" i="2"/>
  <c r="D142" i="9" s="1"/>
  <c r="K161" i="2"/>
  <c r="M161" i="2"/>
  <c r="O161" i="2"/>
  <c r="Q161" i="2"/>
  <c r="C142" i="9" s="1"/>
  <c r="S161" i="2"/>
  <c r="U161" i="2"/>
  <c r="W161" i="2"/>
  <c r="Q161" i="1"/>
  <c r="AB161" i="2" s="1"/>
  <c r="B162" i="2"/>
  <c r="C162" i="2" s="1"/>
  <c r="E162" i="2"/>
  <c r="G162" i="2"/>
  <c r="I162" i="2"/>
  <c r="D143" i="9" s="1"/>
  <c r="K162" i="2"/>
  <c r="M162" i="2"/>
  <c r="O162" i="2"/>
  <c r="Q162" i="2"/>
  <c r="C143" i="9" s="1"/>
  <c r="S162" i="2"/>
  <c r="U162" i="2"/>
  <c r="W162" i="2"/>
  <c r="Q162" i="1"/>
  <c r="AB162" i="2" s="1"/>
  <c r="B163" i="2"/>
  <c r="C163" i="2" s="1"/>
  <c r="E163" i="2"/>
  <c r="G163" i="2"/>
  <c r="I163" i="2"/>
  <c r="D144" i="9" s="1"/>
  <c r="K163" i="2"/>
  <c r="M163" i="2"/>
  <c r="O163" i="2"/>
  <c r="Q163" i="2"/>
  <c r="C144" i="9" s="1"/>
  <c r="S163" i="2"/>
  <c r="U163" i="2"/>
  <c r="W163" i="2"/>
  <c r="Q163" i="1"/>
  <c r="AB163" i="2" s="1"/>
  <c r="B164" i="2"/>
  <c r="C164" i="2" s="1"/>
  <c r="E164" i="2"/>
  <c r="G164" i="2"/>
  <c r="I164" i="2"/>
  <c r="D145" i="9" s="1"/>
  <c r="K164" i="2"/>
  <c r="M164" i="2"/>
  <c r="O164" i="2"/>
  <c r="Q164" i="2"/>
  <c r="C145" i="9" s="1"/>
  <c r="S164" i="2"/>
  <c r="U164" i="2"/>
  <c r="W164" i="2"/>
  <c r="Q164" i="1"/>
  <c r="AB164" i="2" s="1"/>
  <c r="B165" i="2"/>
  <c r="E165" i="2"/>
  <c r="G165" i="2"/>
  <c r="I165" i="2"/>
  <c r="D146" i="9" s="1"/>
  <c r="K165" i="2"/>
  <c r="M165" i="2"/>
  <c r="O165" i="2"/>
  <c r="Q165" i="2"/>
  <c r="C146" i="9" s="1"/>
  <c r="S165" i="2"/>
  <c r="U165" i="2"/>
  <c r="W165" i="2"/>
  <c r="Q165" i="1"/>
  <c r="AB165" i="2" s="1"/>
  <c r="B166" i="2"/>
  <c r="C166" i="2" s="1"/>
  <c r="E166" i="2"/>
  <c r="G166" i="2"/>
  <c r="I166" i="2"/>
  <c r="D147" i="9" s="1"/>
  <c r="K166" i="2"/>
  <c r="M166" i="2"/>
  <c r="O166" i="2"/>
  <c r="Q166" i="2"/>
  <c r="C147" i="9" s="1"/>
  <c r="S166" i="2"/>
  <c r="U166" i="2"/>
  <c r="W166" i="2"/>
  <c r="Q166" i="1"/>
  <c r="AB166" i="2" s="1"/>
  <c r="B167" i="2"/>
  <c r="C167" i="2" s="1"/>
  <c r="E167" i="2"/>
  <c r="G167" i="2"/>
  <c r="I167" i="2"/>
  <c r="D148" i="9" s="1"/>
  <c r="K167" i="2"/>
  <c r="M167" i="2"/>
  <c r="O167" i="2"/>
  <c r="Q167" i="2"/>
  <c r="C148" i="9" s="1"/>
  <c r="S167" i="2"/>
  <c r="U167" i="2"/>
  <c r="W167" i="2"/>
  <c r="Q167" i="1"/>
  <c r="AB167" i="2" s="1"/>
  <c r="B168" i="2"/>
  <c r="C168" i="2" s="1"/>
  <c r="E168" i="2"/>
  <c r="G168" i="2"/>
  <c r="I168" i="2"/>
  <c r="D149" i="9" s="1"/>
  <c r="K168" i="2"/>
  <c r="M168" i="2"/>
  <c r="O168" i="2"/>
  <c r="Q168" i="2"/>
  <c r="C149" i="9" s="1"/>
  <c r="S168" i="2"/>
  <c r="U168" i="2"/>
  <c r="W168" i="2"/>
  <c r="Q168" i="1"/>
  <c r="AB168" i="2" s="1"/>
  <c r="B169" i="2"/>
  <c r="C169" i="2" s="1"/>
  <c r="E169" i="2"/>
  <c r="G169" i="2"/>
  <c r="I169" i="2"/>
  <c r="D150" i="9" s="1"/>
  <c r="K169" i="2"/>
  <c r="M169" i="2"/>
  <c r="O169" i="2"/>
  <c r="Q169" i="2"/>
  <c r="C150" i="9" s="1"/>
  <c r="S169" i="2"/>
  <c r="U169" i="2"/>
  <c r="W169" i="2"/>
  <c r="Q169" i="1"/>
  <c r="AB169" i="2" s="1"/>
  <c r="B170" i="2"/>
  <c r="E170" i="2"/>
  <c r="G170" i="2"/>
  <c r="I170" i="2"/>
  <c r="D151" i="9" s="1"/>
  <c r="K170" i="2"/>
  <c r="M170" i="2"/>
  <c r="O170" i="2"/>
  <c r="Q170" i="2"/>
  <c r="C151" i="9" s="1"/>
  <c r="S170" i="2"/>
  <c r="U170" i="2"/>
  <c r="W170" i="2"/>
  <c r="Q170" i="1"/>
  <c r="AB170" i="2" s="1"/>
  <c r="B171" i="2"/>
  <c r="C171" i="2" s="1"/>
  <c r="E171" i="2"/>
  <c r="G171" i="2"/>
  <c r="I171" i="2"/>
  <c r="D152" i="9" s="1"/>
  <c r="K171" i="2"/>
  <c r="M171" i="2"/>
  <c r="O171" i="2"/>
  <c r="Q171" i="2"/>
  <c r="C152" i="9" s="1"/>
  <c r="S171" i="2"/>
  <c r="U171" i="2"/>
  <c r="W171" i="2"/>
  <c r="Q171" i="1"/>
  <c r="AB171" i="2" s="1"/>
  <c r="B172" i="2"/>
  <c r="C172" i="2" s="1"/>
  <c r="E172" i="2"/>
  <c r="G172" i="2"/>
  <c r="I172" i="2"/>
  <c r="D153" i="9" s="1"/>
  <c r="K172" i="2"/>
  <c r="M172" i="2"/>
  <c r="O172" i="2"/>
  <c r="Q172" i="2"/>
  <c r="C153" i="9" s="1"/>
  <c r="S172" i="2"/>
  <c r="U172" i="2"/>
  <c r="W172" i="2"/>
  <c r="Q172" i="1"/>
  <c r="AB172" i="2" s="1"/>
  <c r="B173" i="2"/>
  <c r="C173" i="2" s="1"/>
  <c r="E173" i="2"/>
  <c r="G173" i="2"/>
  <c r="I173" i="2"/>
  <c r="D154" i="9" s="1"/>
  <c r="K173" i="2"/>
  <c r="M173" i="2"/>
  <c r="O173" i="2"/>
  <c r="Q173" i="2"/>
  <c r="C154" i="9" s="1"/>
  <c r="S173" i="2"/>
  <c r="U173" i="2"/>
  <c r="W173" i="2"/>
  <c r="Q173" i="1"/>
  <c r="AB173" i="2" s="1"/>
  <c r="B174" i="2"/>
  <c r="C174" i="2" s="1"/>
  <c r="E174" i="2"/>
  <c r="G174" i="2"/>
  <c r="I174" i="2"/>
  <c r="D155" i="9" s="1"/>
  <c r="K174" i="2"/>
  <c r="M174" i="2"/>
  <c r="O174" i="2"/>
  <c r="Q174" i="2"/>
  <c r="C155" i="9" s="1"/>
  <c r="S174" i="2"/>
  <c r="U174" i="2"/>
  <c r="W174" i="2"/>
  <c r="Q174" i="1"/>
  <c r="AB174" i="2" s="1"/>
  <c r="B175" i="2"/>
  <c r="E175" i="2"/>
  <c r="G175" i="2"/>
  <c r="I175" i="2"/>
  <c r="D156" i="9" s="1"/>
  <c r="K175" i="2"/>
  <c r="M175" i="2"/>
  <c r="O175" i="2"/>
  <c r="Q175" i="2"/>
  <c r="C156" i="9" s="1"/>
  <c r="S175" i="2"/>
  <c r="U175" i="2"/>
  <c r="W175" i="2"/>
  <c r="Q175" i="1"/>
  <c r="AB175" i="2" s="1"/>
  <c r="B176" i="2"/>
  <c r="C176" i="2" s="1"/>
  <c r="E176" i="2"/>
  <c r="G176" i="2"/>
  <c r="I176" i="2"/>
  <c r="D157" i="9" s="1"/>
  <c r="K176" i="2"/>
  <c r="M176" i="2"/>
  <c r="O176" i="2"/>
  <c r="Q176" i="2"/>
  <c r="C157" i="9" s="1"/>
  <c r="S176" i="2"/>
  <c r="U176" i="2"/>
  <c r="W176" i="2"/>
  <c r="Q176" i="1"/>
  <c r="AB176" i="2" s="1"/>
  <c r="B177" i="2"/>
  <c r="E177" i="2"/>
  <c r="G177" i="2"/>
  <c r="I177" i="2"/>
  <c r="D158" i="9" s="1"/>
  <c r="K177" i="2"/>
  <c r="M177" i="2"/>
  <c r="O177" i="2"/>
  <c r="Q177" i="2"/>
  <c r="C158" i="9" s="1"/>
  <c r="Q177" i="1"/>
  <c r="AB177" i="2" s="1"/>
  <c r="B178" i="2"/>
  <c r="E178" i="2"/>
  <c r="G178" i="2"/>
  <c r="I178" i="2"/>
  <c r="D159" i="9" s="1"/>
  <c r="K178" i="2"/>
  <c r="M178" i="2"/>
  <c r="O178" i="2"/>
  <c r="Q178" i="2"/>
  <c r="C159" i="9" s="1"/>
  <c r="S178" i="2"/>
  <c r="U178" i="2"/>
  <c r="Q178" i="1"/>
  <c r="AB178" i="2" s="1"/>
  <c r="B179" i="2"/>
  <c r="E179" i="2"/>
  <c r="G179" i="2"/>
  <c r="I179" i="2"/>
  <c r="D160" i="9" s="1"/>
  <c r="K179" i="2"/>
  <c r="M179" i="2"/>
  <c r="O179" i="2"/>
  <c r="Q179" i="2"/>
  <c r="C160" i="9" s="1"/>
  <c r="U179" i="2"/>
  <c r="W179" i="2"/>
  <c r="Q179" i="1"/>
  <c r="AB179" i="2" s="1"/>
  <c r="B180" i="2"/>
  <c r="C180" i="2" s="1"/>
  <c r="E180" i="2"/>
  <c r="G180" i="2"/>
  <c r="I180" i="2"/>
  <c r="D161" i="9" s="1"/>
  <c r="K180" i="2"/>
  <c r="M180" i="2"/>
  <c r="O180" i="2"/>
  <c r="Q180" i="2"/>
  <c r="C161" i="9" s="1"/>
  <c r="Q180" i="1"/>
  <c r="AB180" i="2" s="1"/>
  <c r="B181" i="2"/>
  <c r="E181" i="2"/>
  <c r="G181" i="2"/>
  <c r="I181" i="2"/>
  <c r="D162" i="9" s="1"/>
  <c r="K181" i="2"/>
  <c r="M181" i="2"/>
  <c r="O181" i="2"/>
  <c r="Q181" i="2"/>
  <c r="C162" i="9" s="1"/>
  <c r="Q181" i="1"/>
  <c r="AB181" i="2" s="1"/>
  <c r="B182" i="2"/>
  <c r="E182" i="2"/>
  <c r="G182" i="2"/>
  <c r="I182" i="2"/>
  <c r="D163" i="9" s="1"/>
  <c r="K182" i="2"/>
  <c r="M182" i="2"/>
  <c r="O182" i="2"/>
  <c r="Q182" i="2"/>
  <c r="C163" i="9" s="1"/>
  <c r="S182" i="2"/>
  <c r="U182" i="2"/>
  <c r="Q182" i="1"/>
  <c r="AB182" i="2" s="1"/>
  <c r="B183" i="2"/>
  <c r="E183" i="2"/>
  <c r="G183" i="2"/>
  <c r="I183" i="2"/>
  <c r="D164" i="9" s="1"/>
  <c r="K183" i="2"/>
  <c r="M183" i="2"/>
  <c r="O183" i="2"/>
  <c r="U183" i="2"/>
  <c r="W183" i="2"/>
  <c r="Q183" i="1"/>
  <c r="AB183" i="2" s="1"/>
  <c r="B184" i="2"/>
  <c r="E184" i="2"/>
  <c r="G184" i="2"/>
  <c r="I184" i="2"/>
  <c r="D165" i="9" s="1"/>
  <c r="K184" i="2"/>
  <c r="M184" i="2"/>
  <c r="O184" i="2"/>
  <c r="Q184" i="2"/>
  <c r="C165" i="9" s="1"/>
  <c r="Q184" i="1"/>
  <c r="AB184" i="2" s="1"/>
  <c r="B185" i="2"/>
  <c r="E185" i="2"/>
  <c r="G185" i="2"/>
  <c r="I185" i="2"/>
  <c r="D166" i="9" s="1"/>
  <c r="K185" i="2"/>
  <c r="M185" i="2"/>
  <c r="Q185" i="2"/>
  <c r="C166" i="9" s="1"/>
  <c r="Q185" i="1"/>
  <c r="AB185" i="2" s="1"/>
  <c r="B186" i="2"/>
  <c r="E186" i="2"/>
  <c r="G186" i="2"/>
  <c r="I186" i="2"/>
  <c r="D167" i="9" s="1"/>
  <c r="K186" i="2"/>
  <c r="M186" i="2"/>
  <c r="O186" i="2"/>
  <c r="Q186" i="2"/>
  <c r="C167" i="9" s="1"/>
  <c r="U186" i="2"/>
  <c r="W186" i="2"/>
  <c r="Q186" i="1"/>
  <c r="AB186" i="2" s="1"/>
  <c r="B187" i="2"/>
  <c r="E187" i="2"/>
  <c r="G187" i="2"/>
  <c r="I187" i="2"/>
  <c r="D168" i="9" s="1"/>
  <c r="K187" i="2"/>
  <c r="M187" i="2"/>
  <c r="O187" i="2"/>
  <c r="Q187" i="2"/>
  <c r="C168" i="9" s="1"/>
  <c r="Q187" i="1"/>
  <c r="AB187" i="2" s="1"/>
  <c r="B188" i="2"/>
  <c r="E188" i="2"/>
  <c r="G188" i="2"/>
  <c r="I188" i="2"/>
  <c r="D169" i="9" s="1"/>
  <c r="K188" i="2"/>
  <c r="M188" i="2"/>
  <c r="Q188" i="2"/>
  <c r="C169" i="9" s="1"/>
  <c r="Q188" i="1"/>
  <c r="AB188" i="2" s="1"/>
  <c r="B189" i="2"/>
  <c r="G189" i="2"/>
  <c r="I189" i="2"/>
  <c r="D170" i="9" s="1"/>
  <c r="K189" i="2"/>
  <c r="M189" i="2"/>
  <c r="O189" i="2"/>
  <c r="Q189" i="2"/>
  <c r="C170" i="9" s="1"/>
  <c r="S189" i="2"/>
  <c r="Q189" i="1"/>
  <c r="AB189" i="2" s="1"/>
  <c r="B190" i="2"/>
  <c r="E190" i="2"/>
  <c r="G190" i="2"/>
  <c r="I190" i="2"/>
  <c r="D171" i="9" s="1"/>
  <c r="K190" i="2"/>
  <c r="M190" i="2"/>
  <c r="O190" i="2"/>
  <c r="Q190" i="2"/>
  <c r="C171" i="9" s="1"/>
  <c r="U190" i="2"/>
  <c r="Q190" i="1"/>
  <c r="AB190" i="2" s="1"/>
  <c r="B191" i="2"/>
  <c r="E191" i="2"/>
  <c r="G191" i="2"/>
  <c r="I191" i="2"/>
  <c r="D172" i="9" s="1"/>
  <c r="K191" i="2"/>
  <c r="M191" i="2"/>
  <c r="O191" i="2"/>
  <c r="Q191" i="2"/>
  <c r="C172" i="9" s="1"/>
  <c r="Q191" i="1"/>
  <c r="AB191" i="2" s="1"/>
  <c r="B192" i="2"/>
  <c r="E192" i="2"/>
  <c r="G192" i="2"/>
  <c r="I192" i="2"/>
  <c r="D173" i="9" s="1"/>
  <c r="K192" i="2"/>
  <c r="M192" i="2"/>
  <c r="O192" i="2"/>
  <c r="Q192" i="2"/>
  <c r="C173" i="9" s="1"/>
  <c r="Q192" i="1"/>
  <c r="AB192" i="2" s="1"/>
  <c r="B193" i="2"/>
  <c r="E193" i="2"/>
  <c r="G193" i="2"/>
  <c r="I193" i="2"/>
  <c r="D174" i="9" s="1"/>
  <c r="K193" i="2"/>
  <c r="M193" i="2"/>
  <c r="O193" i="2"/>
  <c r="Q193" i="2"/>
  <c r="C174" i="9" s="1"/>
  <c r="S193" i="2"/>
  <c r="U193" i="2"/>
  <c r="Q193" i="1"/>
  <c r="AB193" i="2" s="1"/>
  <c r="B194" i="2"/>
  <c r="E194" i="2"/>
  <c r="G194" i="2"/>
  <c r="I194" i="2"/>
  <c r="D175" i="9" s="1"/>
  <c r="K194" i="2"/>
  <c r="M194" i="2"/>
  <c r="O194" i="2"/>
  <c r="Q194" i="2"/>
  <c r="C175" i="9" s="1"/>
  <c r="U194" i="2"/>
  <c r="Q194" i="1"/>
  <c r="AB194" i="2" s="1"/>
  <c r="B195" i="2"/>
  <c r="E195" i="2"/>
  <c r="G195" i="2"/>
  <c r="I195" i="2"/>
  <c r="D176" i="9" s="1"/>
  <c r="K195" i="2"/>
  <c r="M195" i="2"/>
  <c r="Q195" i="1"/>
  <c r="AB195" i="2" s="1"/>
  <c r="B196" i="2"/>
  <c r="E196" i="2"/>
  <c r="G196" i="2"/>
  <c r="I196" i="2"/>
  <c r="D177" i="9" s="1"/>
  <c r="K196" i="2"/>
  <c r="M196" i="2"/>
  <c r="O196" i="2"/>
  <c r="Q196" i="2"/>
  <c r="C177" i="9" s="1"/>
  <c r="Q196" i="1"/>
  <c r="AB196" i="2" s="1"/>
  <c r="B197" i="2"/>
  <c r="E197" i="2"/>
  <c r="G197" i="2"/>
  <c r="I197" i="2"/>
  <c r="D178" i="9" s="1"/>
  <c r="K197" i="2"/>
  <c r="M197" i="2"/>
  <c r="O197" i="2"/>
  <c r="Q197" i="2"/>
  <c r="C178" i="9" s="1"/>
  <c r="U197" i="2"/>
  <c r="W197" i="2"/>
  <c r="Q197" i="1"/>
  <c r="AB197" i="2" s="1"/>
  <c r="B198" i="2"/>
  <c r="E198" i="2"/>
  <c r="G198" i="2"/>
  <c r="I198" i="2"/>
  <c r="D179" i="9" s="1"/>
  <c r="K198" i="2"/>
  <c r="M198" i="2"/>
  <c r="O198" i="2"/>
  <c r="Q198" i="2"/>
  <c r="C179" i="9" s="1"/>
  <c r="Q198" i="1"/>
  <c r="AB198" i="2" s="1"/>
  <c r="B199" i="2"/>
  <c r="E199" i="2"/>
  <c r="G199" i="2"/>
  <c r="I199" i="2"/>
  <c r="D180" i="9" s="1"/>
  <c r="K199" i="2"/>
  <c r="M199" i="2"/>
  <c r="O199" i="2"/>
  <c r="Q199" i="2"/>
  <c r="C180" i="9" s="1"/>
  <c r="Q199" i="1"/>
  <c r="AB199" i="2" s="1"/>
  <c r="B200" i="2"/>
  <c r="E200" i="2"/>
  <c r="G200" i="2"/>
  <c r="I200" i="2"/>
  <c r="D181" i="9" s="1"/>
  <c r="K200" i="2"/>
  <c r="M200" i="2"/>
  <c r="O200" i="2"/>
  <c r="Q200" i="2"/>
  <c r="C181" i="9" s="1"/>
  <c r="Q200" i="1"/>
  <c r="AB200" i="2" s="1"/>
  <c r="B201" i="2"/>
  <c r="E201" i="2"/>
  <c r="G201" i="2"/>
  <c r="I201" i="2"/>
  <c r="D182" i="9" s="1"/>
  <c r="K201" i="2"/>
  <c r="M201" i="2"/>
  <c r="O201" i="2"/>
  <c r="Q201" i="2"/>
  <c r="C182" i="9" s="1"/>
  <c r="U201" i="2"/>
  <c r="W201" i="2"/>
  <c r="Q201" i="1"/>
  <c r="AB201" i="2" s="1"/>
  <c r="B202" i="2"/>
  <c r="E202" i="2"/>
  <c r="G202" i="2"/>
  <c r="I202" i="2"/>
  <c r="D183" i="9" s="1"/>
  <c r="K202" i="2"/>
  <c r="M202" i="2"/>
  <c r="Q202" i="2"/>
  <c r="C183" i="9" s="1"/>
  <c r="Q202" i="1"/>
  <c r="AB202" i="2" s="1"/>
  <c r="B203" i="2"/>
  <c r="E203" i="2"/>
  <c r="G203" i="2"/>
  <c r="I203" i="2"/>
  <c r="D184" i="9" s="1"/>
  <c r="K203" i="2"/>
  <c r="M203" i="2"/>
  <c r="O203" i="2"/>
  <c r="Q203" i="1"/>
  <c r="AB203" i="2" s="1"/>
  <c r="B204" i="2"/>
  <c r="E204" i="2"/>
  <c r="G204" i="2"/>
  <c r="I204" i="2"/>
  <c r="D185" i="9" s="1"/>
  <c r="K204" i="2"/>
  <c r="M204" i="2"/>
  <c r="O204" i="2"/>
  <c r="Q204" i="2"/>
  <c r="C185" i="9" s="1"/>
  <c r="S204" i="2"/>
  <c r="Q204" i="1"/>
  <c r="AB204" i="2" s="1"/>
  <c r="B205" i="2"/>
  <c r="E205" i="2"/>
  <c r="G205" i="2"/>
  <c r="I205" i="2"/>
  <c r="D186" i="9" s="1"/>
  <c r="K205" i="2"/>
  <c r="M205" i="2"/>
  <c r="O205" i="2"/>
  <c r="Q205" i="2"/>
  <c r="C186" i="9" s="1"/>
  <c r="Q205" i="1"/>
  <c r="AB205" i="2" s="1"/>
  <c r="B206" i="2"/>
  <c r="E206" i="2"/>
  <c r="G206" i="2"/>
  <c r="I206" i="2"/>
  <c r="D187" i="9" s="1"/>
  <c r="K206" i="2"/>
  <c r="M206" i="2"/>
  <c r="Q206" i="2"/>
  <c r="C187" i="9" s="1"/>
  <c r="Q206" i="1"/>
  <c r="AB206" i="2" s="1"/>
  <c r="B207" i="2"/>
  <c r="E207" i="2"/>
  <c r="G207" i="2"/>
  <c r="I207" i="2"/>
  <c r="D188" i="9" s="1"/>
  <c r="K207" i="2"/>
  <c r="M207" i="2"/>
  <c r="O207" i="2"/>
  <c r="Q207" i="2"/>
  <c r="C188" i="9" s="1"/>
  <c r="Q207" i="1"/>
  <c r="AB207" i="2" s="1"/>
  <c r="B208" i="2"/>
  <c r="E208" i="2"/>
  <c r="G208" i="2"/>
  <c r="I208" i="2"/>
  <c r="D189" i="9" s="1"/>
  <c r="K208" i="2"/>
  <c r="M208" i="2"/>
  <c r="O208" i="2"/>
  <c r="Q208" i="2"/>
  <c r="C189" i="9" s="1"/>
  <c r="S208" i="2"/>
  <c r="U208" i="2"/>
  <c r="Q208" i="1"/>
  <c r="AB208" i="2" s="1"/>
  <c r="B209" i="2"/>
  <c r="E209" i="2"/>
  <c r="G209" i="2"/>
  <c r="I209" i="2"/>
  <c r="D190" i="9" s="1"/>
  <c r="K209" i="2"/>
  <c r="M209" i="2"/>
  <c r="O209" i="2"/>
  <c r="Q209" i="2"/>
  <c r="C190" i="9" s="1"/>
  <c r="Q209" i="1"/>
  <c r="AB209" i="2" s="1"/>
  <c r="B210" i="2"/>
  <c r="E210" i="2"/>
  <c r="G210" i="2"/>
  <c r="I210" i="2"/>
  <c r="D191" i="9" s="1"/>
  <c r="K210" i="2"/>
  <c r="M210" i="2"/>
  <c r="O210" i="2"/>
  <c r="Q210" i="2"/>
  <c r="C191" i="9" s="1"/>
  <c r="Q210" i="1"/>
  <c r="AB210" i="2" s="1"/>
  <c r="B211" i="2"/>
  <c r="E211" i="2"/>
  <c r="G211" i="2"/>
  <c r="I211" i="2"/>
  <c r="D192" i="9" s="1"/>
  <c r="K211" i="2"/>
  <c r="M211" i="2"/>
  <c r="O211" i="2"/>
  <c r="Q211" i="2"/>
  <c r="C192" i="9" s="1"/>
  <c r="Q211" i="1"/>
  <c r="AB211" i="2" s="1"/>
  <c r="B212" i="2"/>
  <c r="E212" i="2"/>
  <c r="G212" i="2"/>
  <c r="I212" i="2"/>
  <c r="D193" i="9" s="1"/>
  <c r="K212" i="2"/>
  <c r="M212" i="2"/>
  <c r="O212" i="2"/>
  <c r="Q212" i="2"/>
  <c r="C193" i="9" s="1"/>
  <c r="S212" i="2"/>
  <c r="U212" i="2"/>
  <c r="Q212" i="1"/>
  <c r="AB212" i="2" s="1"/>
  <c r="B213" i="2"/>
  <c r="E213" i="2"/>
  <c r="G213" i="2"/>
  <c r="I213" i="2"/>
  <c r="D194" i="9" s="1"/>
  <c r="K213" i="2"/>
  <c r="M213" i="2"/>
  <c r="O213" i="2"/>
  <c r="Q213" i="2"/>
  <c r="C194" i="9" s="1"/>
  <c r="Q213" i="1"/>
  <c r="AB213" i="2" s="1"/>
  <c r="B214" i="2"/>
  <c r="G214" i="2"/>
  <c r="I214" i="2"/>
  <c r="D195" i="9" s="1"/>
  <c r="K214" i="2"/>
  <c r="M214" i="2"/>
  <c r="Q214" i="2"/>
  <c r="C195" i="9" s="1"/>
  <c r="Q214" i="1"/>
  <c r="AB214" i="2" s="1"/>
  <c r="B215" i="2"/>
  <c r="E215" i="2"/>
  <c r="G215" i="2"/>
  <c r="I215" i="2"/>
  <c r="D196" i="9" s="1"/>
  <c r="K215" i="2"/>
  <c r="M215" i="2"/>
  <c r="O215" i="2"/>
  <c r="Q215" i="2"/>
  <c r="C196" i="9" s="1"/>
  <c r="Q215" i="1"/>
  <c r="AB215" i="2" s="1"/>
  <c r="B216" i="2"/>
  <c r="E216" i="2"/>
  <c r="G216" i="2"/>
  <c r="I216" i="2"/>
  <c r="D197" i="9" s="1"/>
  <c r="K216" i="2"/>
  <c r="M216" i="2"/>
  <c r="O216" i="2"/>
  <c r="Q216" i="2"/>
  <c r="C197" i="9" s="1"/>
  <c r="W216" i="2"/>
  <c r="Q216" i="1"/>
  <c r="AB216" i="2" s="1"/>
  <c r="B217" i="2"/>
  <c r="E217" i="2"/>
  <c r="G217" i="2"/>
  <c r="K217" i="2"/>
  <c r="M217" i="2"/>
  <c r="O217" i="2"/>
  <c r="Q217" i="2"/>
  <c r="C198" i="9" s="1"/>
  <c r="Q217" i="1"/>
  <c r="AB217" i="2" s="1"/>
  <c r="B218" i="2"/>
  <c r="E218" i="2"/>
  <c r="G218" i="2"/>
  <c r="K218" i="2"/>
  <c r="M218" i="2"/>
  <c r="O218" i="2"/>
  <c r="Q218" i="2"/>
  <c r="C199" i="9" s="1"/>
  <c r="Q218" i="1"/>
  <c r="AB218" i="2" s="1"/>
  <c r="B219" i="2"/>
  <c r="E219" i="2"/>
  <c r="G219" i="2"/>
  <c r="I219" i="2"/>
  <c r="D200" i="9" s="1"/>
  <c r="K219" i="2"/>
  <c r="M219" i="2"/>
  <c r="O219" i="2"/>
  <c r="Q219" i="2"/>
  <c r="C200" i="9" s="1"/>
  <c r="S219" i="2"/>
  <c r="U219" i="2"/>
  <c r="Q219" i="1"/>
  <c r="AB219" i="2" s="1"/>
  <c r="B220" i="2"/>
  <c r="E220" i="2"/>
  <c r="G220" i="2"/>
  <c r="I220" i="2"/>
  <c r="D201" i="9" s="1"/>
  <c r="K220" i="2"/>
  <c r="M220" i="2"/>
  <c r="O220" i="2"/>
  <c r="Q220" i="2"/>
  <c r="C201" i="9" s="1"/>
  <c r="Q220" i="1"/>
  <c r="AB220" i="2" s="1"/>
  <c r="B221" i="2"/>
  <c r="E221" i="2"/>
  <c r="G221" i="2"/>
  <c r="I221" i="2"/>
  <c r="D202" i="9" s="1"/>
  <c r="K221" i="2"/>
  <c r="M221" i="2"/>
  <c r="Q221" i="2"/>
  <c r="C202" i="9" s="1"/>
  <c r="Q221" i="1"/>
  <c r="AB221" i="2" s="1"/>
  <c r="B222" i="2"/>
  <c r="E222" i="2"/>
  <c r="G222" i="2"/>
  <c r="I222" i="2"/>
  <c r="D203" i="9" s="1"/>
  <c r="K222" i="2"/>
  <c r="M222" i="2"/>
  <c r="O222" i="2"/>
  <c r="Q222" i="2"/>
  <c r="C203" i="9" s="1"/>
  <c r="Q222" i="1"/>
  <c r="AB222" i="2" s="1"/>
  <c r="B223" i="2"/>
  <c r="E223" i="2"/>
  <c r="G223" i="2"/>
  <c r="I223" i="2"/>
  <c r="D204" i="9" s="1"/>
  <c r="K223" i="2"/>
  <c r="M223" i="2"/>
  <c r="O223" i="2"/>
  <c r="W223" i="2"/>
  <c r="Q223" i="1"/>
  <c r="AB223" i="2" s="1"/>
  <c r="B224" i="2"/>
  <c r="E224" i="2"/>
  <c r="G224" i="2"/>
  <c r="I224" i="2"/>
  <c r="D205" i="9" s="1"/>
  <c r="K224" i="2"/>
  <c r="M224" i="2"/>
  <c r="O224" i="2"/>
  <c r="Q224" i="2"/>
  <c r="C205" i="9" s="1"/>
  <c r="Q224" i="1"/>
  <c r="AB224" i="2" s="1"/>
  <c r="B225" i="2"/>
  <c r="E225" i="2"/>
  <c r="G225" i="2"/>
  <c r="I225" i="2"/>
  <c r="D206" i="9" s="1"/>
  <c r="K225" i="2"/>
  <c r="M225" i="2"/>
  <c r="Q225" i="2"/>
  <c r="C206" i="9" s="1"/>
  <c r="Q225" i="1"/>
  <c r="AB225" i="2" s="1"/>
  <c r="B226" i="2"/>
  <c r="E226" i="2"/>
  <c r="G226" i="2"/>
  <c r="I226" i="2"/>
  <c r="D207" i="9" s="1"/>
  <c r="K226" i="2"/>
  <c r="M226" i="2"/>
  <c r="O226" i="2"/>
  <c r="Q226" i="2"/>
  <c r="C207" i="9" s="1"/>
  <c r="S226" i="2"/>
  <c r="Q226" i="1"/>
  <c r="AB226" i="2" s="1"/>
  <c r="B227" i="2"/>
  <c r="E227" i="2"/>
  <c r="G227" i="2"/>
  <c r="K227" i="2"/>
  <c r="M227" i="2"/>
  <c r="O227" i="2"/>
  <c r="Q227" i="2"/>
  <c r="C208" i="9" s="1"/>
  <c r="Q227" i="1"/>
  <c r="AB227" i="2" s="1"/>
  <c r="B228" i="2"/>
  <c r="E228" i="2"/>
  <c r="G228" i="2"/>
  <c r="I228" i="2"/>
  <c r="D209" i="9" s="1"/>
  <c r="K228" i="2"/>
  <c r="M228" i="2"/>
  <c r="O228" i="2"/>
  <c r="Q228" i="2"/>
  <c r="C209" i="9" s="1"/>
  <c r="Q228" i="1"/>
  <c r="AB228" i="2" s="1"/>
  <c r="B229" i="2"/>
  <c r="E229" i="2"/>
  <c r="G229" i="2"/>
  <c r="I229" i="2"/>
  <c r="D210" i="9" s="1"/>
  <c r="K229" i="2"/>
  <c r="M229" i="2"/>
  <c r="O229" i="2"/>
  <c r="Q229" i="2"/>
  <c r="C210" i="9" s="1"/>
  <c r="Q229" i="1"/>
  <c r="AB229" i="2" s="1"/>
  <c r="B230" i="2"/>
  <c r="E230" i="2"/>
  <c r="G230" i="2"/>
  <c r="I230" i="2"/>
  <c r="D211" i="9" s="1"/>
  <c r="K230" i="2"/>
  <c r="M230" i="2"/>
  <c r="O230" i="2"/>
  <c r="Q230" i="2"/>
  <c r="C211" i="9" s="1"/>
  <c r="S230" i="2"/>
  <c r="U230" i="2"/>
  <c r="Q230" i="1"/>
  <c r="AB230" i="2" s="1"/>
  <c r="B231" i="2"/>
  <c r="E231" i="2"/>
  <c r="G231" i="2"/>
  <c r="K231" i="2"/>
  <c r="M231" i="2"/>
  <c r="O231" i="2"/>
  <c r="Q231" i="2"/>
  <c r="C212" i="9" s="1"/>
  <c r="Q231" i="1"/>
  <c r="AB231" i="2" s="1"/>
  <c r="B232" i="2"/>
  <c r="E232" i="2"/>
  <c r="G232" i="2"/>
  <c r="I232" i="2"/>
  <c r="D213" i="9" s="1"/>
  <c r="K232" i="2"/>
  <c r="M232" i="2"/>
  <c r="O232" i="2"/>
  <c r="Q232" i="2"/>
  <c r="C213" i="9" s="1"/>
  <c r="Q232" i="1"/>
  <c r="AB232" i="2" s="1"/>
  <c r="B233" i="2"/>
  <c r="E233" i="2"/>
  <c r="G233" i="2"/>
  <c r="I233" i="2"/>
  <c r="D214" i="9" s="1"/>
  <c r="K233" i="2"/>
  <c r="M233" i="2"/>
  <c r="O233" i="2"/>
  <c r="Q233" i="2"/>
  <c r="C214" i="9" s="1"/>
  <c r="Q233" i="1"/>
  <c r="AB233" i="2" s="1"/>
  <c r="B234" i="2"/>
  <c r="E234" i="2"/>
  <c r="G234" i="2"/>
  <c r="I234" i="2"/>
  <c r="D215" i="9" s="1"/>
  <c r="K234" i="2"/>
  <c r="M234" i="2"/>
  <c r="O234" i="2"/>
  <c r="W234" i="2"/>
  <c r="Q234" i="1"/>
  <c r="AB234" i="2" s="1"/>
  <c r="B235" i="2"/>
  <c r="E235" i="2"/>
  <c r="G235" i="2"/>
  <c r="I235" i="2"/>
  <c r="D216" i="9" s="1"/>
  <c r="K235" i="2"/>
  <c r="M235" i="2"/>
  <c r="O235" i="2"/>
  <c r="Q235" i="2"/>
  <c r="C216" i="9" s="1"/>
  <c r="Q235" i="1"/>
  <c r="AB235" i="2" s="1"/>
  <c r="B236" i="2"/>
  <c r="E236" i="2"/>
  <c r="G236" i="2"/>
  <c r="I236" i="2"/>
  <c r="D217" i="9" s="1"/>
  <c r="K236" i="2"/>
  <c r="M236" i="2"/>
  <c r="O236" i="2"/>
  <c r="Q236" i="2"/>
  <c r="C217" i="9" s="1"/>
  <c r="Q236" i="1"/>
  <c r="AB236" i="2" s="1"/>
  <c r="B237" i="2"/>
  <c r="E237" i="2"/>
  <c r="G237" i="2"/>
  <c r="I237" i="2"/>
  <c r="D218" i="9" s="1"/>
  <c r="K237" i="2"/>
  <c r="M237" i="2"/>
  <c r="O237" i="2"/>
  <c r="Q237" i="2"/>
  <c r="C218" i="9" s="1"/>
  <c r="Q237" i="1"/>
  <c r="AB237" i="2" s="1"/>
  <c r="B238" i="2"/>
  <c r="E238" i="2"/>
  <c r="G238" i="2"/>
  <c r="I238" i="2"/>
  <c r="D219" i="9" s="1"/>
  <c r="K238" i="2"/>
  <c r="M238" i="2"/>
  <c r="O238" i="2"/>
  <c r="Q238" i="2"/>
  <c r="C219" i="9" s="1"/>
  <c r="W238" i="2"/>
  <c r="Q238" i="1"/>
  <c r="AB238" i="2" s="1"/>
  <c r="B239" i="2"/>
  <c r="E239" i="2"/>
  <c r="G239" i="2"/>
  <c r="I239" i="2"/>
  <c r="D220" i="9" s="1"/>
  <c r="K239" i="2"/>
  <c r="M239" i="2"/>
  <c r="O239" i="2"/>
  <c r="Q239" i="2"/>
  <c r="C220" i="9" s="1"/>
  <c r="Q239" i="1"/>
  <c r="AB239" i="2" s="1"/>
  <c r="B240" i="2"/>
  <c r="E240" i="2"/>
  <c r="G240" i="2"/>
  <c r="K240" i="2"/>
  <c r="M240" i="2"/>
  <c r="O240" i="2"/>
  <c r="Q240" i="2"/>
  <c r="C221" i="9" s="1"/>
  <c r="Q240" i="1"/>
  <c r="AB240" i="2" s="1"/>
  <c r="B241" i="2"/>
  <c r="E241" i="2"/>
  <c r="G241" i="2"/>
  <c r="I241" i="2"/>
  <c r="D222" i="9" s="1"/>
  <c r="K241" i="2"/>
  <c r="M241" i="2"/>
  <c r="Q241" i="2"/>
  <c r="C222" i="9" s="1"/>
  <c r="S241" i="2"/>
  <c r="W241" i="2"/>
  <c r="Q241" i="1"/>
  <c r="AB241" i="2" s="1"/>
  <c r="B242" i="2"/>
  <c r="E242" i="2"/>
  <c r="G242" i="2"/>
  <c r="I242" i="2"/>
  <c r="D223" i="9" s="1"/>
  <c r="K242" i="2"/>
  <c r="M242" i="2"/>
  <c r="O242" i="2"/>
  <c r="Q242" i="2"/>
  <c r="C223" i="9" s="1"/>
  <c r="Q242" i="1"/>
  <c r="AB242" i="2" s="1"/>
  <c r="B243" i="2"/>
  <c r="E243" i="2"/>
  <c r="G243" i="2"/>
  <c r="I243" i="2"/>
  <c r="D224" i="9" s="1"/>
  <c r="K243" i="2"/>
  <c r="M243" i="2"/>
  <c r="O243" i="2"/>
  <c r="Q243" i="2"/>
  <c r="C224" i="9" s="1"/>
  <c r="Q243" i="1"/>
  <c r="AB243" i="2" s="1"/>
  <c r="B244" i="2"/>
  <c r="E244" i="2"/>
  <c r="G244" i="2"/>
  <c r="I244" i="2"/>
  <c r="D225" i="9" s="1"/>
  <c r="K244" i="2"/>
  <c r="M244" i="2"/>
  <c r="O244" i="2"/>
  <c r="Q244" i="2"/>
  <c r="C225" i="9" s="1"/>
  <c r="Q244" i="1"/>
  <c r="AB244" i="2" s="1"/>
  <c r="B245" i="2"/>
  <c r="E245" i="2"/>
  <c r="G245" i="2"/>
  <c r="K245" i="2"/>
  <c r="M245" i="2"/>
  <c r="O245" i="2"/>
  <c r="Q245" i="2"/>
  <c r="C226" i="9" s="1"/>
  <c r="U245" i="2"/>
  <c r="Q245" i="1"/>
  <c r="AB245" i="2" s="1"/>
  <c r="B246" i="2"/>
  <c r="E246" i="2"/>
  <c r="G246" i="2"/>
  <c r="I246" i="2"/>
  <c r="D227" i="9" s="1"/>
  <c r="K246" i="2"/>
  <c r="M246" i="2"/>
  <c r="O246" i="2"/>
  <c r="Q246" i="2"/>
  <c r="C227" i="9" s="1"/>
  <c r="Q246" i="1"/>
  <c r="AB246" i="2" s="1"/>
  <c r="B247" i="2"/>
  <c r="E247" i="2"/>
  <c r="G247" i="2"/>
  <c r="I247" i="2"/>
  <c r="D228" i="9" s="1"/>
  <c r="K247" i="2"/>
  <c r="M247" i="2"/>
  <c r="O247" i="2"/>
  <c r="Q247" i="1"/>
  <c r="AB247" i="2" s="1"/>
  <c r="B248" i="2"/>
  <c r="G248" i="2"/>
  <c r="I248" i="2"/>
  <c r="D229" i="9" s="1"/>
  <c r="K248" i="2"/>
  <c r="M248" i="2"/>
  <c r="Q248" i="2"/>
  <c r="C229" i="9" s="1"/>
  <c r="S248" i="2"/>
  <c r="U248" i="2"/>
  <c r="Q248" i="1"/>
  <c r="AB248" i="2" s="1"/>
  <c r="B249" i="2"/>
  <c r="E249" i="2"/>
  <c r="G249" i="2"/>
  <c r="I249" i="2"/>
  <c r="D230" i="9" s="1"/>
  <c r="K249" i="2"/>
  <c r="M249" i="2"/>
  <c r="O249" i="2"/>
  <c r="Q249" i="2"/>
  <c r="C230" i="9" s="1"/>
  <c r="Q249" i="1"/>
  <c r="AB249" i="2" s="1"/>
  <c r="B250" i="2"/>
  <c r="E250" i="2"/>
  <c r="G250" i="2"/>
  <c r="I250" i="2"/>
  <c r="D231" i="9" s="1"/>
  <c r="K250" i="2"/>
  <c r="M250" i="2"/>
  <c r="O250" i="2"/>
  <c r="Q250" i="2"/>
  <c r="C231" i="9" s="1"/>
  <c r="Q250" i="1"/>
  <c r="AB250" i="2" s="1"/>
  <c r="B251" i="2"/>
  <c r="E251" i="2"/>
  <c r="G251" i="2"/>
  <c r="K251" i="2"/>
  <c r="M251" i="2"/>
  <c r="O251" i="2"/>
  <c r="Q251" i="2"/>
  <c r="C232" i="9" s="1"/>
  <c r="Q251" i="1"/>
  <c r="AB251" i="2" s="1"/>
  <c r="B252" i="2"/>
  <c r="E252" i="2"/>
  <c r="G252" i="2"/>
  <c r="I252" i="2"/>
  <c r="D233" i="9" s="1"/>
  <c r="K252" i="2"/>
  <c r="M252" i="2"/>
  <c r="O252" i="2"/>
  <c r="Q252" i="2"/>
  <c r="C233" i="9" s="1"/>
  <c r="U252" i="2"/>
  <c r="W252" i="2"/>
  <c r="Q252" i="1"/>
  <c r="AB252" i="2" s="1"/>
  <c r="B253" i="2"/>
  <c r="E253" i="2"/>
  <c r="G253" i="2"/>
  <c r="I253" i="2"/>
  <c r="D234" i="9" s="1"/>
  <c r="K253" i="2"/>
  <c r="M253" i="2"/>
  <c r="O253" i="2"/>
  <c r="Q253" i="2"/>
  <c r="C234" i="9" s="1"/>
  <c r="Q253" i="1"/>
  <c r="AB253" i="2" s="1"/>
  <c r="B254" i="2"/>
  <c r="E254" i="2"/>
  <c r="G254" i="2"/>
  <c r="I254" i="2"/>
  <c r="D235" i="9" s="1"/>
  <c r="K254" i="2"/>
  <c r="M254" i="2"/>
  <c r="O254" i="2"/>
  <c r="Q254" i="2"/>
  <c r="C235" i="9" s="1"/>
  <c r="Q254" i="1"/>
  <c r="AB254" i="2" s="1"/>
  <c r="B255" i="2"/>
  <c r="E255" i="2"/>
  <c r="G255" i="2"/>
  <c r="I255" i="2"/>
  <c r="D236" i="9" s="1"/>
  <c r="K255" i="2"/>
  <c r="M255" i="2"/>
  <c r="O255" i="2"/>
  <c r="Q255" i="2"/>
  <c r="C236" i="9" s="1"/>
  <c r="Q255" i="1"/>
  <c r="AB255" i="2" s="1"/>
  <c r="B256" i="2"/>
  <c r="E256" i="2"/>
  <c r="G256" i="2"/>
  <c r="I256" i="2"/>
  <c r="D237" i="9" s="1"/>
  <c r="K256" i="2"/>
  <c r="M256" i="2"/>
  <c r="O256" i="2"/>
  <c r="Q256" i="2"/>
  <c r="C237" i="9" s="1"/>
  <c r="W256" i="2"/>
  <c r="Q256" i="1"/>
  <c r="AB256" i="2" s="1"/>
  <c r="B257" i="2"/>
  <c r="E257" i="2"/>
  <c r="G257" i="2"/>
  <c r="I257" i="2"/>
  <c r="D238" i="9" s="1"/>
  <c r="K257" i="2"/>
  <c r="M257" i="2"/>
  <c r="O257" i="2"/>
  <c r="Q257" i="2"/>
  <c r="C238" i="9" s="1"/>
  <c r="Q257" i="1"/>
  <c r="AB257" i="2" s="1"/>
  <c r="B258" i="2"/>
  <c r="E258" i="2"/>
  <c r="G258" i="2"/>
  <c r="I258" i="2"/>
  <c r="D239" i="9" s="1"/>
  <c r="K258" i="2"/>
  <c r="M258" i="2"/>
  <c r="O258" i="2"/>
  <c r="Q258" i="2"/>
  <c r="C239" i="9" s="1"/>
  <c r="Q258" i="1"/>
  <c r="AB258" i="2" s="1"/>
  <c r="B259" i="2"/>
  <c r="E259" i="2"/>
  <c r="G259" i="2"/>
  <c r="I259" i="2"/>
  <c r="D240" i="9" s="1"/>
  <c r="M259" i="2"/>
  <c r="O259" i="2"/>
  <c r="Q259" i="2"/>
  <c r="C240" i="9" s="1"/>
  <c r="S259" i="2"/>
  <c r="Q259" i="1"/>
  <c r="AB259" i="2" s="1"/>
  <c r="B260" i="2"/>
  <c r="E260" i="2"/>
  <c r="G260" i="2"/>
  <c r="I260" i="2"/>
  <c r="D241" i="9" s="1"/>
  <c r="K260" i="2"/>
  <c r="M260" i="2"/>
  <c r="Q260" i="2"/>
  <c r="C241" i="9" s="1"/>
  <c r="Q260" i="1"/>
  <c r="AB260" i="2" s="1"/>
  <c r="B261" i="2"/>
  <c r="E261" i="2"/>
  <c r="G261" i="2"/>
  <c r="K261" i="2"/>
  <c r="M261" i="2"/>
  <c r="O261" i="2"/>
  <c r="Q261" i="2"/>
  <c r="C242" i="9" s="1"/>
  <c r="Q261" i="1"/>
  <c r="AB261" i="2" s="1"/>
  <c r="B262" i="2"/>
  <c r="E262" i="2"/>
  <c r="G262" i="2"/>
  <c r="I262" i="2"/>
  <c r="D243" i="9" s="1"/>
  <c r="K262" i="2"/>
  <c r="M262" i="2"/>
  <c r="O262" i="2"/>
  <c r="Q262" i="1"/>
  <c r="AB262" i="2" s="1"/>
  <c r="B263" i="2"/>
  <c r="E263" i="2"/>
  <c r="G263" i="2"/>
  <c r="I263" i="2"/>
  <c r="D244" i="9" s="1"/>
  <c r="M263" i="2"/>
  <c r="Q263" i="2"/>
  <c r="C244" i="9" s="1"/>
  <c r="W263" i="2"/>
  <c r="Q263" i="1"/>
  <c r="AB263" i="2" s="1"/>
  <c r="B264" i="2"/>
  <c r="E264" i="2"/>
  <c r="G264" i="2"/>
  <c r="I264" i="2"/>
  <c r="D245" i="9" s="1"/>
  <c r="K264" i="2"/>
  <c r="M264" i="2"/>
  <c r="O264" i="2"/>
  <c r="Q264" i="2"/>
  <c r="C245" i="9" s="1"/>
  <c r="Q264" i="1"/>
  <c r="AB264" i="2" s="1"/>
  <c r="B265" i="2"/>
  <c r="E265" i="2"/>
  <c r="G265" i="2"/>
  <c r="I265" i="2"/>
  <c r="D246" i="9" s="1"/>
  <c r="K265" i="2"/>
  <c r="M265" i="2"/>
  <c r="O265" i="2"/>
  <c r="Q265" i="2"/>
  <c r="C246" i="9" s="1"/>
  <c r="Q265" i="1"/>
  <c r="AB265" i="2" s="1"/>
  <c r="B266" i="2"/>
  <c r="E266" i="2"/>
  <c r="G266" i="2"/>
  <c r="I266" i="2"/>
  <c r="D247" i="9" s="1"/>
  <c r="K266" i="2"/>
  <c r="M266" i="2"/>
  <c r="Q266" i="2"/>
  <c r="C247" i="9" s="1"/>
  <c r="S266" i="2"/>
  <c r="W266" i="2"/>
  <c r="Q266" i="1"/>
  <c r="AB266" i="2" s="1"/>
  <c r="B267" i="2"/>
  <c r="E267" i="2"/>
  <c r="G267" i="2"/>
  <c r="I267" i="2"/>
  <c r="D248" i="9" s="1"/>
  <c r="K267" i="2"/>
  <c r="M267" i="2"/>
  <c r="O267" i="2"/>
  <c r="Q267" i="2"/>
  <c r="C248" i="9" s="1"/>
  <c r="Q267" i="1"/>
  <c r="AB267" i="2" s="1"/>
  <c r="B268" i="2"/>
  <c r="E268" i="2"/>
  <c r="G268" i="2"/>
  <c r="I268" i="2"/>
  <c r="D249" i="9" s="1"/>
  <c r="K268" i="2"/>
  <c r="M268" i="2"/>
  <c r="O268" i="2"/>
  <c r="Q268" i="2"/>
  <c r="C249" i="9" s="1"/>
  <c r="Q268" i="1"/>
  <c r="AB268" i="2" s="1"/>
  <c r="B269" i="2"/>
  <c r="E269" i="2"/>
  <c r="G269" i="2"/>
  <c r="I269" i="2"/>
  <c r="D250" i="9" s="1"/>
  <c r="K269" i="2"/>
  <c r="M269" i="2"/>
  <c r="O269" i="2"/>
  <c r="Q269" i="2"/>
  <c r="C250" i="9" s="1"/>
  <c r="Q269" i="1"/>
  <c r="AB269" i="2" s="1"/>
  <c r="B270" i="2"/>
  <c r="E270" i="2"/>
  <c r="G270" i="2"/>
  <c r="I270" i="2"/>
  <c r="D251" i="9" s="1"/>
  <c r="K270" i="2"/>
  <c r="M270" i="2"/>
  <c r="O270" i="2"/>
  <c r="Q270" i="2"/>
  <c r="C251" i="9" s="1"/>
  <c r="S270" i="2"/>
  <c r="U270" i="2"/>
  <c r="Q270" i="1"/>
  <c r="AB270" i="2" s="1"/>
  <c r="B271" i="2"/>
  <c r="E271" i="2"/>
  <c r="G271" i="2"/>
  <c r="I271" i="2"/>
  <c r="D252" i="9" s="1"/>
  <c r="K271" i="2"/>
  <c r="M271" i="2"/>
  <c r="Q271" i="2"/>
  <c r="C252" i="9" s="1"/>
  <c r="Q271" i="1"/>
  <c r="AB271" i="2" s="1"/>
  <c r="B272" i="2"/>
  <c r="E272" i="2"/>
  <c r="G272" i="2"/>
  <c r="I272" i="2"/>
  <c r="D253" i="9" s="1"/>
  <c r="K272" i="2"/>
  <c r="M272" i="2"/>
  <c r="O272" i="2"/>
  <c r="Q272" i="2"/>
  <c r="C253" i="9" s="1"/>
  <c r="Q272" i="1"/>
  <c r="AB272" i="2" s="1"/>
  <c r="B273" i="2"/>
  <c r="E273" i="2"/>
  <c r="G273" i="2"/>
  <c r="I273" i="2"/>
  <c r="D254" i="9" s="1"/>
  <c r="K273" i="2"/>
  <c r="M273" i="2"/>
  <c r="O273" i="2"/>
  <c r="Q273" i="2"/>
  <c r="C254" i="9" s="1"/>
  <c r="Q273" i="1"/>
  <c r="AB273" i="2" s="1"/>
  <c r="B274" i="2"/>
  <c r="C274" i="2" s="1"/>
  <c r="E274" i="2"/>
  <c r="G274" i="2"/>
  <c r="I274" i="2"/>
  <c r="D255" i="9" s="1"/>
  <c r="K274" i="2"/>
  <c r="M274" i="2"/>
  <c r="O274" i="2"/>
  <c r="Q274" i="2"/>
  <c r="C255" i="9" s="1"/>
  <c r="U274" i="2"/>
  <c r="W274" i="2"/>
  <c r="Q274" i="1"/>
  <c r="AB274" i="2" s="1"/>
  <c r="B275" i="2"/>
  <c r="C275" i="2" s="1"/>
  <c r="E275" i="2"/>
  <c r="G275" i="2"/>
  <c r="I275" i="2"/>
  <c r="D256" i="9" s="1"/>
  <c r="K275" i="2"/>
  <c r="M275" i="2"/>
  <c r="O275" i="2"/>
  <c r="Q275" i="2"/>
  <c r="C256" i="9" s="1"/>
  <c r="Q275" i="1"/>
  <c r="AB275" i="2" s="1"/>
  <c r="B276" i="2"/>
  <c r="C276" i="2" s="1"/>
  <c r="E276" i="2"/>
  <c r="G276" i="2"/>
  <c r="I276" i="2"/>
  <c r="D257" i="9" s="1"/>
  <c r="K276" i="2"/>
  <c r="M276" i="2"/>
  <c r="O276" i="2"/>
  <c r="Q276" i="2"/>
  <c r="C257" i="9" s="1"/>
  <c r="Q276" i="1"/>
  <c r="AB276" i="2" s="1"/>
  <c r="B277" i="2"/>
  <c r="C277" i="2" s="1"/>
  <c r="E277" i="2"/>
  <c r="G277" i="2"/>
  <c r="I277" i="2"/>
  <c r="D258" i="9" s="1"/>
  <c r="K277" i="2"/>
  <c r="M277" i="2"/>
  <c r="O277" i="2"/>
  <c r="Q277" i="2"/>
  <c r="C258" i="9" s="1"/>
  <c r="Q277" i="1"/>
  <c r="AB277" i="2" s="1"/>
  <c r="B278" i="2"/>
  <c r="C278" i="2" s="1"/>
  <c r="E278" i="2"/>
  <c r="G278" i="2"/>
  <c r="I278" i="2"/>
  <c r="D259" i="9" s="1"/>
  <c r="K278" i="2"/>
  <c r="M278" i="2"/>
  <c r="O278" i="2"/>
  <c r="Q278" i="2"/>
  <c r="C259" i="9" s="1"/>
  <c r="U278" i="2"/>
  <c r="W278" i="2"/>
  <c r="Q278" i="1"/>
  <c r="AB278" i="2" s="1"/>
  <c r="B279" i="2"/>
  <c r="E279" i="2"/>
  <c r="G279" i="2"/>
  <c r="I279" i="2"/>
  <c r="D260" i="9" s="1"/>
  <c r="K279" i="2"/>
  <c r="M279" i="2"/>
  <c r="O279" i="2"/>
  <c r="Q279" i="2"/>
  <c r="C260" i="9" s="1"/>
  <c r="Q279" i="1"/>
  <c r="AB279" i="2" s="1"/>
  <c r="B280" i="2"/>
  <c r="E280" i="2"/>
  <c r="G280" i="2"/>
  <c r="I280" i="2"/>
  <c r="D261" i="9" s="1"/>
  <c r="K280" i="2"/>
  <c r="M280" i="2"/>
  <c r="O280" i="2"/>
  <c r="Q280" i="2"/>
  <c r="C261" i="9" s="1"/>
  <c r="Q280" i="1"/>
  <c r="AB280" i="2" s="1"/>
  <c r="B281" i="2"/>
  <c r="E281" i="2"/>
  <c r="G281" i="2"/>
  <c r="I281" i="2"/>
  <c r="D262" i="9" s="1"/>
  <c r="K281" i="2"/>
  <c r="M281" i="2"/>
  <c r="O281" i="2"/>
  <c r="Q281" i="2"/>
  <c r="C262" i="9" s="1"/>
  <c r="Q281" i="1"/>
  <c r="AB281" i="2" s="1"/>
  <c r="B282" i="2"/>
  <c r="E282" i="2"/>
  <c r="G282" i="2"/>
  <c r="I282" i="2"/>
  <c r="D263" i="9" s="1"/>
  <c r="K282" i="2"/>
  <c r="M282" i="2"/>
  <c r="Q282" i="2"/>
  <c r="C263" i="9" s="1"/>
  <c r="S282" i="2"/>
  <c r="W282" i="2"/>
  <c r="Q282" i="1"/>
  <c r="AB282" i="2" s="1"/>
  <c r="B283" i="2"/>
  <c r="E283" i="2"/>
  <c r="G283" i="2"/>
  <c r="I283" i="2"/>
  <c r="D264" i="9" s="1"/>
  <c r="K283" i="2"/>
  <c r="M283" i="2"/>
  <c r="O283" i="2"/>
  <c r="Q283" i="2"/>
  <c r="C264" i="9" s="1"/>
  <c r="Q283" i="1"/>
  <c r="AB283" i="2" s="1"/>
  <c r="B284" i="2"/>
  <c r="E284" i="2"/>
  <c r="G284" i="2"/>
  <c r="I284" i="2"/>
  <c r="D265" i="9" s="1"/>
  <c r="K284" i="2"/>
  <c r="M284" i="2"/>
  <c r="O284" i="2"/>
  <c r="Q284" i="2"/>
  <c r="C265" i="9" s="1"/>
  <c r="Q284" i="1"/>
  <c r="AB284" i="2" s="1"/>
  <c r="B285" i="2"/>
  <c r="G285" i="2"/>
  <c r="K285" i="2"/>
  <c r="M285" i="2"/>
  <c r="O285" i="2"/>
  <c r="Q285" i="2"/>
  <c r="C266" i="9" s="1"/>
  <c r="U285" i="2"/>
  <c r="W285" i="2"/>
  <c r="Q285" i="1"/>
  <c r="AB285" i="2" s="1"/>
  <c r="B286" i="2"/>
  <c r="E286" i="2"/>
  <c r="G286" i="2"/>
  <c r="I286" i="2"/>
  <c r="D267" i="9" s="1"/>
  <c r="K286" i="2"/>
  <c r="M286" i="2"/>
  <c r="O286" i="2"/>
  <c r="Q286" i="2"/>
  <c r="C267" i="9" s="1"/>
  <c r="Q286" i="1"/>
  <c r="AB286" i="2" s="1"/>
  <c r="B287" i="2"/>
  <c r="E287" i="2"/>
  <c r="G287" i="2"/>
  <c r="I287" i="2"/>
  <c r="D268" i="9" s="1"/>
  <c r="K287" i="2"/>
  <c r="M287" i="2"/>
  <c r="O287" i="2"/>
  <c r="Q287" i="2"/>
  <c r="C268" i="9" s="1"/>
  <c r="Q287" i="1"/>
  <c r="AB287" i="2" s="1"/>
  <c r="B288" i="2"/>
  <c r="E288" i="2"/>
  <c r="G288" i="2"/>
  <c r="I288" i="2"/>
  <c r="D269" i="9" s="1"/>
  <c r="K288" i="2"/>
  <c r="M288" i="2"/>
  <c r="Q288" i="2"/>
  <c r="C269" i="9" s="1"/>
  <c r="Q288" i="1"/>
  <c r="AB288" i="2" s="1"/>
  <c r="B289" i="2"/>
  <c r="E289" i="2"/>
  <c r="G289" i="2"/>
  <c r="I289" i="2"/>
  <c r="D270" i="9" s="1"/>
  <c r="M289" i="2"/>
  <c r="O289" i="2"/>
  <c r="Q289" i="2"/>
  <c r="C270" i="9" s="1"/>
  <c r="W289" i="2"/>
  <c r="Q289" i="1"/>
  <c r="AB289" i="2" s="1"/>
  <c r="B290" i="2"/>
  <c r="E290" i="2"/>
  <c r="G290" i="2"/>
  <c r="I290" i="2"/>
  <c r="D271" i="9" s="1"/>
  <c r="K290" i="2"/>
  <c r="M290" i="2"/>
  <c r="O290" i="2"/>
  <c r="Q290" i="2"/>
  <c r="C271" i="9" s="1"/>
  <c r="Q290" i="1"/>
  <c r="AB290" i="2" s="1"/>
  <c r="B291" i="2"/>
  <c r="E291" i="2"/>
  <c r="G291" i="2"/>
  <c r="I291" i="2"/>
  <c r="D272" i="9" s="1"/>
  <c r="K291" i="2"/>
  <c r="M291" i="2"/>
  <c r="O291" i="2"/>
  <c r="Q291" i="2"/>
  <c r="C272" i="9" s="1"/>
  <c r="Q291" i="1"/>
  <c r="AB291" i="2" s="1"/>
  <c r="B292" i="2"/>
  <c r="E292" i="2"/>
  <c r="G292" i="2"/>
  <c r="I292" i="2"/>
  <c r="D273" i="9" s="1"/>
  <c r="K292" i="2"/>
  <c r="M292" i="2"/>
  <c r="O292" i="2"/>
  <c r="Q292" i="2"/>
  <c r="C273" i="9" s="1"/>
  <c r="Q292" i="1"/>
  <c r="AB292" i="2" s="1"/>
  <c r="B293" i="2"/>
  <c r="E293" i="2"/>
  <c r="G293" i="2"/>
  <c r="K293" i="2"/>
  <c r="M293" i="2"/>
  <c r="O293" i="2"/>
  <c r="Q293" i="2"/>
  <c r="C274" i="9" s="1"/>
  <c r="Q293" i="1"/>
  <c r="AB293" i="2" s="1"/>
  <c r="B294" i="2"/>
  <c r="E294" i="2"/>
  <c r="G294" i="2"/>
  <c r="I294" i="2"/>
  <c r="D275" i="9" s="1"/>
  <c r="K294" i="2"/>
  <c r="M294" i="2"/>
  <c r="O294" i="2"/>
  <c r="Q294" i="2"/>
  <c r="C275" i="9" s="1"/>
  <c r="Q294" i="1"/>
  <c r="AB294" i="2" s="1"/>
  <c r="B295" i="2"/>
  <c r="E295" i="2"/>
  <c r="G295" i="2"/>
  <c r="I295" i="2"/>
  <c r="D276" i="9" s="1"/>
  <c r="M295" i="2"/>
  <c r="O295" i="2"/>
  <c r="Q295" i="2"/>
  <c r="C276" i="9" s="1"/>
  <c r="Q295" i="1"/>
  <c r="AB295" i="2" s="1"/>
  <c r="B296" i="2"/>
  <c r="E296" i="2"/>
  <c r="G296" i="2"/>
  <c r="I296" i="2"/>
  <c r="D277" i="9" s="1"/>
  <c r="K296" i="2"/>
  <c r="M296" i="2"/>
  <c r="O296" i="2"/>
  <c r="Q296" i="2"/>
  <c r="C277" i="9" s="1"/>
  <c r="S296" i="2"/>
  <c r="U296" i="2"/>
  <c r="Q296" i="1"/>
  <c r="AB296" i="2" s="1"/>
  <c r="B297" i="2"/>
  <c r="E297" i="2"/>
  <c r="G297" i="2"/>
  <c r="K297" i="2"/>
  <c r="M297" i="2"/>
  <c r="O297" i="2"/>
  <c r="Q297" i="2"/>
  <c r="C278" i="9" s="1"/>
  <c r="Q297" i="1"/>
  <c r="AB297" i="2" s="1"/>
  <c r="B298" i="2"/>
  <c r="E298" i="2"/>
  <c r="G298" i="2"/>
  <c r="I298" i="2"/>
  <c r="D279" i="9" s="1"/>
  <c r="K298" i="2"/>
  <c r="M298" i="2"/>
  <c r="O298" i="2"/>
  <c r="Q298" i="2"/>
  <c r="C279" i="9" s="1"/>
  <c r="Q298" i="1"/>
  <c r="AB298" i="2" s="1"/>
  <c r="B299" i="2"/>
  <c r="E299" i="2"/>
  <c r="G299" i="2"/>
  <c r="I299" i="2"/>
  <c r="D280" i="9" s="1"/>
  <c r="K299" i="2"/>
  <c r="M299" i="2"/>
  <c r="O299" i="2"/>
  <c r="Q299" i="2"/>
  <c r="C280" i="9" s="1"/>
  <c r="Q299" i="1"/>
  <c r="AB299" i="2" s="1"/>
  <c r="B300" i="2"/>
  <c r="E300" i="2"/>
  <c r="G300" i="2"/>
  <c r="I300" i="2"/>
  <c r="D281" i="9" s="1"/>
  <c r="K300" i="2"/>
  <c r="M300" i="2"/>
  <c r="O300" i="2"/>
  <c r="Q300" i="2"/>
  <c r="C281" i="9" s="1"/>
  <c r="U300" i="2"/>
  <c r="Q300" i="1"/>
  <c r="AB300" i="2" s="1"/>
  <c r="B301" i="2"/>
  <c r="E301" i="2"/>
  <c r="G301" i="2"/>
  <c r="I301" i="2"/>
  <c r="D282" i="9" s="1"/>
  <c r="K301" i="2"/>
  <c r="M301" i="2"/>
  <c r="O301" i="2"/>
  <c r="Q301" i="2"/>
  <c r="C282" i="9" s="1"/>
  <c r="Q301" i="1"/>
  <c r="AB301" i="2" s="1"/>
  <c r="B302" i="2"/>
  <c r="E302" i="2"/>
  <c r="G302" i="2"/>
  <c r="K302" i="2"/>
  <c r="M302" i="2"/>
  <c r="O302" i="2"/>
  <c r="Q302" i="2"/>
  <c r="C283" i="9" s="1"/>
  <c r="Q302" i="1"/>
  <c r="AB302" i="2" s="1"/>
  <c r="B303" i="2"/>
  <c r="E303" i="2"/>
  <c r="G303" i="2"/>
  <c r="I303" i="2"/>
  <c r="D284" i="9" s="1"/>
  <c r="K303" i="2"/>
  <c r="M303" i="2"/>
  <c r="O303" i="2"/>
  <c r="Q303" i="2"/>
  <c r="C284" i="9" s="1"/>
  <c r="Q303" i="1"/>
  <c r="AB303" i="2" s="1"/>
  <c r="B304" i="2"/>
  <c r="E304" i="2"/>
  <c r="G304" i="2"/>
  <c r="I304" i="2"/>
  <c r="D285" i="9" s="1"/>
  <c r="K304" i="2"/>
  <c r="M304" i="2"/>
  <c r="O304" i="2"/>
  <c r="Q304" i="2"/>
  <c r="C285" i="9" s="1"/>
  <c r="W304" i="2"/>
  <c r="Q304" i="1"/>
  <c r="AB304" i="2" s="1"/>
  <c r="B305" i="2"/>
  <c r="E305" i="2"/>
  <c r="G305" i="2"/>
  <c r="I305" i="2"/>
  <c r="D286" i="9" s="1"/>
  <c r="K305" i="2"/>
  <c r="M305" i="2"/>
  <c r="O305" i="2"/>
  <c r="Q305" i="2"/>
  <c r="C286" i="9" s="1"/>
  <c r="Q305" i="1"/>
  <c r="AB305" i="2" s="1"/>
  <c r="B306" i="2"/>
  <c r="E306" i="2"/>
  <c r="G306" i="2"/>
  <c r="K306" i="2"/>
  <c r="M306" i="2"/>
  <c r="O306" i="2"/>
  <c r="Q306" i="2"/>
  <c r="C287" i="9" s="1"/>
  <c r="Q306" i="1"/>
  <c r="AB306" i="2" s="1"/>
  <c r="B307" i="2"/>
  <c r="E307" i="2"/>
  <c r="G307" i="2"/>
  <c r="I307" i="2"/>
  <c r="D288" i="9" s="1"/>
  <c r="K307" i="2"/>
  <c r="M307" i="2"/>
  <c r="O307" i="2"/>
  <c r="Q307" i="2"/>
  <c r="C288" i="9" s="1"/>
  <c r="S307" i="2"/>
  <c r="Q307" i="1"/>
  <c r="AB307" i="2" s="1"/>
  <c r="B308" i="2"/>
  <c r="E308" i="2"/>
  <c r="G308" i="2"/>
  <c r="I308" i="2"/>
  <c r="D289" i="9" s="1"/>
  <c r="K308" i="2"/>
  <c r="M308" i="2"/>
  <c r="O308" i="2"/>
  <c r="Q308" i="2"/>
  <c r="C289" i="9" s="1"/>
  <c r="Q308" i="1"/>
  <c r="AB308" i="2" s="1"/>
  <c r="B309" i="2"/>
  <c r="E309" i="2"/>
  <c r="G309" i="2"/>
  <c r="K309" i="2"/>
  <c r="M309" i="2"/>
  <c r="O309" i="2"/>
  <c r="Q309" i="2"/>
  <c r="C290" i="9" s="1"/>
  <c r="Q309" i="1"/>
  <c r="AB309" i="2" s="1"/>
  <c r="B310" i="2"/>
  <c r="E310" i="2"/>
  <c r="G310" i="2"/>
  <c r="I310" i="2"/>
  <c r="D291" i="9" s="1"/>
  <c r="K310" i="2"/>
  <c r="M310" i="2"/>
  <c r="O310" i="2"/>
  <c r="Q310" i="2"/>
  <c r="C291" i="9" s="1"/>
  <c r="Q310" i="1"/>
  <c r="AB310" i="2" s="1"/>
  <c r="B311" i="2"/>
  <c r="E311" i="2"/>
  <c r="G311" i="2"/>
  <c r="I311" i="2"/>
  <c r="D292" i="9" s="1"/>
  <c r="K311" i="2"/>
  <c r="M311" i="2"/>
  <c r="O311" i="2"/>
  <c r="Q311" i="2"/>
  <c r="C292" i="9" s="1"/>
  <c r="S311" i="2"/>
  <c r="U311" i="2"/>
  <c r="Q311" i="1"/>
  <c r="AB311" i="2" s="1"/>
  <c r="B312" i="2"/>
  <c r="E312" i="2"/>
  <c r="G312" i="2"/>
  <c r="I312" i="2"/>
  <c r="D293" i="9" s="1"/>
  <c r="K312" i="2"/>
  <c r="M312" i="2"/>
  <c r="O312" i="2"/>
  <c r="Q312" i="2"/>
  <c r="C293" i="9" s="1"/>
  <c r="Q312" i="1"/>
  <c r="AB312" i="2" s="1"/>
  <c r="B313" i="2"/>
  <c r="E313" i="2"/>
  <c r="G313" i="2"/>
  <c r="I313" i="2"/>
  <c r="D294" i="9" s="1"/>
  <c r="K313" i="2"/>
  <c r="M313" i="2"/>
  <c r="Q313" i="2"/>
  <c r="C294" i="9" s="1"/>
  <c r="Q313" i="1"/>
  <c r="AB313" i="2" s="1"/>
  <c r="B314" i="2"/>
  <c r="E314" i="2"/>
  <c r="G314" i="2"/>
  <c r="I314" i="2"/>
  <c r="D295" i="9" s="1"/>
  <c r="K314" i="2"/>
  <c r="M314" i="2"/>
  <c r="O314" i="2"/>
  <c r="Q314" i="2"/>
  <c r="C295" i="9" s="1"/>
  <c r="S314" i="2"/>
  <c r="Q314" i="1"/>
  <c r="AB314" i="2" s="1"/>
  <c r="B315" i="2"/>
  <c r="E315" i="2"/>
  <c r="G315" i="2"/>
  <c r="I315" i="2"/>
  <c r="D296" i="9" s="1"/>
  <c r="K315" i="2"/>
  <c r="M315" i="2"/>
  <c r="Q315" i="2"/>
  <c r="C296" i="9" s="1"/>
  <c r="W315" i="2"/>
  <c r="Q315" i="1"/>
  <c r="AB315" i="2" s="1"/>
  <c r="B316" i="2"/>
  <c r="E316" i="2"/>
  <c r="G316" i="2"/>
  <c r="I316" i="2"/>
  <c r="D297" i="9" s="1"/>
  <c r="K316" i="2"/>
  <c r="M316" i="2"/>
  <c r="O316" i="2"/>
  <c r="Q316" i="1"/>
  <c r="AB316" i="2" s="1"/>
  <c r="B317" i="2"/>
  <c r="E317" i="2"/>
  <c r="G317" i="2"/>
  <c r="I317" i="2"/>
  <c r="D298" i="9" s="1"/>
  <c r="M317" i="2"/>
  <c r="O317" i="2"/>
  <c r="Q317" i="2"/>
  <c r="C298" i="9" s="1"/>
  <c r="Q317" i="1"/>
  <c r="AB317" i="2" s="1"/>
  <c r="B318" i="2"/>
  <c r="E318" i="2"/>
  <c r="G318" i="2"/>
  <c r="K318" i="2"/>
  <c r="M318" i="2"/>
  <c r="Q318" i="2"/>
  <c r="C299" i="9" s="1"/>
  <c r="U318" i="2"/>
  <c r="W318" i="2"/>
  <c r="Q318" i="1"/>
  <c r="AB318" i="2" s="1"/>
  <c r="B319" i="2"/>
  <c r="E319" i="2"/>
  <c r="G319" i="2"/>
  <c r="I319" i="2"/>
  <c r="D300" i="9" s="1"/>
  <c r="K319" i="2"/>
  <c r="M319" i="2"/>
  <c r="O319" i="2"/>
  <c r="Q319" i="2"/>
  <c r="C300" i="9" s="1"/>
  <c r="Q319" i="1"/>
  <c r="AB319" i="2" s="1"/>
  <c r="B320" i="2"/>
  <c r="E320" i="2"/>
  <c r="G320" i="2"/>
  <c r="I320" i="2"/>
  <c r="D301" i="9" s="1"/>
  <c r="K320" i="2"/>
  <c r="M320" i="2"/>
  <c r="O320" i="2"/>
  <c r="Q320" i="2"/>
  <c r="C301" i="9" s="1"/>
  <c r="Q320" i="1"/>
  <c r="AB320" i="2" s="1"/>
  <c r="B321" i="2"/>
  <c r="E321" i="2"/>
  <c r="G321" i="2"/>
  <c r="I321" i="2"/>
  <c r="D302" i="9" s="1"/>
  <c r="K321" i="2"/>
  <c r="M321" i="2"/>
  <c r="Q321" i="2"/>
  <c r="C302" i="9" s="1"/>
  <c r="U321" i="2"/>
  <c r="Q321" i="1"/>
  <c r="AB321" i="2" s="1"/>
  <c r="B322" i="2"/>
  <c r="E322" i="2"/>
  <c r="G322" i="2"/>
  <c r="I322" i="2"/>
  <c r="D303" i="9" s="1"/>
  <c r="K322" i="2"/>
  <c r="M322" i="2"/>
  <c r="O322" i="2"/>
  <c r="Q322" i="2"/>
  <c r="C303" i="9" s="1"/>
  <c r="Q322" i="1"/>
  <c r="AB322" i="2" s="1"/>
  <c r="B323" i="2"/>
  <c r="E323" i="2"/>
  <c r="G323" i="2"/>
  <c r="I323" i="2"/>
  <c r="D304" i="9" s="1"/>
  <c r="K323" i="2"/>
  <c r="M323" i="2"/>
  <c r="O323" i="2"/>
  <c r="Q323" i="2"/>
  <c r="C304" i="9" s="1"/>
  <c r="Q323" i="1"/>
  <c r="AB323" i="2" s="1"/>
  <c r="B324" i="2"/>
  <c r="E324" i="2"/>
  <c r="G324" i="2"/>
  <c r="I324" i="2"/>
  <c r="D305" i="9" s="1"/>
  <c r="K324" i="2"/>
  <c r="M324" i="2"/>
  <c r="O324" i="2"/>
  <c r="Q324" i="2"/>
  <c r="C305" i="9" s="1"/>
  <c r="Q324" i="1"/>
  <c r="AB324" i="2" s="1"/>
  <c r="B325" i="2"/>
  <c r="E325" i="2"/>
  <c r="G325" i="2"/>
  <c r="I325" i="2"/>
  <c r="D306" i="9" s="1"/>
  <c r="K325" i="2"/>
  <c r="M325" i="2"/>
  <c r="O325" i="2"/>
  <c r="Q325" i="2"/>
  <c r="C306" i="9" s="1"/>
  <c r="S325" i="2"/>
  <c r="W325" i="2"/>
  <c r="Q325" i="1"/>
  <c r="AB325" i="2" s="1"/>
  <c r="B326" i="2"/>
  <c r="E326" i="2"/>
  <c r="G326" i="2"/>
  <c r="I326" i="2"/>
  <c r="D307" i="9" s="1"/>
  <c r="M326" i="2"/>
  <c r="O326" i="2"/>
  <c r="Q326" i="2"/>
  <c r="C307" i="9" s="1"/>
  <c r="Q326" i="1"/>
  <c r="AB326" i="2" s="1"/>
  <c r="B327" i="2"/>
  <c r="E327" i="2"/>
  <c r="G327" i="2"/>
  <c r="I327" i="2"/>
  <c r="D308" i="9" s="1"/>
  <c r="K327" i="2"/>
  <c r="M327" i="2"/>
  <c r="Q327" i="2"/>
  <c r="C308" i="9" s="1"/>
  <c r="Q327" i="1"/>
  <c r="AB327" i="2" s="1"/>
  <c r="B328" i="2"/>
  <c r="E328" i="2"/>
  <c r="G328" i="2"/>
  <c r="I328" i="2"/>
  <c r="D309" i="9" s="1"/>
  <c r="K328" i="2"/>
  <c r="M328" i="2"/>
  <c r="O328" i="2"/>
  <c r="Q328" i="2"/>
  <c r="C309" i="9" s="1"/>
  <c r="S328" i="2"/>
  <c r="Q328" i="1"/>
  <c r="AB328" i="2" s="1"/>
  <c r="B329" i="2"/>
  <c r="E329" i="2"/>
  <c r="G329" i="2"/>
  <c r="I329" i="2"/>
  <c r="D310" i="9" s="1"/>
  <c r="K329" i="2"/>
  <c r="M329" i="2"/>
  <c r="O329" i="2"/>
  <c r="Q329" i="2"/>
  <c r="C310" i="9" s="1"/>
  <c r="U329" i="2"/>
  <c r="W329" i="2"/>
  <c r="Q329" i="1"/>
  <c r="AB329" i="2" s="1"/>
  <c r="B330" i="2"/>
  <c r="E330" i="2"/>
  <c r="G330" i="2"/>
  <c r="I330" i="2"/>
  <c r="D311" i="9" s="1"/>
  <c r="M330" i="2"/>
  <c r="O330" i="2"/>
  <c r="Q330" i="2"/>
  <c r="C311" i="9" s="1"/>
  <c r="Q330" i="1"/>
  <c r="AB330" i="2" s="1"/>
  <c r="B331" i="2"/>
  <c r="E331" i="2"/>
  <c r="G331" i="2"/>
  <c r="I331" i="2"/>
  <c r="D312" i="9" s="1"/>
  <c r="K331" i="2"/>
  <c r="M331" i="2"/>
  <c r="O331" i="2"/>
  <c r="Q331" i="2"/>
  <c r="C312" i="9" s="1"/>
  <c r="Q331" i="1"/>
  <c r="AB331" i="2" s="1"/>
  <c r="B332" i="2"/>
  <c r="E332" i="2"/>
  <c r="G332" i="2"/>
  <c r="I332" i="2"/>
  <c r="D313" i="9" s="1"/>
  <c r="K332" i="2"/>
  <c r="M332" i="2"/>
  <c r="Q332" i="2"/>
  <c r="C313" i="9" s="1"/>
  <c r="U332" i="2"/>
  <c r="Q332" i="1"/>
  <c r="AB332" i="2" s="1"/>
  <c r="B333" i="2"/>
  <c r="E333" i="2"/>
  <c r="G333" i="2"/>
  <c r="K333" i="2"/>
  <c r="M333" i="2"/>
  <c r="O333" i="2"/>
  <c r="Q333" i="2"/>
  <c r="C314" i="9" s="1"/>
  <c r="Q333" i="1"/>
  <c r="AB333" i="2" s="1"/>
  <c r="B334" i="2"/>
  <c r="E334" i="2"/>
  <c r="G334" i="2"/>
  <c r="I334" i="2"/>
  <c r="D315" i="9" s="1"/>
  <c r="K334" i="2"/>
  <c r="M334" i="2"/>
  <c r="O334" i="2"/>
  <c r="Q334" i="2"/>
  <c r="C315" i="9" s="1"/>
  <c r="Q334" i="1"/>
  <c r="AB334" i="2" s="1"/>
  <c r="B335" i="2"/>
  <c r="E335" i="2"/>
  <c r="G335" i="2"/>
  <c r="I335" i="2"/>
  <c r="D316" i="9" s="1"/>
  <c r="K335" i="2"/>
  <c r="M335" i="2"/>
  <c r="O335" i="2"/>
  <c r="Q335" i="2"/>
  <c r="C316" i="9" s="1"/>
  <c r="Q335" i="1"/>
  <c r="AB335" i="2" s="1"/>
  <c r="B336" i="2"/>
  <c r="E336" i="2"/>
  <c r="G336" i="2"/>
  <c r="I336" i="2"/>
  <c r="D317" i="9" s="1"/>
  <c r="M336" i="2"/>
  <c r="O336" i="2"/>
  <c r="Q336" i="2"/>
  <c r="C317" i="9" s="1"/>
  <c r="U336" i="2"/>
  <c r="Q336" i="1"/>
  <c r="AB336" i="2" s="1"/>
  <c r="B337" i="2"/>
  <c r="E337" i="2"/>
  <c r="G337" i="2"/>
  <c r="K337" i="2"/>
  <c r="M337" i="2"/>
  <c r="O337" i="2"/>
  <c r="Q337" i="2"/>
  <c r="C318" i="9" s="1"/>
  <c r="Q337" i="1"/>
  <c r="AB337" i="2" s="1"/>
  <c r="B338" i="2"/>
  <c r="E338" i="2"/>
  <c r="G338" i="2"/>
  <c r="I338" i="2"/>
  <c r="D319" i="9" s="1"/>
  <c r="K338" i="2"/>
  <c r="M338" i="2"/>
  <c r="O338" i="2"/>
  <c r="Q338" i="2"/>
  <c r="C319" i="9" s="1"/>
  <c r="Q338" i="1"/>
  <c r="AB338" i="2" s="1"/>
  <c r="B339" i="2"/>
  <c r="E339" i="2"/>
  <c r="G339" i="2"/>
  <c r="I339" i="2"/>
  <c r="D320" i="9" s="1"/>
  <c r="K339" i="2"/>
  <c r="M339" i="2"/>
  <c r="O339" i="2"/>
  <c r="Q339" i="2"/>
  <c r="C320" i="9" s="1"/>
  <c r="U339" i="2"/>
  <c r="Q339" i="1"/>
  <c r="AB339" i="2" s="1"/>
  <c r="B340" i="2"/>
  <c r="E340" i="2"/>
  <c r="G340" i="2"/>
  <c r="I340" i="2"/>
  <c r="D321" i="9" s="1"/>
  <c r="K340" i="2"/>
  <c r="M340" i="2"/>
  <c r="O340" i="2"/>
  <c r="Q340" i="2"/>
  <c r="C321" i="9" s="1"/>
  <c r="Q340" i="1"/>
  <c r="AB340" i="2" s="1"/>
  <c r="B341" i="2"/>
  <c r="E341" i="2"/>
  <c r="G341" i="2"/>
  <c r="M341" i="2"/>
  <c r="O341" i="2"/>
  <c r="Q341" i="2"/>
  <c r="C322" i="9" s="1"/>
  <c r="Q341" i="1"/>
  <c r="AB341" i="2" s="1"/>
  <c r="B342" i="2"/>
  <c r="E342" i="2"/>
  <c r="G342" i="2"/>
  <c r="I342" i="2"/>
  <c r="D323" i="9" s="1"/>
  <c r="K342" i="2"/>
  <c r="M342" i="2"/>
  <c r="O342" i="2"/>
  <c r="Q342" i="2"/>
  <c r="C323" i="9" s="1"/>
  <c r="Q342" i="1"/>
  <c r="AB342" i="2" s="1"/>
  <c r="B343" i="2"/>
  <c r="E343" i="2"/>
  <c r="G343" i="2"/>
  <c r="K343" i="2"/>
  <c r="M343" i="2"/>
  <c r="O343" i="2"/>
  <c r="Q343" i="2"/>
  <c r="C324" i="9" s="1"/>
  <c r="U343" i="2"/>
  <c r="Q343" i="1"/>
  <c r="AB343" i="2" s="1"/>
  <c r="B344" i="2"/>
  <c r="E344" i="2"/>
  <c r="G344" i="2"/>
  <c r="I344" i="2"/>
  <c r="D325" i="9" s="1"/>
  <c r="K344" i="2"/>
  <c r="M344" i="2"/>
  <c r="Q344" i="2"/>
  <c r="C325" i="9" s="1"/>
  <c r="Q344" i="1"/>
  <c r="AB344" i="2" s="1"/>
  <c r="B345" i="2"/>
  <c r="E345" i="2"/>
  <c r="G345" i="2"/>
  <c r="I345" i="2"/>
  <c r="D326" i="9" s="1"/>
  <c r="K345" i="2"/>
  <c r="M345" i="2"/>
  <c r="O345" i="2"/>
  <c r="Q345" i="2"/>
  <c r="C326" i="9" s="1"/>
  <c r="Q345" i="1"/>
  <c r="AB345" i="2" s="1"/>
  <c r="B346" i="2"/>
  <c r="E346" i="2"/>
  <c r="G346" i="2"/>
  <c r="I346" i="2"/>
  <c r="D327" i="9" s="1"/>
  <c r="M346" i="2"/>
  <c r="O346" i="2"/>
  <c r="Q346" i="2"/>
  <c r="C327" i="9" s="1"/>
  <c r="U346" i="2"/>
  <c r="Q346" i="1"/>
  <c r="AB346" i="2" s="1"/>
  <c r="B347" i="2"/>
  <c r="E347" i="2"/>
  <c r="G347" i="2"/>
  <c r="I347" i="2"/>
  <c r="D328" i="9" s="1"/>
  <c r="K347" i="2"/>
  <c r="M347" i="2"/>
  <c r="O347" i="2"/>
  <c r="Q347" i="2"/>
  <c r="C328" i="9" s="1"/>
  <c r="Q347" i="1"/>
  <c r="AB347" i="2" s="1"/>
  <c r="B348" i="2"/>
  <c r="E348" i="2"/>
  <c r="G348" i="2"/>
  <c r="K348" i="2"/>
  <c r="M348" i="2"/>
  <c r="O348" i="2"/>
  <c r="Q348" i="2"/>
  <c r="C329" i="9" s="1"/>
  <c r="Q348" i="1"/>
  <c r="AB348" i="2" s="1"/>
  <c r="B349" i="2"/>
  <c r="E349" i="2"/>
  <c r="G349" i="2"/>
  <c r="I349" i="2"/>
  <c r="D330" i="9" s="1"/>
  <c r="K349" i="2"/>
  <c r="M349" i="2"/>
  <c r="O349" i="2"/>
  <c r="Q349" i="2"/>
  <c r="C330" i="9" s="1"/>
  <c r="Q349" i="1"/>
  <c r="AB349" i="2" s="1"/>
  <c r="B350" i="2"/>
  <c r="E350" i="2"/>
  <c r="G350" i="2"/>
  <c r="I350" i="2"/>
  <c r="D331" i="9" s="1"/>
  <c r="K350" i="2"/>
  <c r="M350" i="2"/>
  <c r="O350" i="2"/>
  <c r="Q350" i="2"/>
  <c r="C331" i="9" s="1"/>
  <c r="S350" i="2"/>
  <c r="U350" i="2"/>
  <c r="Q350" i="1"/>
  <c r="AB350" i="2" s="1"/>
  <c r="B351" i="2"/>
  <c r="E351" i="2"/>
  <c r="G351" i="2"/>
  <c r="I351" i="2"/>
  <c r="D332" i="9" s="1"/>
  <c r="K351" i="2"/>
  <c r="M351" i="2"/>
  <c r="O351" i="2"/>
  <c r="Q351" i="2"/>
  <c r="C332" i="9" s="1"/>
  <c r="Q351" i="1"/>
  <c r="AB351" i="2" s="1"/>
  <c r="B352" i="2"/>
  <c r="E352" i="2"/>
  <c r="G352" i="2"/>
  <c r="I352" i="2"/>
  <c r="D333" i="9" s="1"/>
  <c r="K352" i="2"/>
  <c r="M352" i="2"/>
  <c r="O352" i="2"/>
  <c r="Q352" i="2"/>
  <c r="C333" i="9" s="1"/>
  <c r="Q352" i="1"/>
  <c r="AB352" i="2" s="1"/>
  <c r="B353" i="2"/>
  <c r="E353" i="2"/>
  <c r="G353" i="2"/>
  <c r="I353" i="2"/>
  <c r="D334" i="9" s="1"/>
  <c r="M353" i="2"/>
  <c r="O353" i="2"/>
  <c r="Q353" i="2"/>
  <c r="C334" i="9" s="1"/>
  <c r="Q353" i="1"/>
  <c r="AB353" i="2" s="1"/>
  <c r="B354" i="2"/>
  <c r="E354" i="2"/>
  <c r="G354" i="2"/>
  <c r="I354" i="2"/>
  <c r="D335" i="9" s="1"/>
  <c r="K354" i="2"/>
  <c r="M354" i="2"/>
  <c r="O354" i="2"/>
  <c r="Q354" i="2"/>
  <c r="C335" i="9" s="1"/>
  <c r="S354" i="2"/>
  <c r="U354" i="2"/>
  <c r="W354" i="2"/>
  <c r="Q354" i="1"/>
  <c r="AB354" i="2" s="1"/>
  <c r="B355" i="2"/>
  <c r="E355" i="2"/>
  <c r="G355" i="2"/>
  <c r="I355" i="2"/>
  <c r="D336" i="9" s="1"/>
  <c r="K355" i="2"/>
  <c r="M355" i="2"/>
  <c r="O355" i="2"/>
  <c r="Q355" i="2"/>
  <c r="C336" i="9" s="1"/>
  <c r="Q355" i="1"/>
  <c r="AB355" i="2" s="1"/>
  <c r="B356" i="2"/>
  <c r="G356" i="2"/>
  <c r="I356" i="2"/>
  <c r="D337" i="9" s="1"/>
  <c r="K356" i="2"/>
  <c r="M356" i="2"/>
  <c r="Q356" i="2"/>
  <c r="C337" i="9" s="1"/>
  <c r="Q356" i="1"/>
  <c r="AB356" i="2" s="1"/>
  <c r="B357" i="2"/>
  <c r="E357" i="2"/>
  <c r="G357" i="2"/>
  <c r="I357" i="2"/>
  <c r="D338" i="9" s="1"/>
  <c r="K357" i="2"/>
  <c r="M357" i="2"/>
  <c r="O357" i="2"/>
  <c r="Q357" i="2"/>
  <c r="C338" i="9" s="1"/>
  <c r="S357" i="2"/>
  <c r="Q357" i="1"/>
  <c r="AB357" i="2" s="1"/>
  <c r="B358" i="2"/>
  <c r="E358" i="2"/>
  <c r="G358" i="2"/>
  <c r="K358" i="2"/>
  <c r="M358" i="2"/>
  <c r="O358" i="2"/>
  <c r="Q358" i="2"/>
  <c r="C339" i="9" s="1"/>
  <c r="Q358" i="1"/>
  <c r="AB358" i="2" s="1"/>
  <c r="B359" i="2"/>
  <c r="E359" i="2"/>
  <c r="G359" i="2"/>
  <c r="I359" i="2"/>
  <c r="D340" i="9" s="1"/>
  <c r="K359" i="2"/>
  <c r="M359" i="2"/>
  <c r="O359" i="2"/>
  <c r="Q359" i="2"/>
  <c r="C340" i="9" s="1"/>
  <c r="Q359" i="1"/>
  <c r="AB359" i="2" s="1"/>
  <c r="B360" i="2"/>
  <c r="E360" i="2"/>
  <c r="G360" i="2"/>
  <c r="I360" i="2"/>
  <c r="D341" i="9" s="1"/>
  <c r="M360" i="2"/>
  <c r="O360" i="2"/>
  <c r="Q360" i="2"/>
  <c r="C341" i="9" s="1"/>
  <c r="Q360" i="1"/>
  <c r="AB360" i="2" s="1"/>
  <c r="B361" i="2"/>
  <c r="E361" i="2"/>
  <c r="G361" i="2"/>
  <c r="I361" i="2"/>
  <c r="D342" i="9" s="1"/>
  <c r="K361" i="2"/>
  <c r="M361" i="2"/>
  <c r="O361" i="2"/>
  <c r="Q361" i="2"/>
  <c r="C342" i="9" s="1"/>
  <c r="S361" i="2"/>
  <c r="U361" i="2"/>
  <c r="W361" i="2"/>
  <c r="Q361" i="1"/>
  <c r="AB361" i="2" s="1"/>
  <c r="B362" i="2"/>
  <c r="E362" i="2"/>
  <c r="G362" i="2"/>
  <c r="I362" i="2"/>
  <c r="D343" i="9" s="1"/>
  <c r="K362" i="2"/>
  <c r="M362" i="2"/>
  <c r="O362" i="2"/>
  <c r="Q362" i="2"/>
  <c r="C343" i="9" s="1"/>
  <c r="Q362" i="1"/>
  <c r="AB362" i="2" s="1"/>
  <c r="B363" i="2"/>
  <c r="E363" i="2"/>
  <c r="G363" i="2"/>
  <c r="I363" i="2"/>
  <c r="D344" i="9" s="1"/>
  <c r="K363" i="2"/>
  <c r="M363" i="2"/>
  <c r="O363" i="2"/>
  <c r="Q363" i="2"/>
  <c r="C344" i="9" s="1"/>
  <c r="Q363" i="1"/>
  <c r="AB363" i="2" s="1"/>
  <c r="B364" i="2"/>
  <c r="E364" i="2"/>
  <c r="G364" i="2"/>
  <c r="I364" i="2"/>
  <c r="D345" i="9" s="1"/>
  <c r="M364" i="2"/>
  <c r="O364" i="2"/>
  <c r="Q364" i="2"/>
  <c r="C345" i="9" s="1"/>
  <c r="S364" i="2"/>
  <c r="Q364" i="1"/>
  <c r="AB364" i="2" s="1"/>
  <c r="B365" i="2"/>
  <c r="E365" i="2"/>
  <c r="G365" i="2"/>
  <c r="I365" i="2"/>
  <c r="D346" i="9" s="1"/>
  <c r="K365" i="2"/>
  <c r="M365" i="2"/>
  <c r="O365" i="2"/>
  <c r="Q365" i="2"/>
  <c r="C346" i="9" s="1"/>
  <c r="U365" i="2"/>
  <c r="W365" i="2"/>
  <c r="Q365" i="1"/>
  <c r="AB365" i="2" s="1"/>
  <c r="B366" i="2"/>
  <c r="E366" i="2"/>
  <c r="G366" i="2"/>
  <c r="I366" i="2"/>
  <c r="D347" i="9" s="1"/>
  <c r="K366" i="2"/>
  <c r="M366" i="2"/>
  <c r="O366" i="2"/>
  <c r="Q366" i="2"/>
  <c r="C347" i="9" s="1"/>
  <c r="Q366" i="1"/>
  <c r="AB366" i="2" s="1"/>
  <c r="B367" i="2"/>
  <c r="E367" i="2"/>
  <c r="G367" i="2"/>
  <c r="K367" i="2"/>
  <c r="M367" i="2"/>
  <c r="Q367" i="2"/>
  <c r="C348" i="9" s="1"/>
  <c r="Q367" i="1"/>
  <c r="AB367" i="2" s="1"/>
  <c r="B368" i="2"/>
  <c r="E368" i="2"/>
  <c r="G368" i="2"/>
  <c r="K368" i="2"/>
  <c r="M368" i="2"/>
  <c r="O368" i="2"/>
  <c r="Q368" i="2"/>
  <c r="C349" i="9" s="1"/>
  <c r="U368" i="2"/>
  <c r="Q368" i="1"/>
  <c r="AB368" i="2" s="1"/>
  <c r="B369" i="2"/>
  <c r="E369" i="2"/>
  <c r="G369" i="2"/>
  <c r="I369" i="2"/>
  <c r="D350" i="9" s="1"/>
  <c r="M369" i="2"/>
  <c r="O369" i="2"/>
  <c r="Q369" i="2"/>
  <c r="C350" i="9" s="1"/>
  <c r="Q369" i="1"/>
  <c r="AB369" i="2" s="1"/>
  <c r="B370" i="2"/>
  <c r="E370" i="2"/>
  <c r="G370" i="2"/>
  <c r="I370" i="2"/>
  <c r="D351" i="9" s="1"/>
  <c r="K370" i="2"/>
  <c r="M370" i="2"/>
  <c r="O370" i="2"/>
  <c r="Q370" i="2"/>
  <c r="C351" i="9" s="1"/>
  <c r="Q370" i="1"/>
  <c r="AB370" i="2" s="1"/>
  <c r="BD370" i="2"/>
  <c r="BE370" i="2" s="1"/>
  <c r="C348" i="2" l="1"/>
  <c r="C287" i="2"/>
  <c r="C243" i="2"/>
  <c r="C319" i="2"/>
  <c r="C250" i="2"/>
  <c r="C356" i="2"/>
  <c r="C214" i="2"/>
  <c r="C195" i="2"/>
  <c r="C352" i="2"/>
  <c r="C210" i="2"/>
  <c r="C191" i="2"/>
  <c r="C184" i="2"/>
  <c r="C283" i="2"/>
  <c r="C290" i="2"/>
  <c r="C221" i="2"/>
  <c r="C359" i="2"/>
  <c r="C309" i="2"/>
  <c r="C264" i="2"/>
  <c r="C327" i="2"/>
  <c r="C235" i="2"/>
  <c r="C268" i="2"/>
  <c r="C228" i="2"/>
  <c r="C224" i="2"/>
  <c r="C175" i="2"/>
  <c r="C170" i="2"/>
  <c r="C165" i="2"/>
  <c r="C160" i="2"/>
  <c r="C155" i="2"/>
  <c r="C150" i="2"/>
  <c r="C145" i="2"/>
  <c r="C140" i="2"/>
  <c r="C135" i="2"/>
  <c r="C130" i="2"/>
  <c r="C125" i="2"/>
  <c r="C120" i="2"/>
  <c r="C115" i="2"/>
  <c r="C110" i="2"/>
  <c r="C105" i="2"/>
  <c r="C100" i="2"/>
  <c r="C366" i="2"/>
  <c r="C342" i="2"/>
  <c r="C334" i="2"/>
  <c r="C206" i="2"/>
  <c r="W344" i="2"/>
  <c r="C310" i="2"/>
  <c r="U271" i="2"/>
  <c r="C262" i="2"/>
  <c r="C207" i="2"/>
  <c r="W294" i="2"/>
  <c r="S227" i="2"/>
  <c r="S355" i="2"/>
  <c r="U283" i="2"/>
  <c r="S275" i="2"/>
  <c r="S253" i="2"/>
  <c r="U261" i="2"/>
  <c r="U250" i="2"/>
  <c r="U228" i="2"/>
  <c r="U210" i="2"/>
  <c r="S348" i="2"/>
  <c r="C219" i="2"/>
  <c r="S206" i="2"/>
  <c r="U214" i="2"/>
  <c r="C201" i="2"/>
  <c r="S199" i="2"/>
  <c r="C197" i="2"/>
  <c r="S195" i="2"/>
  <c r="W192" i="2"/>
  <c r="W181" i="2"/>
  <c r="W177" i="2"/>
  <c r="S326" i="2"/>
  <c r="U366" i="2"/>
  <c r="U319" i="2"/>
  <c r="C299" i="2"/>
  <c r="U239" i="2"/>
  <c r="C332" i="2"/>
  <c r="S290" i="2"/>
  <c r="C285" i="2"/>
  <c r="W261" i="2"/>
  <c r="W243" i="2"/>
  <c r="S202" i="2"/>
  <c r="U327" i="2"/>
  <c r="C318" i="2"/>
  <c r="S309" i="2"/>
  <c r="S370" i="2"/>
  <c r="W367" i="2"/>
  <c r="S345" i="2"/>
  <c r="C340" i="2"/>
  <c r="S338" i="2"/>
  <c r="W335" i="2"/>
  <c r="S331" i="2"/>
  <c r="U324" i="2"/>
  <c r="S320" i="2"/>
  <c r="W317" i="2"/>
  <c r="W310" i="2"/>
  <c r="U306" i="2"/>
  <c r="C304" i="2"/>
  <c r="S302" i="2"/>
  <c r="W295" i="2"/>
  <c r="C293" i="2"/>
  <c r="S291" i="2"/>
  <c r="S284" i="2"/>
  <c r="W269" i="2"/>
  <c r="C260" i="2"/>
  <c r="W244" i="2"/>
  <c r="S236" i="2"/>
  <c r="W229" i="2"/>
  <c r="C216" i="2"/>
  <c r="W211" i="2"/>
  <c r="W207" i="2"/>
  <c r="U203" i="2"/>
  <c r="U192" i="2"/>
  <c r="S188" i="2"/>
  <c r="U181" i="2"/>
  <c r="U177" i="2"/>
  <c r="S358" i="2"/>
  <c r="S333" i="2"/>
  <c r="U231" i="2"/>
  <c r="W202" i="2"/>
  <c r="S362" i="2"/>
  <c r="S279" i="2"/>
  <c r="C273" i="2"/>
  <c r="C259" i="2"/>
  <c r="S246" i="2"/>
  <c r="C233" i="2"/>
  <c r="C321" i="2"/>
  <c r="S305" i="2"/>
  <c r="U294" i="2"/>
  <c r="C248" i="2"/>
  <c r="S239" i="2"/>
  <c r="C237" i="2"/>
  <c r="S235" i="2"/>
  <c r="W228" i="2"/>
  <c r="S224" i="2"/>
  <c r="W210" i="2"/>
  <c r="W206" i="2"/>
  <c r="U243" i="2"/>
  <c r="C241" i="2"/>
  <c r="W232" i="2"/>
  <c r="W247" i="2"/>
  <c r="U221" i="2"/>
  <c r="W214" i="2"/>
  <c r="C358" i="2"/>
  <c r="U349" i="2"/>
  <c r="U342" i="2"/>
  <c r="U335" i="2"/>
  <c r="W328" i="2"/>
  <c r="C326" i="2"/>
  <c r="S324" i="2"/>
  <c r="W314" i="2"/>
  <c r="U310" i="2"/>
  <c r="W299" i="2"/>
  <c r="W277" i="2"/>
  <c r="S265" i="2"/>
  <c r="W255" i="2"/>
  <c r="U244" i="2"/>
  <c r="S240" i="2"/>
  <c r="W233" i="2"/>
  <c r="U229" i="2"/>
  <c r="C227" i="2"/>
  <c r="W222" i="2"/>
  <c r="U211" i="2"/>
  <c r="U207" i="2"/>
  <c r="C205" i="2"/>
  <c r="W200" i="2"/>
  <c r="W196" i="2"/>
  <c r="C194" i="2"/>
  <c r="S192" i="2"/>
  <c r="C190" i="2"/>
  <c r="W185" i="2"/>
  <c r="C183" i="2"/>
  <c r="S181" i="2"/>
  <c r="C179" i="2"/>
  <c r="S177" i="2"/>
  <c r="C349" i="2"/>
  <c r="S183" i="2"/>
  <c r="C364" i="2"/>
  <c r="U305" i="2"/>
  <c r="S257" i="2"/>
  <c r="S366" i="2"/>
  <c r="W359" i="2"/>
  <c r="C346" i="2"/>
  <c r="S337" i="2"/>
  <c r="W334" i="2"/>
  <c r="S330" i="2"/>
  <c r="S319" i="2"/>
  <c r="U316" i="2"/>
  <c r="C303" i="2"/>
  <c r="W287" i="2"/>
  <c r="S283" i="2"/>
  <c r="U264" i="2"/>
  <c r="W250" i="2"/>
  <c r="U217" i="2"/>
  <c r="W272" i="2"/>
  <c r="U268" i="2"/>
  <c r="W258" i="2"/>
  <c r="S341" i="2"/>
  <c r="S261" i="2"/>
  <c r="W188" i="2"/>
  <c r="S367" i="2"/>
  <c r="W364" i="2"/>
  <c r="U360" i="2"/>
  <c r="C351" i="2"/>
  <c r="S349" i="2"/>
  <c r="S342" i="2"/>
  <c r="W339" i="2"/>
  <c r="S335" i="2"/>
  <c r="S317" i="2"/>
  <c r="U314" i="2"/>
  <c r="C312" i="2"/>
  <c r="S310" i="2"/>
  <c r="W303" i="2"/>
  <c r="U299" i="2"/>
  <c r="C297" i="2"/>
  <c r="S295" i="2"/>
  <c r="U288" i="2"/>
  <c r="C286" i="2"/>
  <c r="C271" i="2"/>
  <c r="S269" i="2"/>
  <c r="C267" i="2"/>
  <c r="U262" i="2"/>
  <c r="W259" i="2"/>
  <c r="U255" i="2"/>
  <c r="U251" i="2"/>
  <c r="C249" i="2"/>
  <c r="S244" i="2"/>
  <c r="C242" i="2"/>
  <c r="W237" i="2"/>
  <c r="U233" i="2"/>
  <c r="C231" i="2"/>
  <c r="S229" i="2"/>
  <c r="U222" i="2"/>
  <c r="C220" i="2"/>
  <c r="S218" i="2"/>
  <c r="W215" i="2"/>
  <c r="C213" i="2"/>
  <c r="S211" i="2"/>
  <c r="C209" i="2"/>
  <c r="S207" i="2"/>
  <c r="U200" i="2"/>
  <c r="U196" i="2"/>
  <c r="U185" i="2"/>
  <c r="W337" i="2"/>
  <c r="U297" i="2"/>
  <c r="S301" i="2"/>
  <c r="U290" i="2"/>
  <c r="C281" i="2"/>
  <c r="W264" i="2"/>
  <c r="U224" i="2"/>
  <c r="S264" i="2"/>
  <c r="W254" i="2"/>
  <c r="C368" i="2"/>
  <c r="C296" i="2"/>
  <c r="U195" i="2"/>
  <c r="C362" i="2"/>
  <c r="W357" i="2"/>
  <c r="C355" i="2"/>
  <c r="W369" i="2"/>
  <c r="W248" i="2"/>
  <c r="U307" i="2"/>
  <c r="S303" i="2"/>
  <c r="W368" i="2"/>
  <c r="S346" i="2"/>
  <c r="W343" i="2"/>
  <c r="S332" i="2"/>
  <c r="S321" i="2"/>
  <c r="C294" i="2"/>
  <c r="U266" i="2"/>
  <c r="C261" i="2"/>
  <c r="W245" i="2"/>
  <c r="U241" i="2"/>
  <c r="S285" i="2"/>
  <c r="S343" i="2"/>
  <c r="U340" i="2"/>
  <c r="S336" i="2"/>
  <c r="S329" i="2"/>
  <c r="W322" i="2"/>
  <c r="U315" i="2"/>
  <c r="W308" i="2"/>
  <c r="U304" i="2"/>
  <c r="C302" i="2"/>
  <c r="S300" i="2"/>
  <c r="W293" i="2"/>
  <c r="U282" i="2"/>
  <c r="S278" i="2"/>
  <c r="S274" i="2"/>
  <c r="C272" i="2"/>
  <c r="C258" i="2"/>
  <c r="S256" i="2"/>
  <c r="C254" i="2"/>
  <c r="S252" i="2"/>
  <c r="C247" i="2"/>
  <c r="S245" i="2"/>
  <c r="U238" i="2"/>
  <c r="U234" i="2"/>
  <c r="C232" i="2"/>
  <c r="U216" i="2"/>
  <c r="W205" i="2"/>
  <c r="S201" i="2"/>
  <c r="S197" i="2"/>
  <c r="W194" i="2"/>
  <c r="W190" i="2"/>
  <c r="C188" i="2"/>
  <c r="S186" i="2"/>
  <c r="S368" i="2"/>
  <c r="C367" i="2"/>
  <c r="S365" i="2"/>
  <c r="S340" i="2"/>
  <c r="C338" i="2"/>
  <c r="W333" i="2"/>
  <c r="C331" i="2"/>
  <c r="W326" i="2"/>
  <c r="U322" i="2"/>
  <c r="S318" i="2"/>
  <c r="S315" i="2"/>
  <c r="W312" i="2"/>
  <c r="U308" i="2"/>
  <c r="C306" i="2"/>
  <c r="S304" i="2"/>
  <c r="U293" i="2"/>
  <c r="C291" i="2"/>
  <c r="S289" i="2"/>
  <c r="W286" i="2"/>
  <c r="C284" i="2"/>
  <c r="W267" i="2"/>
  <c r="U263" i="2"/>
  <c r="U260" i="2"/>
  <c r="W249" i="2"/>
  <c r="W242" i="2"/>
  <c r="C240" i="2"/>
  <c r="S238" i="2"/>
  <c r="C236" i="2"/>
  <c r="S234" i="2"/>
  <c r="W227" i="2"/>
  <c r="C225" i="2"/>
  <c r="S223" i="2"/>
  <c r="W220" i="2"/>
  <c r="S216" i="2"/>
  <c r="W213" i="2"/>
  <c r="W209" i="2"/>
  <c r="U205" i="2"/>
  <c r="C203" i="2"/>
  <c r="W351" i="2"/>
  <c r="U347" i="2"/>
  <c r="C345" i="2"/>
  <c r="U358" i="2"/>
  <c r="W355" i="2"/>
  <c r="U351" i="2"/>
  <c r="S347" i="2"/>
  <c r="U333" i="2"/>
  <c r="U326" i="2"/>
  <c r="C324" i="2"/>
  <c r="S322" i="2"/>
  <c r="C317" i="2"/>
  <c r="U312" i="2"/>
  <c r="S308" i="2"/>
  <c r="W301" i="2"/>
  <c r="C295" i="2"/>
  <c r="S293" i="2"/>
  <c r="U286" i="2"/>
  <c r="W279" i="2"/>
  <c r="W275" i="2"/>
  <c r="W271" i="2"/>
  <c r="U267" i="2"/>
  <c r="C265" i="2"/>
  <c r="S263" i="2"/>
  <c r="S260" i="2"/>
  <c r="W257" i="2"/>
  <c r="W253" i="2"/>
  <c r="U249" i="2"/>
  <c r="W246" i="2"/>
  <c r="U242" i="2"/>
  <c r="W231" i="2"/>
  <c r="U227" i="2"/>
  <c r="U220" i="2"/>
  <c r="U213" i="2"/>
  <c r="U209" i="2"/>
  <c r="S205" i="2"/>
  <c r="W198" i="2"/>
  <c r="S194" i="2"/>
  <c r="S190" i="2"/>
  <c r="W187" i="2"/>
  <c r="C181" i="2"/>
  <c r="S179" i="2"/>
  <c r="C177" i="2"/>
  <c r="C360" i="2"/>
  <c r="W290" i="2"/>
  <c r="C288" i="2"/>
  <c r="S286" i="2"/>
  <c r="W283" i="2"/>
  <c r="U279" i="2"/>
  <c r="U275" i="2"/>
  <c r="S267" i="2"/>
  <c r="U257" i="2"/>
  <c r="U253" i="2"/>
  <c r="C251" i="2"/>
  <c r="S249" i="2"/>
  <c r="U246" i="2"/>
  <c r="C244" i="2"/>
  <c r="S242" i="2"/>
  <c r="W239" i="2"/>
  <c r="W235" i="2"/>
  <c r="C229" i="2"/>
  <c r="W224" i="2"/>
  <c r="S220" i="2"/>
  <c r="S213" i="2"/>
  <c r="S209" i="2"/>
  <c r="U198" i="2"/>
  <c r="U187" i="2"/>
  <c r="C185" i="2"/>
  <c r="U202" i="2"/>
  <c r="C200" i="2"/>
  <c r="S198" i="2"/>
  <c r="C196" i="2"/>
  <c r="W191" i="2"/>
  <c r="S187" i="2"/>
  <c r="W180" i="2"/>
  <c r="W366" i="2"/>
  <c r="U355" i="2"/>
  <c r="U344" i="2"/>
  <c r="U337" i="2"/>
  <c r="W316" i="2"/>
  <c r="C314" i="2"/>
  <c r="S271" i="2"/>
  <c r="C222" i="2"/>
  <c r="W217" i="2"/>
  <c r="S369" i="2"/>
  <c r="W348" i="2"/>
  <c r="S344" i="2"/>
  <c r="W341" i="2"/>
  <c r="C215" i="2"/>
  <c r="U191" i="2"/>
  <c r="C189" i="2"/>
  <c r="W184" i="2"/>
  <c r="U180" i="2"/>
  <c r="C335" i="2"/>
  <c r="S312" i="2"/>
  <c r="U301" i="2"/>
  <c r="S231" i="2"/>
  <c r="W363" i="2"/>
  <c r="U359" i="2"/>
  <c r="C357" i="2"/>
  <c r="U352" i="2"/>
  <c r="U341" i="2"/>
  <c r="U334" i="2"/>
  <c r="W327" i="2"/>
  <c r="S323" i="2"/>
  <c r="S316" i="2"/>
  <c r="U309" i="2"/>
  <c r="W298" i="2"/>
  <c r="S294" i="2"/>
  <c r="U287" i="2"/>
  <c r="C226" i="2"/>
  <c r="W221" i="2"/>
  <c r="S217" i="2"/>
  <c r="U206" i="2"/>
  <c r="C204" i="2"/>
  <c r="W199" i="2"/>
  <c r="W195" i="2"/>
  <c r="C193" i="2"/>
  <c r="S191" i="2"/>
  <c r="U184" i="2"/>
  <c r="C182" i="2"/>
  <c r="S180" i="2"/>
  <c r="C178" i="2"/>
  <c r="U363" i="2"/>
  <c r="S359" i="2"/>
  <c r="S352" i="2"/>
  <c r="W345" i="2"/>
  <c r="C343" i="2"/>
  <c r="S334" i="2"/>
  <c r="W331" i="2"/>
  <c r="C311" i="2"/>
  <c r="U298" i="2"/>
  <c r="W291" i="2"/>
  <c r="S287" i="2"/>
  <c r="W284" i="2"/>
  <c r="U280" i="2"/>
  <c r="U276" i="2"/>
  <c r="U272" i="2"/>
  <c r="C270" i="2"/>
  <c r="S268" i="2"/>
  <c r="U258" i="2"/>
  <c r="U254" i="2"/>
  <c r="S250" i="2"/>
  <c r="S243" i="2"/>
  <c r="W236" i="2"/>
  <c r="U232" i="2"/>
  <c r="S228" i="2"/>
  <c r="C212" i="2"/>
  <c r="S210" i="2"/>
  <c r="C208" i="2"/>
  <c r="U199" i="2"/>
  <c r="S184" i="2"/>
  <c r="S351" i="2"/>
  <c r="W319" i="2"/>
  <c r="W305" i="2"/>
  <c r="U369" i="2"/>
  <c r="U330" i="2"/>
  <c r="C328" i="2"/>
  <c r="S297" i="2"/>
  <c r="W370" i="2"/>
  <c r="C350" i="2"/>
  <c r="W338" i="2"/>
  <c r="U370" i="2"/>
  <c r="S363" i="2"/>
  <c r="C361" i="2"/>
  <c r="U345" i="2"/>
  <c r="U338" i="2"/>
  <c r="U331" i="2"/>
  <c r="C329" i="2"/>
  <c r="S327" i="2"/>
  <c r="W324" i="2"/>
  <c r="U320" i="2"/>
  <c r="C315" i="2"/>
  <c r="S313" i="2"/>
  <c r="U302" i="2"/>
  <c r="C300" i="2"/>
  <c r="S298" i="2"/>
  <c r="U291" i="2"/>
  <c r="C289" i="2"/>
  <c r="U284" i="2"/>
  <c r="C282" i="2"/>
  <c r="S280" i="2"/>
  <c r="S276" i="2"/>
  <c r="S272" i="2"/>
  <c r="W265" i="2"/>
  <c r="C263" i="2"/>
  <c r="S258" i="2"/>
  <c r="C256" i="2"/>
  <c r="S254" i="2"/>
  <c r="U247" i="2"/>
  <c r="W240" i="2"/>
  <c r="U236" i="2"/>
  <c r="S232" i="2"/>
  <c r="W225" i="2"/>
  <c r="C223" i="2"/>
  <c r="S221" i="2"/>
  <c r="W203" i="2"/>
  <c r="U188" i="2"/>
  <c r="C186" i="2"/>
  <c r="S247" i="2"/>
  <c r="U240" i="2"/>
  <c r="U225" i="2"/>
  <c r="W218" i="2"/>
  <c r="S214" i="2"/>
  <c r="U367" i="2"/>
  <c r="W360" i="2"/>
  <c r="S356" i="2"/>
  <c r="W353" i="2"/>
  <c r="C333" i="2"/>
  <c r="C322" i="2"/>
  <c r="U317" i="2"/>
  <c r="S306" i="2"/>
  <c r="U295" i="2"/>
  <c r="W288" i="2"/>
  <c r="W262" i="2"/>
  <c r="W251" i="2"/>
  <c r="S225" i="2"/>
  <c r="U218" i="2"/>
  <c r="S203" i="2"/>
  <c r="C369" i="2"/>
  <c r="U364" i="2"/>
  <c r="S360" i="2"/>
  <c r="S353" i="2"/>
  <c r="W346" i="2"/>
  <c r="C344" i="2"/>
  <c r="W332" i="2"/>
  <c r="W321" i="2"/>
  <c r="W307" i="2"/>
  <c r="U303" i="2"/>
  <c r="C301" i="2"/>
  <c r="S299" i="2"/>
  <c r="U292" i="2"/>
  <c r="S288" i="2"/>
  <c r="S281" i="2"/>
  <c r="C279" i="2"/>
  <c r="S277" i="2"/>
  <c r="S273" i="2"/>
  <c r="S262" i="2"/>
  <c r="U259" i="2"/>
  <c r="C257" i="2"/>
  <c r="S255" i="2"/>
  <c r="C253" i="2"/>
  <c r="S251" i="2"/>
  <c r="C246" i="2"/>
  <c r="U237" i="2"/>
  <c r="S233" i="2"/>
  <c r="W226" i="2"/>
  <c r="S222" i="2"/>
  <c r="U215" i="2"/>
  <c r="W204" i="2"/>
  <c r="C202" i="2"/>
  <c r="S200" i="2"/>
  <c r="C198" i="2"/>
  <c r="S196" i="2"/>
  <c r="W193" i="2"/>
  <c r="W189" i="2"/>
  <c r="C187" i="2"/>
  <c r="S185" i="2"/>
  <c r="W182" i="2"/>
  <c r="W178" i="2"/>
  <c r="U357" i="2"/>
  <c r="W350" i="2"/>
  <c r="C341" i="2"/>
  <c r="S339" i="2"/>
  <c r="U325" i="2"/>
  <c r="C305" i="2"/>
  <c r="W296" i="2"/>
  <c r="S292" i="2"/>
  <c r="W270" i="2"/>
  <c r="C239" i="2"/>
  <c r="S237" i="2"/>
  <c r="W230" i="2"/>
  <c r="U226" i="2"/>
  <c r="W219" i="2"/>
  <c r="C217" i="2"/>
  <c r="S215" i="2"/>
  <c r="W212" i="2"/>
  <c r="W208" i="2"/>
  <c r="U189" i="2"/>
  <c r="A21" i="1"/>
  <c r="B19" i="9"/>
  <c r="E285" i="2"/>
  <c r="D14" i="5" s="1"/>
  <c r="Q234" i="2"/>
  <c r="C215" i="9" s="1"/>
  <c r="F215" i="9" s="1"/>
  <c r="Q223" i="2"/>
  <c r="C204" i="9" s="1"/>
  <c r="F204" i="9" s="1"/>
  <c r="Q195" i="2"/>
  <c r="C176" i="9" s="1"/>
  <c r="F176" i="9" s="1"/>
  <c r="Q183" i="2"/>
  <c r="C164" i="9" s="1"/>
  <c r="F164" i="9" s="1"/>
  <c r="O288" i="2"/>
  <c r="O266" i="2"/>
  <c r="Q262" i="2"/>
  <c r="C243" i="9" s="1"/>
  <c r="F243" i="9" s="1"/>
  <c r="E248" i="2"/>
  <c r="D12" i="5" s="1"/>
  <c r="Q203" i="2"/>
  <c r="C184" i="9" s="1"/>
  <c r="F184" i="9" s="1"/>
  <c r="E189" i="2"/>
  <c r="C353" i="2"/>
  <c r="C337" i="2"/>
  <c r="C320" i="2"/>
  <c r="C316" i="2"/>
  <c r="C307" i="2"/>
  <c r="C298" i="2"/>
  <c r="E356" i="2"/>
  <c r="Q247" i="2"/>
  <c r="C228" i="9" s="1"/>
  <c r="F228" i="9" s="1"/>
  <c r="E214" i="2"/>
  <c r="C323" i="2"/>
  <c r="O313" i="2"/>
  <c r="I218" i="2"/>
  <c r="D199" i="9" s="1"/>
  <c r="F199" i="9" s="1"/>
  <c r="Q316" i="2"/>
  <c r="C297" i="9" s="1"/>
  <c r="F297" i="9" s="1"/>
  <c r="K369" i="2"/>
  <c r="K353" i="2"/>
  <c r="W340" i="2"/>
  <c r="W336" i="2"/>
  <c r="W330" i="2"/>
  <c r="W320" i="2"/>
  <c r="W313" i="2"/>
  <c r="W306" i="2"/>
  <c r="W302" i="2"/>
  <c r="W292" i="2"/>
  <c r="K289" i="2"/>
  <c r="W273" i="2"/>
  <c r="U362" i="2"/>
  <c r="U353" i="2"/>
  <c r="I348" i="2"/>
  <c r="D329" i="9" s="1"/>
  <c r="F329" i="9" s="1"/>
  <c r="I343" i="2"/>
  <c r="D324" i="9" s="1"/>
  <c r="I337" i="2"/>
  <c r="D318" i="9" s="1"/>
  <c r="F318" i="9" s="1"/>
  <c r="U328" i="2"/>
  <c r="I318" i="2"/>
  <c r="D299" i="9" s="1"/>
  <c r="F299" i="9" s="1"/>
  <c r="U313" i="2"/>
  <c r="I309" i="2"/>
  <c r="D290" i="9" s="1"/>
  <c r="F290" i="9" s="1"/>
  <c r="I302" i="2"/>
  <c r="D283" i="9" s="1"/>
  <c r="F283" i="9" s="1"/>
  <c r="I297" i="2"/>
  <c r="D278" i="9" s="1"/>
  <c r="F278" i="9" s="1"/>
  <c r="U289" i="2"/>
  <c r="I285" i="2"/>
  <c r="D266" i="9" s="1"/>
  <c r="F266" i="9" s="1"/>
  <c r="U281" i="2"/>
  <c r="U277" i="2"/>
  <c r="I261" i="2"/>
  <c r="D242" i="9" s="1"/>
  <c r="F242" i="9" s="1"/>
  <c r="I245" i="2"/>
  <c r="D226" i="9" s="1"/>
  <c r="F226" i="9" s="1"/>
  <c r="I240" i="2"/>
  <c r="D221" i="9" s="1"/>
  <c r="F221" i="9" s="1"/>
  <c r="I231" i="2"/>
  <c r="D212" i="9" s="1"/>
  <c r="F212" i="9" s="1"/>
  <c r="I227" i="2"/>
  <c r="D208" i="9" s="1"/>
  <c r="F208" i="9" s="1"/>
  <c r="I367" i="2"/>
  <c r="D348" i="9" s="1"/>
  <c r="F348" i="9" s="1"/>
  <c r="K364" i="2"/>
  <c r="K360" i="2"/>
  <c r="W352" i="2"/>
  <c r="K330" i="2"/>
  <c r="K326" i="2"/>
  <c r="W323" i="2"/>
  <c r="K317" i="2"/>
  <c r="W311" i="2"/>
  <c r="W281" i="2"/>
  <c r="W276" i="2"/>
  <c r="W268" i="2"/>
  <c r="I368" i="2"/>
  <c r="D349" i="9" s="1"/>
  <c r="F349" i="9" s="1"/>
  <c r="U356" i="2"/>
  <c r="C370" i="2"/>
  <c r="O367" i="2"/>
  <c r="C365" i="2"/>
  <c r="C363" i="2"/>
  <c r="O356" i="2"/>
  <c r="C354" i="2"/>
  <c r="C347" i="2"/>
  <c r="O344" i="2"/>
  <c r="C339" i="2"/>
  <c r="C336" i="2"/>
  <c r="O332" i="2"/>
  <c r="C330" i="2"/>
  <c r="O327" i="2"/>
  <c r="C325" i="2"/>
  <c r="O321" i="2"/>
  <c r="O318" i="2"/>
  <c r="O315" i="2"/>
  <c r="C313" i="2"/>
  <c r="C308" i="2"/>
  <c r="C292" i="2"/>
  <c r="O282" i="2"/>
  <c r="C280" i="2"/>
  <c r="O271" i="2"/>
  <c r="C269" i="2"/>
  <c r="C266" i="2"/>
  <c r="O263" i="2"/>
  <c r="O260" i="2"/>
  <c r="C255" i="2"/>
  <c r="C252" i="2"/>
  <c r="O248" i="2"/>
  <c r="C245" i="2"/>
  <c r="O241" i="2"/>
  <c r="C238" i="2"/>
  <c r="C234" i="2"/>
  <c r="C230" i="2"/>
  <c r="O225" i="2"/>
  <c r="O221" i="2"/>
  <c r="C218" i="2"/>
  <c r="O214" i="2"/>
  <c r="C211" i="2"/>
  <c r="O206" i="2"/>
  <c r="O202" i="2"/>
  <c r="C199" i="2"/>
  <c r="O195" i="2"/>
  <c r="C192" i="2"/>
  <c r="O188" i="2"/>
  <c r="O185" i="2"/>
  <c r="P10" i="5" s="1"/>
  <c r="Q10" i="5" s="1"/>
  <c r="W260" i="2"/>
  <c r="K259" i="2"/>
  <c r="W280" i="2"/>
  <c r="I341" i="2"/>
  <c r="D322" i="9" s="1"/>
  <c r="F322" i="9" s="1"/>
  <c r="W362" i="2"/>
  <c r="W358" i="2"/>
  <c r="W356" i="2"/>
  <c r="W349" i="2"/>
  <c r="W347" i="2"/>
  <c r="K346" i="2"/>
  <c r="W342" i="2"/>
  <c r="K341" i="2"/>
  <c r="K336" i="2"/>
  <c r="W309" i="2"/>
  <c r="W300" i="2"/>
  <c r="W297" i="2"/>
  <c r="K295" i="2"/>
  <c r="K263" i="2"/>
  <c r="I358" i="2"/>
  <c r="D339" i="9" s="1"/>
  <c r="F339" i="9" s="1"/>
  <c r="U348" i="2"/>
  <c r="I333" i="2"/>
  <c r="D314" i="9" s="1"/>
  <c r="F314" i="9" s="1"/>
  <c r="U323" i="2"/>
  <c r="I306" i="2"/>
  <c r="D287" i="9" s="1"/>
  <c r="F287" i="9" s="1"/>
  <c r="I293" i="2"/>
  <c r="D274" i="9" s="1"/>
  <c r="F274" i="9" s="1"/>
  <c r="U273" i="2"/>
  <c r="U269" i="2"/>
  <c r="U265" i="2"/>
  <c r="U256" i="2"/>
  <c r="I251" i="2"/>
  <c r="D232" i="9" s="1"/>
  <c r="U235" i="2"/>
  <c r="U223" i="2"/>
  <c r="I217" i="2"/>
  <c r="D198" i="9" s="1"/>
  <c r="F198" i="9" s="1"/>
  <c r="U204" i="2"/>
  <c r="U86" i="2"/>
  <c r="S86" i="2"/>
  <c r="C88" i="2"/>
  <c r="C92" i="2"/>
  <c r="W84" i="2"/>
  <c r="W93" i="2"/>
  <c r="W89" i="2"/>
  <c r="C83" i="2"/>
  <c r="O88" i="2"/>
  <c r="U93" i="2"/>
  <c r="O93" i="2"/>
  <c r="W86" i="2"/>
  <c r="W78" i="2"/>
  <c r="M14" i="2"/>
  <c r="W95" i="2"/>
  <c r="O90" i="2"/>
  <c r="O82" i="2"/>
  <c r="U95" i="2"/>
  <c r="U91" i="2"/>
  <c r="S95" i="2"/>
  <c r="S91" i="2"/>
  <c r="C85" i="2"/>
  <c r="C77" i="2"/>
  <c r="O16" i="2"/>
  <c r="U84" i="2"/>
  <c r="U80" i="2"/>
  <c r="C94" i="2"/>
  <c r="S88" i="2"/>
  <c r="S80" i="2"/>
  <c r="O95" i="2"/>
  <c r="S93" i="2"/>
  <c r="W91" i="2"/>
  <c r="C90" i="2"/>
  <c r="O84" i="2"/>
  <c r="S82" i="2"/>
  <c r="W80" i="2"/>
  <c r="C79" i="2"/>
  <c r="O73" i="2"/>
  <c r="S71" i="2"/>
  <c r="W69" i="2"/>
  <c r="C68" i="2"/>
  <c r="C46" i="2"/>
  <c r="W94" i="2"/>
  <c r="C93" i="2"/>
  <c r="C91" i="2"/>
  <c r="U94" i="2"/>
  <c r="S94" i="2"/>
  <c r="W92" i="2"/>
  <c r="U92" i="2"/>
  <c r="W90" i="2"/>
  <c r="U90" i="2"/>
  <c r="O91" i="2"/>
  <c r="C95" i="2"/>
  <c r="O94" i="2"/>
  <c r="S92" i="2"/>
  <c r="O92" i="2"/>
  <c r="S90" i="2"/>
  <c r="U88" i="2"/>
  <c r="U77" i="2"/>
  <c r="O86" i="2"/>
  <c r="S84" i="2"/>
  <c r="W82" i="2"/>
  <c r="C81" i="2"/>
  <c r="U82" i="2"/>
  <c r="U71" i="2"/>
  <c r="M64" i="2"/>
  <c r="C89" i="2"/>
  <c r="S89" i="2"/>
  <c r="O89" i="2"/>
  <c r="U89" i="2"/>
  <c r="W88" i="2"/>
  <c r="O87" i="2"/>
  <c r="W87" i="2"/>
  <c r="U87" i="2"/>
  <c r="S87" i="2"/>
  <c r="C87" i="2"/>
  <c r="I94" i="2"/>
  <c r="D75" i="9" s="1"/>
  <c r="M92" i="2"/>
  <c r="Q90" i="2"/>
  <c r="C71" i="9" s="1"/>
  <c r="E85" i="2"/>
  <c r="I83" i="2"/>
  <c r="D64" i="9" s="1"/>
  <c r="M81" i="2"/>
  <c r="Q79" i="2"/>
  <c r="C60" i="9" s="1"/>
  <c r="G94" i="2"/>
  <c r="K92" i="2"/>
  <c r="G83" i="2"/>
  <c r="K81" i="2"/>
  <c r="E94" i="2"/>
  <c r="M90" i="2"/>
  <c r="E83" i="2"/>
  <c r="K90" i="2"/>
  <c r="Q86" i="2"/>
  <c r="C67" i="9" s="1"/>
  <c r="Q95" i="2"/>
  <c r="C76" i="9" s="1"/>
  <c r="M86" i="2"/>
  <c r="I77" i="2"/>
  <c r="D58" i="9" s="1"/>
  <c r="I86" i="2"/>
  <c r="D67" i="9" s="1"/>
  <c r="E92" i="2"/>
  <c r="Q82" i="2"/>
  <c r="C63" i="9" s="1"/>
  <c r="G86" i="2"/>
  <c r="I95" i="2"/>
  <c r="D76" i="9" s="1"/>
  <c r="M93" i="2"/>
  <c r="Q91" i="2"/>
  <c r="C72" i="9" s="1"/>
  <c r="E86" i="2"/>
  <c r="I84" i="2"/>
  <c r="D65" i="9" s="1"/>
  <c r="M88" i="2"/>
  <c r="G90" i="2"/>
  <c r="I88" i="2"/>
  <c r="D69" i="9" s="1"/>
  <c r="E79" i="2"/>
  <c r="Q73" i="2"/>
  <c r="C54" i="9" s="1"/>
  <c r="E68" i="2"/>
  <c r="K86" i="2"/>
  <c r="K75" i="2"/>
  <c r="Q93" i="2"/>
  <c r="C74" i="9" s="1"/>
  <c r="E77" i="2"/>
  <c r="M73" i="2"/>
  <c r="K95" i="2"/>
  <c r="K84" i="2"/>
  <c r="G75" i="2"/>
  <c r="K73" i="2"/>
  <c r="G95" i="2"/>
  <c r="K93" i="2"/>
  <c r="C86" i="2"/>
  <c r="G84" i="2"/>
  <c r="I92" i="2"/>
  <c r="D73" i="9" s="1"/>
  <c r="Q88" i="2"/>
  <c r="C69" i="9" s="1"/>
  <c r="I81" i="2"/>
  <c r="D62" i="9" s="1"/>
  <c r="M91" i="2"/>
  <c r="E93" i="2"/>
  <c r="M89" i="2"/>
  <c r="Q84" i="2"/>
  <c r="C65" i="9" s="1"/>
  <c r="M75" i="2"/>
  <c r="G88" i="2"/>
  <c r="M95" i="2"/>
  <c r="E88" i="2"/>
  <c r="I93" i="2"/>
  <c r="D74" i="9" s="1"/>
  <c r="Q89" i="2"/>
  <c r="C70" i="9" s="1"/>
  <c r="E84" i="2"/>
  <c r="K91" i="2"/>
  <c r="I91" i="2"/>
  <c r="D72" i="9" s="1"/>
  <c r="Q87" i="2"/>
  <c r="C68" i="9" s="1"/>
  <c r="G91" i="2"/>
  <c r="S85" i="2"/>
  <c r="G92" i="2"/>
  <c r="G81" i="2"/>
  <c r="I90" i="2"/>
  <c r="D71" i="9" s="1"/>
  <c r="E81" i="2"/>
  <c r="K88" i="2"/>
  <c r="E90" i="2"/>
  <c r="G77" i="2"/>
  <c r="M84" i="2"/>
  <c r="I75" i="2"/>
  <c r="D56" i="9" s="1"/>
  <c r="E95" i="2"/>
  <c r="G93" i="2"/>
  <c r="W85" i="2"/>
  <c r="C84" i="2"/>
  <c r="U85" i="2"/>
  <c r="K89" i="2"/>
  <c r="W83" i="2"/>
  <c r="M87" i="2"/>
  <c r="S83" i="2"/>
  <c r="Q94" i="2"/>
  <c r="C75" i="9" s="1"/>
  <c r="E89" i="2"/>
  <c r="I87" i="2"/>
  <c r="D68" i="9" s="1"/>
  <c r="M85" i="2"/>
  <c r="Q83" i="2"/>
  <c r="C64" i="9" s="1"/>
  <c r="U83" i="2"/>
  <c r="G89" i="2"/>
  <c r="G87" i="2"/>
  <c r="K85" i="2"/>
  <c r="O83" i="2"/>
  <c r="O85" i="2"/>
  <c r="M94" i="2"/>
  <c r="Q92" i="2"/>
  <c r="C73" i="9" s="1"/>
  <c r="E87" i="2"/>
  <c r="I85" i="2"/>
  <c r="D66" i="9" s="1"/>
  <c r="M83" i="2"/>
  <c r="E91" i="2"/>
  <c r="I89" i="2"/>
  <c r="D70" i="9" s="1"/>
  <c r="Q85" i="2"/>
  <c r="C66" i="9" s="1"/>
  <c r="K87" i="2"/>
  <c r="K94" i="2"/>
  <c r="G85" i="2"/>
  <c r="K83" i="2"/>
  <c r="M82" i="2"/>
  <c r="O80" i="2"/>
  <c r="M80" i="2"/>
  <c r="K80" i="2"/>
  <c r="E82" i="2"/>
  <c r="M78" i="2"/>
  <c r="G80" i="2"/>
  <c r="W81" i="2"/>
  <c r="Q81" i="2"/>
  <c r="C62" i="9" s="1"/>
  <c r="Q80" i="2"/>
  <c r="C61" i="9" s="1"/>
  <c r="K82" i="2"/>
  <c r="I82" i="2"/>
  <c r="D63" i="9" s="1"/>
  <c r="G82" i="2"/>
  <c r="I80" i="2"/>
  <c r="D61" i="9" s="1"/>
  <c r="C82" i="2"/>
  <c r="K78" i="2"/>
  <c r="E80" i="2"/>
  <c r="C80" i="2"/>
  <c r="U81" i="2"/>
  <c r="S81" i="2"/>
  <c r="O81" i="2"/>
  <c r="O79" i="2"/>
  <c r="S77" i="2"/>
  <c r="M79" i="2"/>
  <c r="Q77" i="2"/>
  <c r="C58" i="9" s="1"/>
  <c r="U75" i="2"/>
  <c r="I78" i="2"/>
  <c r="D59" i="9" s="1"/>
  <c r="K79" i="2"/>
  <c r="O77" i="2"/>
  <c r="S75" i="2"/>
  <c r="W73" i="2"/>
  <c r="C72" i="2"/>
  <c r="G70" i="2"/>
  <c r="K68" i="2"/>
  <c r="I79" i="2"/>
  <c r="D60" i="9" s="1"/>
  <c r="M77" i="2"/>
  <c r="Q75" i="2"/>
  <c r="C56" i="9" s="1"/>
  <c r="U73" i="2"/>
  <c r="E70" i="2"/>
  <c r="I68" i="2"/>
  <c r="D49" i="9" s="1"/>
  <c r="G79" i="2"/>
  <c r="K77" i="2"/>
  <c r="O75" i="2"/>
  <c r="S73" i="2"/>
  <c r="W71" i="2"/>
  <c r="C70" i="2"/>
  <c r="G68" i="2"/>
  <c r="O64" i="2"/>
  <c r="O53" i="2"/>
  <c r="U78" i="2"/>
  <c r="S78" i="2"/>
  <c r="Q78" i="2"/>
  <c r="C59" i="9" s="1"/>
  <c r="O78" i="2"/>
  <c r="G78" i="2"/>
  <c r="E78" i="2"/>
  <c r="W79" i="2"/>
  <c r="C78" i="2"/>
  <c r="U79" i="2"/>
  <c r="S79" i="2"/>
  <c r="W77" i="2"/>
  <c r="C76" i="2"/>
  <c r="C75" i="2"/>
  <c r="W76" i="2"/>
  <c r="K76" i="2"/>
  <c r="I76" i="2"/>
  <c r="D57" i="9" s="1"/>
  <c r="U76" i="2"/>
  <c r="S76" i="2"/>
  <c r="O76" i="2"/>
  <c r="M76" i="2"/>
  <c r="G76" i="2"/>
  <c r="E76" i="2"/>
  <c r="I74" i="2"/>
  <c r="D55" i="9" s="1"/>
  <c r="Q76" i="2"/>
  <c r="C57" i="9" s="1"/>
  <c r="E74" i="2"/>
  <c r="W75" i="2"/>
  <c r="C74" i="2"/>
  <c r="E75" i="2"/>
  <c r="W74" i="2"/>
  <c r="U74" i="2"/>
  <c r="S74" i="2"/>
  <c r="Q74" i="2"/>
  <c r="C55" i="9" s="1"/>
  <c r="O74" i="2"/>
  <c r="M74" i="2"/>
  <c r="K74" i="2"/>
  <c r="G74" i="2"/>
  <c r="E72" i="2"/>
  <c r="I70" i="2"/>
  <c r="D51" i="9" s="1"/>
  <c r="M68" i="2"/>
  <c r="I73" i="2"/>
  <c r="D54" i="9" s="1"/>
  <c r="E73" i="2"/>
  <c r="C73" i="2"/>
  <c r="G73" i="2"/>
  <c r="I72" i="2"/>
  <c r="D53" i="9" s="1"/>
  <c r="M70" i="2"/>
  <c r="Q68" i="2"/>
  <c r="C49" i="9" s="1"/>
  <c r="G72" i="2"/>
  <c r="K70" i="2"/>
  <c r="O68" i="2"/>
  <c r="Q71" i="2"/>
  <c r="C52" i="9" s="1"/>
  <c r="U69" i="2"/>
  <c r="O71" i="2"/>
  <c r="S69" i="2"/>
  <c r="W67" i="2"/>
  <c r="K71" i="2"/>
  <c r="I71" i="2"/>
  <c r="D52" i="9" s="1"/>
  <c r="W72" i="2"/>
  <c r="U72" i="2"/>
  <c r="S72" i="2"/>
  <c r="W70" i="2"/>
  <c r="Q72" i="2"/>
  <c r="C53" i="9" s="1"/>
  <c r="U70" i="2"/>
  <c r="M71" i="2"/>
  <c r="G71" i="2"/>
  <c r="E71" i="2"/>
  <c r="C71" i="2"/>
  <c r="O72" i="2"/>
  <c r="S70" i="2"/>
  <c r="M72" i="2"/>
  <c r="Q70" i="2"/>
  <c r="C51" i="9" s="1"/>
  <c r="K72" i="2"/>
  <c r="O70" i="2"/>
  <c r="Q69" i="2"/>
  <c r="C50" i="9" s="1"/>
  <c r="O69" i="2"/>
  <c r="M69" i="2"/>
  <c r="K69" i="2"/>
  <c r="I69" i="2"/>
  <c r="D50" i="9" s="1"/>
  <c r="G69" i="2"/>
  <c r="E69" i="2"/>
  <c r="C69" i="2"/>
  <c r="W68" i="2"/>
  <c r="U68" i="2"/>
  <c r="S68" i="2"/>
  <c r="E63" i="2"/>
  <c r="Q67" i="2"/>
  <c r="C48" i="9" s="1"/>
  <c r="O67" i="2"/>
  <c r="U67" i="2"/>
  <c r="S67" i="2"/>
  <c r="K67" i="2"/>
  <c r="I67" i="2"/>
  <c r="D48" i="9" s="1"/>
  <c r="G67" i="2"/>
  <c r="E67" i="2"/>
  <c r="K47" i="2"/>
  <c r="M67" i="2"/>
  <c r="C67" i="2"/>
  <c r="W65" i="2"/>
  <c r="U65" i="2"/>
  <c r="S48" i="2"/>
  <c r="G63" i="2"/>
  <c r="G52" i="2"/>
  <c r="K64" i="2"/>
  <c r="S65" i="2"/>
  <c r="C63" i="2"/>
  <c r="E65" i="2"/>
  <c r="C65" i="2"/>
  <c r="W62" i="2"/>
  <c r="K66" i="2"/>
  <c r="W64" i="2"/>
  <c r="O63" i="2"/>
  <c r="S64" i="2"/>
  <c r="K63" i="2"/>
  <c r="C62" i="2"/>
  <c r="Q65" i="2"/>
  <c r="C46" i="9" s="1"/>
  <c r="I64" i="2"/>
  <c r="D45" i="9" s="1"/>
  <c r="O66" i="2"/>
  <c r="Q63" i="2"/>
  <c r="C44" i="9" s="1"/>
  <c r="I62" i="2"/>
  <c r="D43" i="9" s="1"/>
  <c r="Q64" i="2"/>
  <c r="C45" i="9" s="1"/>
  <c r="I63" i="2"/>
  <c r="D44" i="9" s="1"/>
  <c r="I52" i="2"/>
  <c r="D33" i="9" s="1"/>
  <c r="U48" i="2"/>
  <c r="M47" i="2"/>
  <c r="E46" i="2"/>
  <c r="O65" i="2"/>
  <c r="G64" i="2"/>
  <c r="W66" i="2"/>
  <c r="M65" i="2"/>
  <c r="E64" i="2"/>
  <c r="U66" i="2"/>
  <c r="K65" i="2"/>
  <c r="C64" i="2"/>
  <c r="S66" i="2"/>
  <c r="I65" i="2"/>
  <c r="D46" i="9" s="1"/>
  <c r="Q66" i="2"/>
  <c r="C47" i="9" s="1"/>
  <c r="G65" i="2"/>
  <c r="M66" i="2"/>
  <c r="U62" i="2"/>
  <c r="G66" i="2"/>
  <c r="Q62" i="2"/>
  <c r="C43" i="9" s="1"/>
  <c r="O62" i="2"/>
  <c r="E66" i="2"/>
  <c r="W63" i="2"/>
  <c r="C66" i="2"/>
  <c r="U63" i="2"/>
  <c r="M62" i="2"/>
  <c r="I66" i="2"/>
  <c r="D47" i="9" s="1"/>
  <c r="S62" i="2"/>
  <c r="S63" i="2"/>
  <c r="K62" i="2"/>
  <c r="G62" i="2"/>
  <c r="U64" i="2"/>
  <c r="M63" i="2"/>
  <c r="E62" i="2"/>
  <c r="F280" i="9"/>
  <c r="S59" i="2"/>
  <c r="K58" i="2"/>
  <c r="C57" i="2"/>
  <c r="W54" i="2"/>
  <c r="F260" i="9"/>
  <c r="F178" i="9"/>
  <c r="Q58" i="2"/>
  <c r="C39" i="9" s="1"/>
  <c r="I57" i="2"/>
  <c r="D38" i="9" s="1"/>
  <c r="U53" i="2"/>
  <c r="M52" i="2"/>
  <c r="E51" i="2"/>
  <c r="Q47" i="2"/>
  <c r="C28" i="9" s="1"/>
  <c r="I46" i="2"/>
  <c r="D27" i="9" s="1"/>
  <c r="U59" i="2"/>
  <c r="M58" i="2"/>
  <c r="E57" i="2"/>
  <c r="Q53" i="2"/>
  <c r="C34" i="9" s="1"/>
  <c r="F149" i="9"/>
  <c r="F78" i="9"/>
  <c r="S61" i="2"/>
  <c r="K60" i="2"/>
  <c r="F171" i="9"/>
  <c r="Q61" i="2"/>
  <c r="C42" i="9" s="1"/>
  <c r="I60" i="2"/>
  <c r="D41" i="9" s="1"/>
  <c r="W59" i="2"/>
  <c r="O58" i="2"/>
  <c r="G57" i="2"/>
  <c r="S53" i="2"/>
  <c r="K52" i="2"/>
  <c r="C51" i="2"/>
  <c r="W48" i="2"/>
  <c r="O47" i="2"/>
  <c r="G46" i="2"/>
  <c r="U61" i="2"/>
  <c r="M60" i="2"/>
  <c r="O61" i="2"/>
  <c r="G60" i="2"/>
  <c r="W60" i="2"/>
  <c r="F346" i="9"/>
  <c r="F166" i="9"/>
  <c r="U60" i="2"/>
  <c r="S60" i="2"/>
  <c r="Q60" i="2"/>
  <c r="C41" i="9" s="1"/>
  <c r="W61" i="2"/>
  <c r="O60" i="2"/>
  <c r="M61" i="2"/>
  <c r="E60" i="2"/>
  <c r="K61" i="2"/>
  <c r="C60" i="2"/>
  <c r="I61" i="2"/>
  <c r="D42" i="9" s="1"/>
  <c r="G61" i="2"/>
  <c r="E61" i="2"/>
  <c r="C61" i="2"/>
  <c r="Q59" i="2"/>
  <c r="C40" i="9" s="1"/>
  <c r="O59" i="2"/>
  <c r="M59" i="2"/>
  <c r="K59" i="2"/>
  <c r="G59" i="2"/>
  <c r="E59" i="2"/>
  <c r="I59" i="2"/>
  <c r="D40" i="9" s="1"/>
  <c r="C59" i="2"/>
  <c r="F303" i="9"/>
  <c r="F112" i="9"/>
  <c r="C58" i="2"/>
  <c r="S56" i="2"/>
  <c r="W57" i="2"/>
  <c r="O56" i="2"/>
  <c r="Q57" i="2"/>
  <c r="C38" i="9" s="1"/>
  <c r="I56" i="2"/>
  <c r="D37" i="9" s="1"/>
  <c r="S58" i="2"/>
  <c r="K57" i="2"/>
  <c r="C56" i="2"/>
  <c r="I58" i="2"/>
  <c r="D39" i="9" s="1"/>
  <c r="G58" i="2"/>
  <c r="E58" i="2"/>
  <c r="F259" i="9"/>
  <c r="F281" i="9"/>
  <c r="W56" i="2"/>
  <c r="U56" i="2"/>
  <c r="F324" i="9"/>
  <c r="Q56" i="2"/>
  <c r="C37" i="9" s="1"/>
  <c r="U57" i="2"/>
  <c r="M56" i="2"/>
  <c r="S57" i="2"/>
  <c r="K56" i="2"/>
  <c r="W58" i="2"/>
  <c r="O57" i="2"/>
  <c r="G56" i="2"/>
  <c r="U58" i="2"/>
  <c r="M57" i="2"/>
  <c r="E56" i="2"/>
  <c r="I16" i="2"/>
  <c r="F100" i="9"/>
  <c r="O55" i="2"/>
  <c r="G55" i="2"/>
  <c r="E55" i="2"/>
  <c r="U55" i="2"/>
  <c r="S55" i="2"/>
  <c r="K55" i="2"/>
  <c r="I55" i="2"/>
  <c r="D36" i="9" s="1"/>
  <c r="C55" i="2"/>
  <c r="W55" i="2"/>
  <c r="Q55" i="2"/>
  <c r="C36" i="9" s="1"/>
  <c r="M55" i="2"/>
  <c r="F347" i="9"/>
  <c r="F325" i="9"/>
  <c r="F156" i="9"/>
  <c r="F302" i="9"/>
  <c r="E52" i="2"/>
  <c r="S54" i="2"/>
  <c r="K53" i="2"/>
  <c r="C52" i="2"/>
  <c r="W49" i="2"/>
  <c r="M53" i="2"/>
  <c r="I53" i="2"/>
  <c r="D34" i="9" s="1"/>
  <c r="E53" i="2"/>
  <c r="S50" i="2"/>
  <c r="Q50" i="2"/>
  <c r="C31" i="9" s="1"/>
  <c r="M50" i="2"/>
  <c r="C49" i="2"/>
  <c r="Q51" i="2"/>
  <c r="C32" i="9" s="1"/>
  <c r="W52" i="2"/>
  <c r="O51" i="2"/>
  <c r="G50" i="2"/>
  <c r="U52" i="2"/>
  <c r="M51" i="2"/>
  <c r="E50" i="2"/>
  <c r="K54" i="2"/>
  <c r="O49" i="2"/>
  <c r="G54" i="2"/>
  <c r="K49" i="2"/>
  <c r="E54" i="2"/>
  <c r="I49" i="2"/>
  <c r="D30" i="9" s="1"/>
  <c r="W51" i="2"/>
  <c r="G49" i="2"/>
  <c r="U51" i="2"/>
  <c r="E49" i="2"/>
  <c r="S51" i="2"/>
  <c r="K50" i="2"/>
  <c r="I50" i="2"/>
  <c r="D31" i="9" s="1"/>
  <c r="S52" i="2"/>
  <c r="K51" i="2"/>
  <c r="C50" i="2"/>
  <c r="U54" i="2"/>
  <c r="Q54" i="2"/>
  <c r="C35" i="9" s="1"/>
  <c r="U49" i="2"/>
  <c r="O54" i="2"/>
  <c r="M54" i="2"/>
  <c r="Q52" i="2"/>
  <c r="C33" i="9" s="1"/>
  <c r="I51" i="2"/>
  <c r="D32" i="9" s="1"/>
  <c r="G53" i="2"/>
  <c r="S49" i="2"/>
  <c r="Q49" i="2"/>
  <c r="C30" i="9" s="1"/>
  <c r="F134" i="9"/>
  <c r="C53" i="2"/>
  <c r="W50" i="2"/>
  <c r="I54" i="2"/>
  <c r="D35" i="9" s="1"/>
  <c r="U50" i="2"/>
  <c r="M49" i="2"/>
  <c r="C54" i="2"/>
  <c r="O50" i="2"/>
  <c r="W53" i="2"/>
  <c r="O52" i="2"/>
  <c r="G51" i="2"/>
  <c r="C48" i="2"/>
  <c r="F237" i="9"/>
  <c r="K48" i="2"/>
  <c r="C47" i="2"/>
  <c r="I48" i="2"/>
  <c r="D29" i="9" s="1"/>
  <c r="G48" i="2"/>
  <c r="I47" i="2"/>
  <c r="D28" i="9" s="1"/>
  <c r="O48" i="2"/>
  <c r="Q48" i="2"/>
  <c r="C29" i="9" s="1"/>
  <c r="G47" i="2"/>
  <c r="W47" i="2"/>
  <c r="U47" i="2"/>
  <c r="S47" i="2"/>
  <c r="M48" i="2"/>
  <c r="E47" i="2"/>
  <c r="E48" i="2"/>
  <c r="W46" i="2"/>
  <c r="Q46" i="2"/>
  <c r="C27" i="9" s="1"/>
  <c r="U46" i="2"/>
  <c r="O46" i="2"/>
  <c r="S46" i="2"/>
  <c r="M46" i="2"/>
  <c r="K46" i="2"/>
  <c r="F193" i="9"/>
  <c r="K45" i="2"/>
  <c r="F257" i="9"/>
  <c r="F246" i="9"/>
  <c r="F235" i="9"/>
  <c r="F126" i="9"/>
  <c r="F279" i="9"/>
  <c r="F268" i="9"/>
  <c r="F148" i="9"/>
  <c r="F312" i="9"/>
  <c r="F192" i="9"/>
  <c r="F170" i="9"/>
  <c r="F334" i="9"/>
  <c r="F323" i="9"/>
  <c r="F214" i="9"/>
  <c r="F105" i="9"/>
  <c r="F83" i="9"/>
  <c r="F301" i="9"/>
  <c r="F258" i="9"/>
  <c r="F236" i="9"/>
  <c r="F122" i="9"/>
  <c r="F101" i="9"/>
  <c r="F90" i="9"/>
  <c r="F79" i="9"/>
  <c r="F144" i="9"/>
  <c r="M45" i="2"/>
  <c r="E44" i="2"/>
  <c r="I45" i="2"/>
  <c r="D26" i="9" s="1"/>
  <c r="G45" i="2"/>
  <c r="F333" i="9"/>
  <c r="F224" i="9"/>
  <c r="F213" i="9"/>
  <c r="F202" i="9"/>
  <c r="C45" i="2"/>
  <c r="F103" i="9"/>
  <c r="F92" i="9"/>
  <c r="F81" i="9"/>
  <c r="F104" i="9"/>
  <c r="F82" i="9"/>
  <c r="E45" i="2"/>
  <c r="W45" i="2"/>
  <c r="F282" i="9"/>
  <c r="F222" i="9"/>
  <c r="F200" i="9"/>
  <c r="F102" i="9"/>
  <c r="F91" i="9"/>
  <c r="F80" i="9"/>
  <c r="F345" i="9"/>
  <c r="U45" i="2"/>
  <c r="F304" i="9"/>
  <c r="F244" i="9"/>
  <c r="F135" i="9"/>
  <c r="F124" i="9"/>
  <c r="F113" i="9"/>
  <c r="S45" i="2"/>
  <c r="C43" i="2"/>
  <c r="F326" i="9"/>
  <c r="F168" i="9"/>
  <c r="F157" i="9"/>
  <c r="F146" i="9"/>
  <c r="Q45" i="2"/>
  <c r="C26" i="9" s="1"/>
  <c r="F190" i="9"/>
  <c r="F179" i="9"/>
  <c r="O45" i="2"/>
  <c r="F223" i="9"/>
  <c r="F201" i="9"/>
  <c r="F245" i="9"/>
  <c r="F234" i="9"/>
  <c r="F125" i="9"/>
  <c r="F289" i="9"/>
  <c r="F267" i="9"/>
  <c r="F147" i="9"/>
  <c r="F311" i="9"/>
  <c r="F191" i="9"/>
  <c r="F169" i="9"/>
  <c r="F296" i="9"/>
  <c r="F252" i="9"/>
  <c r="F230" i="9"/>
  <c r="F186" i="9"/>
  <c r="F142" i="9"/>
  <c r="F120" i="9"/>
  <c r="F98" i="9"/>
  <c r="O22" i="2"/>
  <c r="F332" i="9"/>
  <c r="F310" i="9"/>
  <c r="F288" i="9"/>
  <c r="F180" i="9"/>
  <c r="F158" i="9"/>
  <c r="F136" i="9"/>
  <c r="F114" i="9"/>
  <c r="F340" i="9"/>
  <c r="I44" i="2"/>
  <c r="D25" i="9" s="1"/>
  <c r="G43" i="2"/>
  <c r="E42" i="2"/>
  <c r="W42" i="2"/>
  <c r="F313" i="9"/>
  <c r="K44" i="2"/>
  <c r="I43" i="2"/>
  <c r="D24" i="9" s="1"/>
  <c r="G42" i="2"/>
  <c r="C44" i="2"/>
  <c r="F127" i="9"/>
  <c r="U39" i="2"/>
  <c r="W43" i="2"/>
  <c r="W44" i="2"/>
  <c r="S42" i="2"/>
  <c r="Q43" i="2"/>
  <c r="C24" i="9" s="1"/>
  <c r="M43" i="2"/>
  <c r="F115" i="9"/>
  <c r="F93" i="9"/>
  <c r="K43" i="2"/>
  <c r="I42" i="2"/>
  <c r="D23" i="9" s="1"/>
  <c r="U42" i="2"/>
  <c r="U43" i="2"/>
  <c r="U44" i="2"/>
  <c r="S43" i="2"/>
  <c r="Q42" i="2"/>
  <c r="C23" i="9" s="1"/>
  <c r="S44" i="2"/>
  <c r="O42" i="2"/>
  <c r="Q44" i="2"/>
  <c r="C25" i="9" s="1"/>
  <c r="O43" i="2"/>
  <c r="M42" i="2"/>
  <c r="O44" i="2"/>
  <c r="K42" i="2"/>
  <c r="F335" i="9"/>
  <c r="F291" i="9"/>
  <c r="F269" i="9"/>
  <c r="F247" i="9"/>
  <c r="F225" i="9"/>
  <c r="F203" i="9"/>
  <c r="F181" i="9"/>
  <c r="F159" i="9"/>
  <c r="F137" i="9"/>
  <c r="M44" i="2"/>
  <c r="G44" i="2"/>
  <c r="E43" i="2"/>
  <c r="C42" i="2"/>
  <c r="F292" i="9"/>
  <c r="F248" i="9"/>
  <c r="F337" i="9"/>
  <c r="F315" i="9"/>
  <c r="F316" i="9"/>
  <c r="F294" i="9"/>
  <c r="F250" i="9"/>
  <c r="F140" i="9"/>
  <c r="F118" i="9"/>
  <c r="F336" i="9"/>
  <c r="F270" i="9"/>
  <c r="F338" i="9"/>
  <c r="F272" i="9"/>
  <c r="F206" i="9"/>
  <c r="F162" i="9"/>
  <c r="F96" i="9"/>
  <c r="F317" i="9"/>
  <c r="F295" i="9"/>
  <c r="F273" i="9"/>
  <c r="F251" i="9"/>
  <c r="F229" i="9"/>
  <c r="F207" i="9"/>
  <c r="F185" i="9"/>
  <c r="F163" i="9"/>
  <c r="F141" i="9"/>
  <c r="I41" i="2"/>
  <c r="D22" i="9" s="1"/>
  <c r="E39" i="2"/>
  <c r="F341" i="9"/>
  <c r="F319" i="9"/>
  <c r="F253" i="9"/>
  <c r="F143" i="9"/>
  <c r="F121" i="9"/>
  <c r="F99" i="9"/>
  <c r="F77" i="9"/>
  <c r="F342" i="9"/>
  <c r="F320" i="9"/>
  <c r="F298" i="9"/>
  <c r="F254" i="9"/>
  <c r="F232" i="9"/>
  <c r="F210" i="9"/>
  <c r="F188" i="9"/>
  <c r="G40" i="2"/>
  <c r="F275" i="9"/>
  <c r="F231" i="9"/>
  <c r="F209" i="9"/>
  <c r="F187" i="9"/>
  <c r="F165" i="9"/>
  <c r="F276" i="9"/>
  <c r="F343" i="9"/>
  <c r="F321" i="9"/>
  <c r="F277" i="9"/>
  <c r="F255" i="9"/>
  <c r="F233" i="9"/>
  <c r="F211" i="9"/>
  <c r="F189" i="9"/>
  <c r="F167" i="9"/>
  <c r="F145" i="9"/>
  <c r="F123" i="9"/>
  <c r="F344" i="9"/>
  <c r="F300" i="9"/>
  <c r="F256" i="9"/>
  <c r="F238" i="9"/>
  <c r="F216" i="9"/>
  <c r="F194" i="9"/>
  <c r="F172" i="9"/>
  <c r="F150" i="9"/>
  <c r="F128" i="9"/>
  <c r="F106" i="9"/>
  <c r="F84" i="9"/>
  <c r="F305" i="9"/>
  <c r="F239" i="9"/>
  <c r="F217" i="9"/>
  <c r="F195" i="9"/>
  <c r="F173" i="9"/>
  <c r="F151" i="9"/>
  <c r="F129" i="9"/>
  <c r="F107" i="9"/>
  <c r="F85" i="9"/>
  <c r="F327" i="9"/>
  <c r="F261" i="9"/>
  <c r="F350" i="9"/>
  <c r="F328" i="9"/>
  <c r="F306" i="9"/>
  <c r="F284" i="9"/>
  <c r="F262" i="9"/>
  <c r="F240" i="9"/>
  <c r="F218" i="9"/>
  <c r="F196" i="9"/>
  <c r="F174" i="9"/>
  <c r="F152" i="9"/>
  <c r="F130" i="9"/>
  <c r="F108" i="9"/>
  <c r="F86" i="9"/>
  <c r="F351" i="9"/>
  <c r="F307" i="9"/>
  <c r="F285" i="9"/>
  <c r="F263" i="9"/>
  <c r="F241" i="9"/>
  <c r="F219" i="9"/>
  <c r="F197" i="9"/>
  <c r="F175" i="9"/>
  <c r="F153" i="9"/>
  <c r="F131" i="9"/>
  <c r="F109" i="9"/>
  <c r="F87" i="9"/>
  <c r="F330" i="9"/>
  <c r="F308" i="9"/>
  <c r="F286" i="9"/>
  <c r="F264" i="9"/>
  <c r="F220" i="9"/>
  <c r="F154" i="9"/>
  <c r="F132" i="9"/>
  <c r="F110" i="9"/>
  <c r="F88" i="9"/>
  <c r="F331" i="9"/>
  <c r="F309" i="9"/>
  <c r="F265" i="9"/>
  <c r="F177" i="9"/>
  <c r="F155" i="9"/>
  <c r="F133" i="9"/>
  <c r="F111" i="9"/>
  <c r="F89" i="9"/>
  <c r="F182" i="9"/>
  <c r="F160" i="9"/>
  <c r="F138" i="9"/>
  <c r="F116" i="9"/>
  <c r="F94" i="9"/>
  <c r="F293" i="9"/>
  <c r="F271" i="9"/>
  <c r="F249" i="9"/>
  <c r="F227" i="9"/>
  <c r="F205" i="9"/>
  <c r="F183" i="9"/>
  <c r="F161" i="9"/>
  <c r="F139" i="9"/>
  <c r="F117" i="9"/>
  <c r="F95" i="9"/>
  <c r="F119" i="9"/>
  <c r="F97" i="9"/>
  <c r="Q39" i="2"/>
  <c r="C20" i="9" s="1"/>
  <c r="Q40" i="2"/>
  <c r="C21" i="9" s="1"/>
  <c r="O40" i="2"/>
  <c r="O41" i="2"/>
  <c r="M40" i="2"/>
  <c r="K39" i="2"/>
  <c r="M41" i="2"/>
  <c r="K40" i="2"/>
  <c r="I39" i="2"/>
  <c r="D20" i="9" s="1"/>
  <c r="K41" i="2"/>
  <c r="I40" i="2"/>
  <c r="D21" i="9" s="1"/>
  <c r="G39" i="2"/>
  <c r="W39" i="2"/>
  <c r="W40" i="2"/>
  <c r="U40" i="2"/>
  <c r="S40" i="2"/>
  <c r="O39" i="2"/>
  <c r="M39" i="2"/>
  <c r="E41" i="2"/>
  <c r="C41" i="2"/>
  <c r="W41" i="2"/>
  <c r="S39" i="2"/>
  <c r="G41" i="2"/>
  <c r="E40" i="2"/>
  <c r="C39" i="2"/>
  <c r="C40" i="2"/>
  <c r="U41" i="2"/>
  <c r="S41" i="2"/>
  <c r="Q41" i="2"/>
  <c r="C22" i="9" s="1"/>
  <c r="F13" i="5"/>
  <c r="G13" i="5" s="1"/>
  <c r="AD12" i="5"/>
  <c r="J8" i="5"/>
  <c r="K8" i="5" s="1"/>
  <c r="AG15" i="5"/>
  <c r="N11" i="5"/>
  <c r="O11" i="5" s="1"/>
  <c r="X9" i="5"/>
  <c r="Y9" i="5" s="1"/>
  <c r="F8" i="5"/>
  <c r="G8" i="5" s="1"/>
  <c r="AD7" i="5"/>
  <c r="L11" i="5"/>
  <c r="M11" i="5" s="1"/>
  <c r="AG10" i="5"/>
  <c r="V9" i="5"/>
  <c r="W9" i="5" s="1"/>
  <c r="D8" i="5"/>
  <c r="R14" i="5"/>
  <c r="S14" i="5" s="1"/>
  <c r="AI13" i="5"/>
  <c r="N14" i="5"/>
  <c r="O14" i="5" s="1"/>
  <c r="AH13" i="5"/>
  <c r="AD10" i="5"/>
  <c r="AG13" i="5"/>
  <c r="N9" i="5"/>
  <c r="O9" i="5" s="1"/>
  <c r="AH8" i="5"/>
  <c r="AI16" i="5"/>
  <c r="L9" i="5"/>
  <c r="M9" i="5" s="1"/>
  <c r="AG8" i="5"/>
  <c r="AD16" i="5"/>
  <c r="AI14" i="5"/>
  <c r="AH10" i="5"/>
  <c r="T9" i="5"/>
  <c r="U9" i="5" s="1"/>
  <c r="AD15" i="5"/>
  <c r="F11" i="5"/>
  <c r="G11" i="5" s="1"/>
  <c r="R9" i="5"/>
  <c r="S9" i="5" s="1"/>
  <c r="P9" i="5"/>
  <c r="Q9" i="5" s="1"/>
  <c r="AI8" i="5"/>
  <c r="AH16" i="5"/>
  <c r="F14" i="5"/>
  <c r="G14" i="5" s="1"/>
  <c r="AI11" i="5"/>
  <c r="J9" i="5"/>
  <c r="K9" i="5" s="1"/>
  <c r="AG16" i="5"/>
  <c r="AD13" i="5"/>
  <c r="AH11" i="5"/>
  <c r="F9" i="5"/>
  <c r="G9" i="5" s="1"/>
  <c r="AF16" i="5"/>
  <c r="N12" i="5"/>
  <c r="O12" i="5" s="1"/>
  <c r="AG11" i="5"/>
  <c r="D9" i="5"/>
  <c r="AD8" i="5"/>
  <c r="L12" i="5"/>
  <c r="M12" i="5" s="1"/>
  <c r="AI6" i="5"/>
  <c r="AH14" i="5"/>
  <c r="F12" i="5"/>
  <c r="G12" i="5" s="1"/>
  <c r="AD11" i="5"/>
  <c r="AI9" i="5"/>
  <c r="AH6" i="5"/>
  <c r="N15" i="5"/>
  <c r="O15" i="5" s="1"/>
  <c r="AG14" i="5"/>
  <c r="AH9" i="5"/>
  <c r="AG6" i="5"/>
  <c r="AH15" i="5"/>
  <c r="AI10" i="5"/>
  <c r="D13" i="5"/>
  <c r="N10" i="5"/>
  <c r="O10" i="5" s="1"/>
  <c r="AG9" i="5"/>
  <c r="X8" i="5"/>
  <c r="Y8" i="5" s="1"/>
  <c r="L10" i="5"/>
  <c r="M10" i="5" s="1"/>
  <c r="V8" i="5"/>
  <c r="W8" i="5" s="1"/>
  <c r="F15" i="5"/>
  <c r="G15" i="5" s="1"/>
  <c r="AD14" i="5"/>
  <c r="AI12" i="5"/>
  <c r="J10" i="5"/>
  <c r="K10" i="5" s="1"/>
  <c r="T8" i="5"/>
  <c r="U8" i="5" s="1"/>
  <c r="AD6" i="5"/>
  <c r="D15" i="5"/>
  <c r="AH12" i="5"/>
  <c r="F10" i="5"/>
  <c r="G10" i="5" s="1"/>
  <c r="AD9" i="5"/>
  <c r="R8" i="5"/>
  <c r="S8" i="5" s="1"/>
  <c r="AI7" i="5"/>
  <c r="N13" i="5"/>
  <c r="O13" i="5" s="1"/>
  <c r="AG12" i="5"/>
  <c r="D10" i="5"/>
  <c r="P8" i="5"/>
  <c r="Q8" i="5" s="1"/>
  <c r="AH7" i="5"/>
  <c r="N8" i="5"/>
  <c r="O8" i="5" s="1"/>
  <c r="AG7" i="5"/>
  <c r="AI15" i="5"/>
  <c r="L8" i="5"/>
  <c r="M8" i="5" s="1"/>
  <c r="I12" i="8"/>
  <c r="I11" i="8"/>
  <c r="S7" i="2"/>
  <c r="I6" i="8"/>
  <c r="I21" i="8"/>
  <c r="I16" i="8"/>
  <c r="I17" i="8"/>
  <c r="I22" i="8"/>
  <c r="M15" i="2"/>
  <c r="O25" i="2"/>
  <c r="S10" i="2"/>
  <c r="M21" i="2"/>
  <c r="I22" i="2"/>
  <c r="K18" i="2"/>
  <c r="Q17" i="2"/>
  <c r="S14" i="2"/>
  <c r="Q7" i="2"/>
  <c r="K8" i="2"/>
  <c r="M20" i="2"/>
  <c r="I10" i="2"/>
  <c r="M24" i="2"/>
  <c r="M10" i="2"/>
  <c r="W31" i="2"/>
  <c r="I20" i="2"/>
  <c r="S16" i="2"/>
  <c r="Q16" i="2"/>
  <c r="K12" i="2"/>
  <c r="M11" i="2"/>
  <c r="I15" i="2"/>
  <c r="Q20" i="2"/>
  <c r="K6" i="2"/>
  <c r="M25" i="2"/>
  <c r="S24" i="2"/>
  <c r="M27" i="2"/>
  <c r="S6" i="2"/>
  <c r="C25" i="2"/>
  <c r="C11" i="2"/>
  <c r="K25" i="2"/>
  <c r="Q6" i="2"/>
  <c r="O24" i="2"/>
  <c r="Q25" i="2"/>
  <c r="C6" i="9" s="1"/>
  <c r="W14" i="2"/>
  <c r="W12" i="2"/>
  <c r="W10" i="2"/>
  <c r="W8" i="2"/>
  <c r="W6" i="2"/>
  <c r="K22" i="2"/>
  <c r="S22" i="2"/>
  <c r="M30" i="2"/>
  <c r="K30" i="2"/>
  <c r="O28" i="2"/>
  <c r="G24" i="2"/>
  <c r="G20" i="2"/>
  <c r="G18" i="2"/>
  <c r="G14" i="2"/>
  <c r="G12" i="2"/>
  <c r="G10" i="2"/>
  <c r="G9" i="2"/>
  <c r="G6" i="2"/>
  <c r="E22" i="2"/>
  <c r="E18" i="2"/>
  <c r="E6" i="2"/>
  <c r="M7" i="2"/>
  <c r="Q28" i="2"/>
  <c r="C9" i="9" s="1"/>
  <c r="Q21" i="2"/>
  <c r="K29" i="2"/>
  <c r="C21" i="2"/>
  <c r="C12" i="2"/>
  <c r="C10" i="2"/>
  <c r="O20" i="2"/>
  <c r="O15" i="2"/>
  <c r="S19" i="2"/>
  <c r="Q10" i="2"/>
  <c r="U36" i="2"/>
  <c r="Q9" i="2"/>
  <c r="W19" i="2"/>
  <c r="O11" i="2"/>
  <c r="I31" i="2"/>
  <c r="D12" i="9" s="1"/>
  <c r="K9" i="2"/>
  <c r="S11" i="2"/>
  <c r="W25" i="2"/>
  <c r="W21" i="2"/>
  <c r="W16" i="2"/>
  <c r="W11" i="2"/>
  <c r="W9" i="2"/>
  <c r="W7" i="2"/>
  <c r="M12" i="2"/>
  <c r="K7" i="2"/>
  <c r="Q11" i="2"/>
  <c r="Q12" i="2"/>
  <c r="S15" i="2"/>
  <c r="Q15" i="2"/>
  <c r="O21" i="2"/>
  <c r="W15" i="2"/>
  <c r="I8" i="2"/>
  <c r="K16" i="2"/>
  <c r="O6" i="2"/>
  <c r="O7" i="2"/>
  <c r="K26" i="2"/>
  <c r="K19" i="2"/>
  <c r="M36" i="2"/>
  <c r="E32" i="2"/>
  <c r="U26" i="2"/>
  <c r="O14" i="2"/>
  <c r="Q8" i="2"/>
  <c r="O8" i="2"/>
  <c r="M13" i="2"/>
  <c r="O13" i="2"/>
  <c r="K20" i="2"/>
  <c r="G23" i="2"/>
  <c r="G22" i="2"/>
  <c r="M23" i="2"/>
  <c r="M22" i="2"/>
  <c r="E34" i="2"/>
  <c r="E20" i="2"/>
  <c r="E21" i="2"/>
  <c r="E17" i="2"/>
  <c r="E16" i="2"/>
  <c r="E13" i="2"/>
  <c r="E12" i="2"/>
  <c r="E10" i="2"/>
  <c r="E11" i="2"/>
  <c r="S8" i="2"/>
  <c r="E7" i="2"/>
  <c r="G28" i="2"/>
  <c r="Q18" i="2"/>
  <c r="O12" i="2"/>
  <c r="G19" i="2"/>
  <c r="I24" i="2"/>
  <c r="D5" i="9" s="1"/>
  <c r="I23" i="2"/>
  <c r="M32" i="2"/>
  <c r="K14" i="2"/>
  <c r="K15" i="2"/>
  <c r="S30" i="2"/>
  <c r="W28" i="2"/>
  <c r="K13" i="2"/>
  <c r="U34" i="2"/>
  <c r="S23" i="2"/>
  <c r="W26" i="2"/>
  <c r="W24" i="2"/>
  <c r="W20" i="2"/>
  <c r="W18" i="2"/>
  <c r="I6" i="2"/>
  <c r="S17" i="2"/>
  <c r="M17" i="2"/>
  <c r="W35" i="2"/>
  <c r="U25" i="2"/>
  <c r="U23" i="2"/>
  <c r="U21" i="2"/>
  <c r="U19" i="2"/>
  <c r="U17" i="2"/>
  <c r="U15" i="2"/>
  <c r="U13" i="2"/>
  <c r="U11" i="2"/>
  <c r="U9" i="2"/>
  <c r="U7" i="2"/>
  <c r="U6" i="2"/>
  <c r="G15" i="2"/>
  <c r="G7" i="2"/>
  <c r="E23" i="2"/>
  <c r="E19" i="2"/>
  <c r="I14" i="2"/>
  <c r="I13" i="2"/>
  <c r="C15" i="2"/>
  <c r="C30" i="2"/>
  <c r="K21" i="2"/>
  <c r="W33" i="2"/>
  <c r="S31" i="2"/>
  <c r="D22" i="8" s="1"/>
  <c r="E35" i="2"/>
  <c r="E30" i="2"/>
  <c r="C23" i="2"/>
  <c r="C19" i="2"/>
  <c r="C17" i="2"/>
  <c r="C13" i="2"/>
  <c r="C9" i="2"/>
  <c r="C7" i="2"/>
  <c r="O17" i="2"/>
  <c r="W23" i="2"/>
  <c r="W17" i="2"/>
  <c r="W13" i="2"/>
  <c r="I25" i="2"/>
  <c r="D6" i="9" s="1"/>
  <c r="I38" i="2"/>
  <c r="D19" i="9" s="1"/>
  <c r="G37" i="2"/>
  <c r="Q19" i="2"/>
  <c r="W30" i="2"/>
  <c r="G27" i="2"/>
  <c r="W22" i="2"/>
  <c r="E26" i="2"/>
  <c r="I18" i="2"/>
  <c r="I12" i="2"/>
  <c r="I11" i="2"/>
  <c r="M18" i="2"/>
  <c r="M19" i="2"/>
  <c r="K23" i="2"/>
  <c r="K24" i="2"/>
  <c r="O23" i="2"/>
  <c r="Q22" i="2"/>
  <c r="C8" i="2"/>
  <c r="U20" i="2"/>
  <c r="U24" i="2"/>
  <c r="E36" i="2"/>
  <c r="M26" i="2"/>
  <c r="G38" i="2"/>
  <c r="K11" i="2"/>
  <c r="K10" i="2"/>
  <c r="U32" i="2"/>
  <c r="B21" i="8" s="1"/>
  <c r="U18" i="2"/>
  <c r="U14" i="2"/>
  <c r="C32" i="2"/>
  <c r="S26" i="2"/>
  <c r="G16" i="2"/>
  <c r="G17" i="2"/>
  <c r="G8" i="2"/>
  <c r="E25" i="2"/>
  <c r="E24" i="2"/>
  <c r="E14" i="2"/>
  <c r="E15" i="2"/>
  <c r="E9" i="2"/>
  <c r="E8" i="2"/>
  <c r="G11" i="2"/>
  <c r="M8" i="2"/>
  <c r="M9" i="2"/>
  <c r="U22" i="2"/>
  <c r="U16" i="2"/>
  <c r="U12" i="2"/>
  <c r="U10" i="2"/>
  <c r="U8" i="2"/>
  <c r="C24" i="2"/>
  <c r="C22" i="2"/>
  <c r="C20" i="2"/>
  <c r="C18" i="2"/>
  <c r="C16" i="2"/>
  <c r="C14" i="2"/>
  <c r="C6" i="2"/>
  <c r="G13" i="2"/>
  <c r="C35" i="2"/>
  <c r="W37" i="2"/>
  <c r="K31" i="2"/>
  <c r="U30" i="2"/>
  <c r="E27" i="2"/>
  <c r="I9" i="2"/>
  <c r="E29" i="2"/>
  <c r="I7" i="2"/>
  <c r="S34" i="2"/>
  <c r="I21" i="2"/>
  <c r="I19" i="2"/>
  <c r="O30" i="2"/>
  <c r="S25" i="2"/>
  <c r="C26" i="2"/>
  <c r="M6" i="2"/>
  <c r="Q24" i="2"/>
  <c r="C5" i="9" s="1"/>
  <c r="M16" i="2"/>
  <c r="S18" i="2"/>
  <c r="U35" i="2"/>
  <c r="G25" i="2"/>
  <c r="G21" i="2"/>
  <c r="G30" i="2"/>
  <c r="Q23" i="2"/>
  <c r="C37" i="2"/>
  <c r="I26" i="2"/>
  <c r="D7" i="9" s="1"/>
  <c r="E37" i="2"/>
  <c r="U27" i="2"/>
  <c r="Q30" i="2"/>
  <c r="C11" i="9" s="1"/>
  <c r="Q29" i="2"/>
  <c r="C10" i="9" s="1"/>
  <c r="I29" i="2"/>
  <c r="D10" i="9" s="1"/>
  <c r="I30" i="2"/>
  <c r="D11" i="9" s="1"/>
  <c r="U33" i="2"/>
  <c r="O33" i="2"/>
  <c r="O35" i="2"/>
  <c r="K33" i="2"/>
  <c r="G31" i="2"/>
  <c r="U28" i="2"/>
  <c r="G32" i="2"/>
  <c r="E31" i="2"/>
  <c r="U31" i="2"/>
  <c r="B22" i="8" s="1"/>
  <c r="S37" i="2"/>
  <c r="K32" i="2"/>
  <c r="U38" i="2"/>
  <c r="M34" i="2"/>
  <c r="I32" i="2"/>
  <c r="D13" i="9" s="1"/>
  <c r="E33" i="2"/>
  <c r="E28" i="2"/>
  <c r="W38" i="2"/>
  <c r="M33" i="2"/>
  <c r="C27" i="2"/>
  <c r="C28" i="2"/>
  <c r="S36" i="2"/>
  <c r="S35" i="2"/>
  <c r="U37" i="2"/>
  <c r="O34" i="2"/>
  <c r="G33" i="2"/>
  <c r="U29" i="2"/>
  <c r="C33" i="2"/>
  <c r="W27" i="2"/>
  <c r="I34" i="2"/>
  <c r="D15" i="9" s="1"/>
  <c r="O38" i="2"/>
  <c r="M37" i="2"/>
  <c r="K36" i="2"/>
  <c r="I35" i="2"/>
  <c r="D16" i="9" s="1"/>
  <c r="G34" i="2"/>
  <c r="S38" i="2"/>
  <c r="I33" i="2"/>
  <c r="D14" i="9" s="1"/>
  <c r="S29" i="2"/>
  <c r="W36" i="2"/>
  <c r="E38" i="2"/>
  <c r="Q37" i="2"/>
  <c r="C18" i="9" s="1"/>
  <c r="M35" i="2"/>
  <c r="C31" i="2"/>
  <c r="C36" i="2"/>
  <c r="C38" i="2"/>
  <c r="O36" i="2"/>
  <c r="K34" i="2"/>
  <c r="O37" i="2"/>
  <c r="K35" i="2"/>
  <c r="G35" i="2"/>
  <c r="M38" i="2"/>
  <c r="K37" i="2"/>
  <c r="I36" i="2"/>
  <c r="D17" i="9" s="1"/>
  <c r="M28" i="2"/>
  <c r="K38" i="2"/>
  <c r="I37" i="2"/>
  <c r="D18" i="9" s="1"/>
  <c r="G36" i="2"/>
  <c r="C34" i="2"/>
  <c r="O27" i="2"/>
  <c r="O26" i="2"/>
  <c r="G26" i="2"/>
  <c r="W29" i="2"/>
  <c r="M29" i="2"/>
  <c r="Q27" i="2"/>
  <c r="C8" i="9" s="1"/>
  <c r="W32" i="2"/>
  <c r="W34" i="2"/>
  <c r="S33" i="2"/>
  <c r="S32" i="2"/>
  <c r="D21" i="8" s="1"/>
  <c r="Q31" i="2"/>
  <c r="C12" i="9" s="1"/>
  <c r="G29" i="2"/>
  <c r="K27" i="2"/>
  <c r="Q32" i="2"/>
  <c r="C13" i="9" s="1"/>
  <c r="I27" i="2"/>
  <c r="D8" i="9" s="1"/>
  <c r="Q34" i="2"/>
  <c r="C15" i="9" s="1"/>
  <c r="Q33" i="2"/>
  <c r="C14" i="9" s="1"/>
  <c r="C29" i="2"/>
  <c r="O29" i="2"/>
  <c r="S27" i="2"/>
  <c r="Q26" i="2"/>
  <c r="C7" i="9" s="1"/>
  <c r="O18" i="2"/>
  <c r="O19" i="2"/>
  <c r="S28" i="2"/>
  <c r="O9" i="2"/>
  <c r="O10" i="2"/>
  <c r="S12" i="2"/>
  <c r="S13" i="2"/>
  <c r="S20" i="2"/>
  <c r="S21" i="2"/>
  <c r="Q13" i="2"/>
  <c r="Q14" i="2"/>
  <c r="O31" i="2"/>
  <c r="O32" i="2"/>
  <c r="Q35" i="2"/>
  <c r="C16" i="9" s="1"/>
  <c r="Q36" i="2"/>
  <c r="C17" i="9" s="1"/>
  <c r="Q38" i="2"/>
  <c r="C19" i="9" s="1"/>
  <c r="S9" i="2"/>
  <c r="K17" i="2"/>
  <c r="K28" i="2"/>
  <c r="I28" i="2"/>
  <c r="D9" i="9" s="1"/>
  <c r="I17" i="2"/>
  <c r="P14" i="5" l="1"/>
  <c r="Q14" i="5" s="1"/>
  <c r="P11" i="5"/>
  <c r="Q11" i="5" s="1"/>
  <c r="D11" i="5"/>
  <c r="J14" i="5"/>
  <c r="K14" i="5" s="1"/>
  <c r="V10" i="5"/>
  <c r="W10" i="5" s="1"/>
  <c r="L14" i="5"/>
  <c r="M14" i="5" s="1"/>
  <c r="P13" i="5"/>
  <c r="Q13" i="5" s="1"/>
  <c r="P12" i="5"/>
  <c r="Q12" i="5" s="1"/>
  <c r="X10" i="5"/>
  <c r="Y10" i="5" s="1"/>
  <c r="T13" i="5"/>
  <c r="U13" i="5" s="1"/>
  <c r="X15" i="5"/>
  <c r="Y15" i="5" s="1"/>
  <c r="V11" i="5"/>
  <c r="W11" i="5" s="1"/>
  <c r="X14" i="5"/>
  <c r="Y14" i="5" s="1"/>
  <c r="X12" i="5"/>
  <c r="Y12" i="5" s="1"/>
  <c r="T14" i="5"/>
  <c r="U14" i="5" s="1"/>
  <c r="T10" i="5"/>
  <c r="U10" i="5" s="1"/>
  <c r="T11" i="5"/>
  <c r="U11" i="5" s="1"/>
  <c r="L15" i="5"/>
  <c r="M15" i="5" s="1"/>
  <c r="V14" i="5"/>
  <c r="W14" i="5" s="1"/>
  <c r="V15" i="5"/>
  <c r="W15" i="5" s="1"/>
  <c r="J12" i="5"/>
  <c r="K12" i="5" s="1"/>
  <c r="L13" i="5"/>
  <c r="M13" i="5" s="1"/>
  <c r="P15" i="5"/>
  <c r="Q15" i="5" s="1"/>
  <c r="X13" i="5"/>
  <c r="Y13" i="5" s="1"/>
  <c r="V12" i="5"/>
  <c r="W12" i="5" s="1"/>
  <c r="X11" i="5"/>
  <c r="Y11" i="5" s="1"/>
  <c r="R13" i="5"/>
  <c r="S13" i="5" s="1"/>
  <c r="R15" i="5"/>
  <c r="S15" i="5" s="1"/>
  <c r="T15" i="5"/>
  <c r="U15" i="5" s="1"/>
  <c r="V13" i="5"/>
  <c r="W13" i="5" s="1"/>
  <c r="B16" i="5"/>
  <c r="C16" i="5" s="1"/>
  <c r="T12" i="5"/>
  <c r="U12" i="5" s="1"/>
  <c r="R12" i="5"/>
  <c r="S12" i="5" s="1"/>
  <c r="R11" i="5"/>
  <c r="S11" i="5" s="1"/>
  <c r="R10" i="5"/>
  <c r="S10" i="5" s="1"/>
  <c r="J15" i="5"/>
  <c r="K15" i="5" s="1"/>
  <c r="J11" i="5"/>
  <c r="K11" i="5" s="1"/>
  <c r="J13" i="5"/>
  <c r="K13" i="5" s="1"/>
  <c r="A22" i="1"/>
  <c r="B20" i="9"/>
  <c r="F65" i="9"/>
  <c r="F58" i="9"/>
  <c r="F75" i="9"/>
  <c r="F54" i="9"/>
  <c r="F59" i="9"/>
  <c r="F62" i="9"/>
  <c r="F66" i="9"/>
  <c r="F76" i="9"/>
  <c r="F70" i="9"/>
  <c r="F69" i="9"/>
  <c r="F68" i="9"/>
  <c r="F74" i="9"/>
  <c r="F73" i="9"/>
  <c r="F71" i="9"/>
  <c r="F64" i="9"/>
  <c r="F63" i="9"/>
  <c r="F72" i="9"/>
  <c r="F67" i="9"/>
  <c r="F55" i="9"/>
  <c r="F61" i="9"/>
  <c r="F56" i="9"/>
  <c r="F60" i="9"/>
  <c r="F49" i="9"/>
  <c r="F57" i="9"/>
  <c r="F51" i="9"/>
  <c r="F52" i="9"/>
  <c r="F53" i="9"/>
  <c r="F50" i="9"/>
  <c r="F48" i="9"/>
  <c r="D7" i="5"/>
  <c r="E7" i="5" s="1"/>
  <c r="F42" i="9"/>
  <c r="X7" i="5"/>
  <c r="Y7" i="5" s="1"/>
  <c r="L7" i="5"/>
  <c r="M7" i="5" s="1"/>
  <c r="T7" i="5"/>
  <c r="U7" i="5" s="1"/>
  <c r="F43" i="9"/>
  <c r="V7" i="5"/>
  <c r="W7" i="5" s="1"/>
  <c r="F45" i="9"/>
  <c r="F44" i="9"/>
  <c r="F33" i="9"/>
  <c r="P7" i="5"/>
  <c r="Q7" i="5" s="1"/>
  <c r="F28" i="9"/>
  <c r="N7" i="5"/>
  <c r="O7" i="5" s="1"/>
  <c r="F7" i="5"/>
  <c r="G7" i="5" s="1"/>
  <c r="F47" i="9"/>
  <c r="F46" i="9"/>
  <c r="J7" i="5"/>
  <c r="K7" i="5" s="1"/>
  <c r="R7" i="5"/>
  <c r="S7" i="5" s="1"/>
  <c r="F38" i="9"/>
  <c r="F27" i="9"/>
  <c r="F39" i="9"/>
  <c r="F34" i="9"/>
  <c r="F40" i="9"/>
  <c r="F41" i="9"/>
  <c r="F37" i="9"/>
  <c r="F36" i="9"/>
  <c r="F30" i="9"/>
  <c r="F32" i="9"/>
  <c r="F35" i="9"/>
  <c r="F31" i="9"/>
  <c r="F29" i="9"/>
  <c r="F26" i="9"/>
  <c r="F25" i="9"/>
  <c r="F15" i="9"/>
  <c r="F22" i="9"/>
  <c r="F19" i="9"/>
  <c r="F5" i="9"/>
  <c r="F7" i="9"/>
  <c r="F13" i="9"/>
  <c r="F14" i="9"/>
  <c r="F24" i="9"/>
  <c r="F23" i="9"/>
  <c r="F6" i="9"/>
  <c r="F17" i="9"/>
  <c r="F16" i="9"/>
  <c r="F20" i="9"/>
  <c r="F10" i="9"/>
  <c r="F21" i="9"/>
  <c r="F12" i="9"/>
  <c r="F8" i="9"/>
  <c r="F11" i="9"/>
  <c r="F18" i="9"/>
  <c r="F9" i="9"/>
  <c r="D6" i="5"/>
  <c r="E6" i="5" s="1"/>
  <c r="F6" i="5"/>
  <c r="G6" i="5" s="1"/>
  <c r="L6" i="5"/>
  <c r="M6" i="5" s="1"/>
  <c r="P6" i="5"/>
  <c r="Q6" i="5" s="1"/>
  <c r="J6" i="5"/>
  <c r="K6" i="5" s="1"/>
  <c r="T6" i="5"/>
  <c r="U6" i="5" s="1"/>
  <c r="R6" i="5"/>
  <c r="S6" i="5" s="1"/>
  <c r="N6" i="5"/>
  <c r="O6" i="5" s="1"/>
  <c r="H13" i="5"/>
  <c r="E13" i="5"/>
  <c r="I13" i="5" s="1"/>
  <c r="H9" i="5"/>
  <c r="E9" i="5"/>
  <c r="I9" i="5" s="1"/>
  <c r="V6" i="5"/>
  <c r="W6" i="5" s="1"/>
  <c r="H8" i="5"/>
  <c r="E8" i="5"/>
  <c r="I8" i="5" s="1"/>
  <c r="H10" i="5"/>
  <c r="E10" i="5"/>
  <c r="I10" i="5" s="1"/>
  <c r="X6" i="5"/>
  <c r="Y6" i="5" s="1"/>
  <c r="H11" i="5"/>
  <c r="E11" i="5"/>
  <c r="I11" i="5" s="1"/>
  <c r="H12" i="5"/>
  <c r="E12" i="5"/>
  <c r="I12" i="5" s="1"/>
  <c r="H14" i="5"/>
  <c r="E14" i="5"/>
  <c r="I14" i="5" s="1"/>
  <c r="H15" i="5"/>
  <c r="E15" i="5"/>
  <c r="I15" i="5" s="1"/>
  <c r="I7" i="8"/>
  <c r="J6" i="8" s="1"/>
  <c r="B11" i="8"/>
  <c r="B12" i="8"/>
  <c r="D6" i="8"/>
  <c r="B17" i="8"/>
  <c r="J11" i="8"/>
  <c r="D11" i="8"/>
  <c r="E21" i="8"/>
  <c r="C21" i="8"/>
  <c r="F12" i="8"/>
  <c r="O6" i="8"/>
  <c r="O12" i="8"/>
  <c r="F21" i="8"/>
  <c r="F6" i="8"/>
  <c r="F7" i="8"/>
  <c r="D17" i="8"/>
  <c r="B6" i="8"/>
  <c r="B16" i="8"/>
  <c r="D16" i="8"/>
  <c r="F22" i="8"/>
  <c r="O7" i="8"/>
  <c r="D12" i="8"/>
  <c r="F11" i="8"/>
  <c r="B7" i="8"/>
  <c r="D7" i="8"/>
  <c r="B5" i="5"/>
  <c r="J5" i="5"/>
  <c r="L5" i="5"/>
  <c r="T5" i="5"/>
  <c r="D5" i="5"/>
  <c r="B14" i="5"/>
  <c r="C14" i="5" s="1"/>
  <c r="B10" i="5"/>
  <c r="C10" i="5" s="1"/>
  <c r="B6" i="5"/>
  <c r="C6" i="5" s="1"/>
  <c r="N5" i="5"/>
  <c r="X5" i="5"/>
  <c r="V5" i="5"/>
  <c r="F5" i="5"/>
  <c r="B11" i="5"/>
  <c r="C11" i="5" s="1"/>
  <c r="B7" i="5"/>
  <c r="C7" i="5" s="1"/>
  <c r="B15" i="5"/>
  <c r="C15" i="5" s="1"/>
  <c r="B8" i="5"/>
  <c r="C8" i="5" s="1"/>
  <c r="B9" i="5"/>
  <c r="C9" i="5" s="1"/>
  <c r="R5" i="5"/>
  <c r="P5" i="5"/>
  <c r="B13" i="5"/>
  <c r="C13" i="5" s="1"/>
  <c r="B12" i="5"/>
  <c r="C12" i="5" s="1"/>
  <c r="Q26" i="1"/>
  <c r="AB26" i="2" s="1"/>
  <c r="Q25" i="1"/>
  <c r="AB25" i="2" s="1"/>
  <c r="A23" i="1" l="1"/>
  <c r="B21" i="9"/>
  <c r="AF5" i="5"/>
  <c r="BD5" i="2"/>
  <c r="BE5" i="2" s="1"/>
  <c r="I7" i="5"/>
  <c r="H7" i="5"/>
  <c r="I6" i="5"/>
  <c r="H6" i="5"/>
  <c r="D17" i="5"/>
  <c r="C16" i="8"/>
  <c r="C11" i="8"/>
  <c r="E6" i="8"/>
  <c r="E11" i="8"/>
  <c r="C6" i="8"/>
  <c r="E16" i="8"/>
  <c r="G21" i="8"/>
  <c r="G11" i="8"/>
  <c r="G6" i="8"/>
  <c r="H5" i="5"/>
  <c r="S5" i="5"/>
  <c r="S17" i="5" s="1"/>
  <c r="R17" i="5"/>
  <c r="A7" i="6" s="1"/>
  <c r="G5" i="5"/>
  <c r="G17" i="5" s="1"/>
  <c r="F17" i="5"/>
  <c r="Y5" i="5"/>
  <c r="Y17" i="5" s="1"/>
  <c r="X17" i="5"/>
  <c r="Q5" i="5"/>
  <c r="Q17" i="5" s="1"/>
  <c r="P17" i="5"/>
  <c r="G7" i="6" s="1"/>
  <c r="W5" i="5"/>
  <c r="W17" i="5" s="1"/>
  <c r="V17" i="5"/>
  <c r="O5" i="5"/>
  <c r="O17" i="5" s="1"/>
  <c r="N17" i="5"/>
  <c r="J7" i="6" s="1"/>
  <c r="E5" i="5"/>
  <c r="U5" i="5"/>
  <c r="U17" i="5" s="1"/>
  <c r="T17" i="5"/>
  <c r="M5" i="5"/>
  <c r="M17" i="5" s="1"/>
  <c r="L17" i="5"/>
  <c r="K5" i="5"/>
  <c r="K17" i="5" s="1"/>
  <c r="J17" i="5"/>
  <c r="C5" i="5"/>
  <c r="C17" i="5" s="1"/>
  <c r="B17" i="5"/>
  <c r="AD5" i="5"/>
  <c r="AD17" i="5" s="1"/>
  <c r="AI5" i="5"/>
  <c r="AI17" i="5" s="1"/>
  <c r="AH5" i="5"/>
  <c r="AH17" i="5" s="1"/>
  <c r="A24" i="1" l="1"/>
  <c r="B22" i="9"/>
  <c r="AG5" i="5"/>
  <c r="AG17" i="5" s="1"/>
  <c r="T7" i="6" s="1"/>
  <c r="BF5" i="2"/>
  <c r="BG5" i="2" s="1"/>
  <c r="H17" i="5"/>
  <c r="D7" i="6"/>
  <c r="AF17" i="5"/>
  <c r="N7" i="6" s="1"/>
  <c r="E17" i="5"/>
  <c r="I5" i="5"/>
  <c r="I17" i="5" s="1"/>
  <c r="A25" i="1" l="1"/>
  <c r="B23" i="9"/>
  <c r="A26" i="1" l="1"/>
  <c r="B24" i="9"/>
  <c r="K21" i="8"/>
  <c r="K17" i="8"/>
  <c r="K22" i="8"/>
  <c r="K16" i="8"/>
  <c r="K11" i="8"/>
  <c r="K12" i="8"/>
  <c r="M12" i="8"/>
  <c r="M11" i="8"/>
  <c r="AC7" i="5"/>
  <c r="AB7" i="5"/>
  <c r="AK7" i="5"/>
  <c r="AK5" i="5"/>
  <c r="AC6" i="5"/>
  <c r="AB6" i="5"/>
  <c r="AC9" i="5"/>
  <c r="AA6" i="5"/>
  <c r="AK9" i="5"/>
  <c r="AB9" i="5"/>
  <c r="AA9" i="5"/>
  <c r="AC8" i="5"/>
  <c r="AK8" i="5"/>
  <c r="AB8" i="5"/>
  <c r="AA8" i="5"/>
  <c r="AK6" i="5"/>
  <c r="AC5" i="5"/>
  <c r="AB5" i="5"/>
  <c r="AA5" i="5"/>
  <c r="BD31" i="2"/>
  <c r="BE31" i="2" s="1"/>
  <c r="A27" i="1" l="1"/>
  <c r="B25" i="9"/>
  <c r="N11" i="8"/>
  <c r="L11" i="8"/>
  <c r="AL6" i="5"/>
  <c r="AA7" i="5"/>
  <c r="AM6" i="5"/>
  <c r="AM8" i="5"/>
  <c r="AL8" i="5"/>
  <c r="AM5" i="5"/>
  <c r="AL9" i="5"/>
  <c r="AM9" i="5"/>
  <c r="AM7" i="5"/>
  <c r="AL5" i="5"/>
  <c r="AL7" i="5"/>
  <c r="A28" i="1" l="1"/>
  <c r="B26" i="9"/>
  <c r="BD7" i="2"/>
  <c r="BE7" i="2" s="1"/>
  <c r="BD8" i="2"/>
  <c r="BE8" i="2" s="1"/>
  <c r="BD9" i="2"/>
  <c r="BE9" i="2" s="1"/>
  <c r="BD10" i="2"/>
  <c r="BE10" i="2" s="1"/>
  <c r="BD11" i="2"/>
  <c r="BE11" i="2" s="1"/>
  <c r="BD12" i="2"/>
  <c r="BE12" i="2" s="1"/>
  <c r="BD13" i="2"/>
  <c r="BE13" i="2" s="1"/>
  <c r="BD14" i="2"/>
  <c r="BE14" i="2" s="1"/>
  <c r="BD15" i="2"/>
  <c r="BE15" i="2" s="1"/>
  <c r="BD16" i="2"/>
  <c r="BE16" i="2" s="1"/>
  <c r="BD17" i="2"/>
  <c r="BE17" i="2" s="1"/>
  <c r="BD18" i="2"/>
  <c r="BE18" i="2" s="1"/>
  <c r="BD19" i="2"/>
  <c r="BE19" i="2" s="1"/>
  <c r="BD20" i="2"/>
  <c r="BE20" i="2" s="1"/>
  <c r="BD21" i="2"/>
  <c r="BE21" i="2" s="1"/>
  <c r="BD22" i="2"/>
  <c r="BE22" i="2" s="1"/>
  <c r="BD23" i="2"/>
  <c r="BE23" i="2" s="1"/>
  <c r="BD24" i="2"/>
  <c r="BE24" i="2" s="1"/>
  <c r="BD25" i="2"/>
  <c r="BE25" i="2" s="1"/>
  <c r="BD26" i="2"/>
  <c r="BE26" i="2" s="1"/>
  <c r="BD27" i="2"/>
  <c r="BE27" i="2" s="1"/>
  <c r="BD28" i="2"/>
  <c r="BE28" i="2" s="1"/>
  <c r="BD29" i="2"/>
  <c r="BE29" i="2" s="1"/>
  <c r="BD30" i="2"/>
  <c r="BE30" i="2" s="1"/>
  <c r="BD32" i="2"/>
  <c r="BE32" i="2" s="1"/>
  <c r="O11" i="8" s="1"/>
  <c r="BD33" i="2"/>
  <c r="BE33" i="2" s="1"/>
  <c r="BD34" i="2"/>
  <c r="BE34" i="2" s="1"/>
  <c r="BD35" i="2"/>
  <c r="BE35" i="2" s="1"/>
  <c r="A29" i="1" l="1"/>
  <c r="B27" i="9"/>
  <c r="BD69" i="2"/>
  <c r="BE69" i="2" s="1"/>
  <c r="BD68" i="2"/>
  <c r="BE68" i="2" s="1"/>
  <c r="BD133" i="2"/>
  <c r="BE133" i="2" s="1"/>
  <c r="BD154" i="2"/>
  <c r="BE154" i="2" s="1"/>
  <c r="BD44" i="2"/>
  <c r="BE44" i="2" s="1"/>
  <c r="BD109" i="2"/>
  <c r="BE109" i="2" s="1"/>
  <c r="BD43" i="2"/>
  <c r="BE43" i="2" s="1"/>
  <c r="BD174" i="2"/>
  <c r="BE174" i="2" s="1"/>
  <c r="BD64" i="2"/>
  <c r="BE64" i="2" s="1"/>
  <c r="BD129" i="2"/>
  <c r="BE129" i="2" s="1"/>
  <c r="BD63" i="2"/>
  <c r="BE63" i="2" s="1"/>
  <c r="BD84" i="2"/>
  <c r="BE84" i="2" s="1"/>
  <c r="BD39" i="2"/>
  <c r="BE39" i="2" s="1"/>
  <c r="BD169" i="2"/>
  <c r="BE169" i="2" s="1"/>
  <c r="BD147" i="2"/>
  <c r="BE147" i="2" s="1"/>
  <c r="BD125" i="2"/>
  <c r="BE125" i="2" s="1"/>
  <c r="BD103" i="2"/>
  <c r="BE103" i="2" s="1"/>
  <c r="BD59" i="2"/>
  <c r="BE59" i="2" s="1"/>
  <c r="BD168" i="2"/>
  <c r="BE168" i="2" s="1"/>
  <c r="BD124" i="2"/>
  <c r="BE124" i="2" s="1"/>
  <c r="BD166" i="2"/>
  <c r="BE166" i="2" s="1"/>
  <c r="BD122" i="2"/>
  <c r="BE122" i="2" s="1"/>
  <c r="BD100" i="2"/>
  <c r="BE100" i="2" s="1"/>
  <c r="BD56" i="2"/>
  <c r="BE56" i="2" s="1"/>
  <c r="BD165" i="2"/>
  <c r="BE165" i="2" s="1"/>
  <c r="BD143" i="2"/>
  <c r="BE143" i="2" s="1"/>
  <c r="BD121" i="2"/>
  <c r="BE121" i="2" s="1"/>
  <c r="BD99" i="2"/>
  <c r="BE99" i="2" s="1"/>
  <c r="BD77" i="2"/>
  <c r="BE77" i="2" s="1"/>
  <c r="BD55" i="2"/>
  <c r="BE55" i="2" s="1"/>
  <c r="BD134" i="2"/>
  <c r="BE134" i="2" s="1"/>
  <c r="BD112" i="2"/>
  <c r="BE112" i="2" s="1"/>
  <c r="BD90" i="2"/>
  <c r="BE90" i="2" s="1"/>
  <c r="BD46" i="2"/>
  <c r="BE46" i="2" s="1"/>
  <c r="BD155" i="2"/>
  <c r="BE155" i="2" s="1"/>
  <c r="BD89" i="2"/>
  <c r="BE89" i="2" s="1"/>
  <c r="BD67" i="2"/>
  <c r="BE67" i="2" s="1"/>
  <c r="BD132" i="2"/>
  <c r="BE132" i="2" s="1"/>
  <c r="BD175" i="2"/>
  <c r="BE175" i="2" s="1"/>
  <c r="BD153" i="2"/>
  <c r="BE153" i="2" s="1"/>
  <c r="BD131" i="2"/>
  <c r="BE131" i="2" s="1"/>
  <c r="BD87" i="2"/>
  <c r="BE87" i="2" s="1"/>
  <c r="BD130" i="2"/>
  <c r="BE130" i="2" s="1"/>
  <c r="BD173" i="2"/>
  <c r="BE173" i="2" s="1"/>
  <c r="BD107" i="2"/>
  <c r="BE107" i="2" s="1"/>
  <c r="BD85" i="2"/>
  <c r="BE85" i="2" s="1"/>
  <c r="BD41" i="2"/>
  <c r="BE41" i="2" s="1"/>
  <c r="BD172" i="2"/>
  <c r="BE172" i="2" s="1"/>
  <c r="BD106" i="2"/>
  <c r="BE106" i="2" s="1"/>
  <c r="BD149" i="2"/>
  <c r="BE149" i="2" s="1"/>
  <c r="BD127" i="2"/>
  <c r="BE127" i="2" s="1"/>
  <c r="BD105" i="2"/>
  <c r="BE105" i="2" s="1"/>
  <c r="BD83" i="2"/>
  <c r="BE83" i="2" s="1"/>
  <c r="BD61" i="2"/>
  <c r="BE61" i="2" s="1"/>
  <c r="BD146" i="2"/>
  <c r="BE146" i="2" s="1"/>
  <c r="BD102" i="2"/>
  <c r="BE102" i="2" s="1"/>
  <c r="BD80" i="2"/>
  <c r="BE80" i="2" s="1"/>
  <c r="BD36" i="2"/>
  <c r="BE36" i="2" s="1"/>
  <c r="BD145" i="2"/>
  <c r="BE145" i="2" s="1"/>
  <c r="BD144" i="2"/>
  <c r="BE144" i="2" s="1"/>
  <c r="BD78" i="2"/>
  <c r="BE78" i="2" s="1"/>
  <c r="BD164" i="2"/>
  <c r="BE164" i="2" s="1"/>
  <c r="BD142" i="2"/>
  <c r="BE142" i="2" s="1"/>
  <c r="BD120" i="2"/>
  <c r="BE120" i="2" s="1"/>
  <c r="BD98" i="2"/>
  <c r="BE98" i="2" s="1"/>
  <c r="BD76" i="2"/>
  <c r="BE76" i="2" s="1"/>
  <c r="BD54" i="2"/>
  <c r="BE54" i="2" s="1"/>
  <c r="BD135" i="2"/>
  <c r="BE135" i="2" s="1"/>
  <c r="BD113" i="2"/>
  <c r="BE113" i="2" s="1"/>
  <c r="BD91" i="2"/>
  <c r="BE91" i="2" s="1"/>
  <c r="BD47" i="2"/>
  <c r="BE47" i="2" s="1"/>
  <c r="BD156" i="2"/>
  <c r="BE156" i="2" s="1"/>
  <c r="BD111" i="2"/>
  <c r="BE111" i="2" s="1"/>
  <c r="BD45" i="2"/>
  <c r="BE45" i="2" s="1"/>
  <c r="BD176" i="2"/>
  <c r="BE176" i="2" s="1"/>
  <c r="BD88" i="2"/>
  <c r="BE88" i="2" s="1"/>
  <c r="BD66" i="2"/>
  <c r="BE66" i="2" s="1"/>
  <c r="BD152" i="2"/>
  <c r="BE152" i="2" s="1"/>
  <c r="BD108" i="2"/>
  <c r="BE108" i="2" s="1"/>
  <c r="BD86" i="2"/>
  <c r="BE86" i="2" s="1"/>
  <c r="BD42" i="2"/>
  <c r="BE42" i="2" s="1"/>
  <c r="BD151" i="2"/>
  <c r="BE151" i="2" s="1"/>
  <c r="BD150" i="2"/>
  <c r="BE150" i="2" s="1"/>
  <c r="BD128" i="2"/>
  <c r="BE128" i="2" s="1"/>
  <c r="BD62" i="2"/>
  <c r="BE62" i="2" s="1"/>
  <c r="BD40" i="2"/>
  <c r="BE40" i="2" s="1"/>
  <c r="BD171" i="2"/>
  <c r="BE171" i="2" s="1"/>
  <c r="BD170" i="2"/>
  <c r="BE170" i="2" s="1"/>
  <c r="BD148" i="2"/>
  <c r="BE148" i="2" s="1"/>
  <c r="BD104" i="2"/>
  <c r="BE104" i="2" s="1"/>
  <c r="BD82" i="2"/>
  <c r="BE82" i="2" s="1"/>
  <c r="BD60" i="2"/>
  <c r="BE60" i="2" s="1"/>
  <c r="BD38" i="2"/>
  <c r="BE38" i="2" s="1"/>
  <c r="BD81" i="2"/>
  <c r="BE81" i="2" s="1"/>
  <c r="BD167" i="2"/>
  <c r="BE167" i="2" s="1"/>
  <c r="BD123" i="2"/>
  <c r="BE123" i="2" s="1"/>
  <c r="BD101" i="2"/>
  <c r="BE101" i="2" s="1"/>
  <c r="BD79" i="2"/>
  <c r="BE79" i="2" s="1"/>
  <c r="BD163" i="2"/>
  <c r="BE163" i="2" s="1"/>
  <c r="BD141" i="2"/>
  <c r="BE141" i="2" s="1"/>
  <c r="BD119" i="2"/>
  <c r="BE119" i="2" s="1"/>
  <c r="BD97" i="2"/>
  <c r="BE97" i="2" s="1"/>
  <c r="BD75" i="2"/>
  <c r="BE75" i="2" s="1"/>
  <c r="BD53" i="2"/>
  <c r="BE53" i="2" s="1"/>
  <c r="BD162" i="2"/>
  <c r="BE162" i="2" s="1"/>
  <c r="BD140" i="2"/>
  <c r="BE140" i="2" s="1"/>
  <c r="BD118" i="2"/>
  <c r="BE118" i="2" s="1"/>
  <c r="BD74" i="2"/>
  <c r="BE74" i="2" s="1"/>
  <c r="BD52" i="2"/>
  <c r="BE52" i="2" s="1"/>
  <c r="BD110" i="2"/>
  <c r="BE110" i="2" s="1"/>
  <c r="BD161" i="2"/>
  <c r="BE161" i="2" s="1"/>
  <c r="BD139" i="2"/>
  <c r="BE139" i="2" s="1"/>
  <c r="BD117" i="2"/>
  <c r="BE117" i="2" s="1"/>
  <c r="BD95" i="2"/>
  <c r="BE95" i="2" s="1"/>
  <c r="BD73" i="2"/>
  <c r="BE73" i="2" s="1"/>
  <c r="BD51" i="2"/>
  <c r="BE51" i="2" s="1"/>
  <c r="BD6" i="2"/>
  <c r="BE6" i="2" s="1"/>
  <c r="BD160" i="2"/>
  <c r="BE160" i="2" s="1"/>
  <c r="BD138" i="2"/>
  <c r="BE138" i="2" s="1"/>
  <c r="BD116" i="2"/>
  <c r="BE116" i="2" s="1"/>
  <c r="BD94" i="2"/>
  <c r="BE94" i="2" s="1"/>
  <c r="BD72" i="2"/>
  <c r="BE72" i="2" s="1"/>
  <c r="BD50" i="2"/>
  <c r="BE50" i="2" s="1"/>
  <c r="BD159" i="2"/>
  <c r="BE159" i="2" s="1"/>
  <c r="BD137" i="2"/>
  <c r="BE137" i="2" s="1"/>
  <c r="BD115" i="2"/>
  <c r="BE115" i="2" s="1"/>
  <c r="BD93" i="2"/>
  <c r="BE93" i="2" s="1"/>
  <c r="BD71" i="2"/>
  <c r="BE71" i="2" s="1"/>
  <c r="BD49" i="2"/>
  <c r="BE49" i="2" s="1"/>
  <c r="BD158" i="2"/>
  <c r="BE158" i="2" s="1"/>
  <c r="BD136" i="2"/>
  <c r="BE136" i="2" s="1"/>
  <c r="BD114" i="2"/>
  <c r="BE114" i="2" s="1"/>
  <c r="BD92" i="2"/>
  <c r="BE92" i="2" s="1"/>
  <c r="BD70" i="2"/>
  <c r="BE70" i="2" s="1"/>
  <c r="BD48" i="2"/>
  <c r="BE48" i="2" s="1"/>
  <c r="A30" i="1" l="1"/>
  <c r="B28" i="9"/>
  <c r="M6" i="8"/>
  <c r="BD58" i="2"/>
  <c r="BE58" i="2" s="1"/>
  <c r="AJ8" i="5"/>
  <c r="BD96" i="2"/>
  <c r="BE96" i="2" s="1"/>
  <c r="AJ9" i="5"/>
  <c r="BD126" i="2"/>
  <c r="BE126" i="2" s="1"/>
  <c r="AJ6" i="5"/>
  <c r="BD37" i="2"/>
  <c r="BE37" i="2" s="1"/>
  <c r="M7" i="8"/>
  <c r="BD57" i="2"/>
  <c r="BE57" i="2" s="1"/>
  <c r="AJ5" i="5"/>
  <c r="BD157" i="2"/>
  <c r="BE157" i="2" s="1"/>
  <c r="AJ7" i="5"/>
  <c r="BD65" i="2"/>
  <c r="BE65" i="2" s="1"/>
  <c r="A31" i="1" l="1"/>
  <c r="B29" i="9"/>
  <c r="N6" i="8"/>
  <c r="A32" i="1" l="1"/>
  <c r="B30" i="9"/>
  <c r="BD177" i="2"/>
  <c r="BE177" i="2" s="1"/>
  <c r="A33" i="1" l="1"/>
  <c r="B31" i="9"/>
  <c r="A34" i="1" l="1"/>
  <c r="B32" i="9"/>
  <c r="AA12" i="5"/>
  <c r="AB12" i="5"/>
  <c r="AK12" i="5"/>
  <c r="AK11" i="5"/>
  <c r="AK16" i="5"/>
  <c r="AK15" i="5"/>
  <c r="AA16" i="5"/>
  <c r="AB16" i="5"/>
  <c r="AA15" i="5"/>
  <c r="AC16" i="5"/>
  <c r="AC12" i="5"/>
  <c r="AK10" i="5"/>
  <c r="AA13" i="5"/>
  <c r="AB13" i="5"/>
  <c r="AC13" i="5"/>
  <c r="AK14" i="5"/>
  <c r="AB15" i="5"/>
  <c r="AA14" i="5"/>
  <c r="AC15" i="5"/>
  <c r="AK13" i="5"/>
  <c r="AB14" i="5"/>
  <c r="AC14" i="5"/>
  <c r="BD369" i="2"/>
  <c r="BE369" i="2" s="1"/>
  <c r="A35" i="1" l="1"/>
  <c r="B33" i="9"/>
  <c r="AL16" i="5"/>
  <c r="BD358" i="2"/>
  <c r="BE358" i="2" s="1"/>
  <c r="BD251" i="2"/>
  <c r="BE251" i="2" s="1"/>
  <c r="BD339" i="2"/>
  <c r="BE339" i="2" s="1"/>
  <c r="BD342" i="2"/>
  <c r="BE342" i="2" s="1"/>
  <c r="BD292" i="2"/>
  <c r="BE292" i="2" s="1"/>
  <c r="BD357" i="2"/>
  <c r="BE357" i="2" s="1"/>
  <c r="BD317" i="2"/>
  <c r="BE317" i="2" s="1"/>
  <c r="BD297" i="2"/>
  <c r="BE297" i="2" s="1"/>
  <c r="BD280" i="2"/>
  <c r="BE280" i="2" s="1"/>
  <c r="BD252" i="2"/>
  <c r="BE252" i="2" s="1"/>
  <c r="BD255" i="2"/>
  <c r="BE255" i="2" s="1"/>
  <c r="BD195" i="2"/>
  <c r="BE195" i="2" s="1"/>
  <c r="BD347" i="2"/>
  <c r="BE347" i="2" s="1"/>
  <c r="BD348" i="2"/>
  <c r="BE348" i="2" s="1"/>
  <c r="BD349" i="2"/>
  <c r="BE349" i="2" s="1"/>
  <c r="BD316" i="2"/>
  <c r="BE316" i="2" s="1"/>
  <c r="BD362" i="2"/>
  <c r="BE362" i="2" s="1"/>
  <c r="BD328" i="2"/>
  <c r="BE328" i="2" s="1"/>
  <c r="BD197" i="2"/>
  <c r="BE197" i="2" s="1"/>
  <c r="BD267" i="2"/>
  <c r="BE267" i="2" s="1"/>
  <c r="BD355" i="2"/>
  <c r="BE355" i="2" s="1"/>
  <c r="BD186" i="2"/>
  <c r="BE186" i="2" s="1"/>
  <c r="BD360" i="2"/>
  <c r="BE360" i="2" s="1"/>
  <c r="BD241" i="2"/>
  <c r="BE241" i="2" s="1"/>
  <c r="BD229" i="2"/>
  <c r="BE229" i="2" s="1"/>
  <c r="BD361" i="2"/>
  <c r="BE361" i="2" s="1"/>
  <c r="BD344" i="2"/>
  <c r="BE344" i="2" s="1"/>
  <c r="BD272" i="2"/>
  <c r="BE272" i="2" s="1"/>
  <c r="BD203" i="2"/>
  <c r="BE203" i="2" s="1"/>
  <c r="BD202" i="2"/>
  <c r="BE202" i="2" s="1"/>
  <c r="BD250" i="2"/>
  <c r="BE250" i="2" s="1"/>
  <c r="BD337" i="2"/>
  <c r="BE337" i="2" s="1"/>
  <c r="BD181" i="2"/>
  <c r="BE181" i="2" s="1"/>
  <c r="BD247" i="2"/>
  <c r="BE247" i="2" s="1"/>
  <c r="BD338" i="2"/>
  <c r="BE338" i="2" s="1"/>
  <c r="BD293" i="2"/>
  <c r="BE293" i="2" s="1"/>
  <c r="BD281" i="2"/>
  <c r="BE281" i="2" s="1"/>
  <c r="BD236" i="2"/>
  <c r="BE236" i="2" s="1"/>
  <c r="BD343" i="2"/>
  <c r="BE343" i="2" s="1"/>
  <c r="BD346" i="2"/>
  <c r="BE346" i="2" s="1"/>
  <c r="BD300" i="2"/>
  <c r="BE300" i="2" s="1"/>
  <c r="BD333" i="2"/>
  <c r="BE333" i="2" s="1"/>
  <c r="BD313" i="2"/>
  <c r="BE313" i="2" s="1"/>
  <c r="BD296" i="2"/>
  <c r="BE296" i="2" s="1"/>
  <c r="BD284" i="2"/>
  <c r="BE284" i="2" s="1"/>
  <c r="BD192" i="2"/>
  <c r="BE192" i="2" s="1"/>
  <c r="BD259" i="2"/>
  <c r="BE259" i="2" s="1"/>
  <c r="BD271" i="2"/>
  <c r="BE271" i="2" s="1"/>
  <c r="BD190" i="2"/>
  <c r="BE190" i="2" s="1"/>
  <c r="BD257" i="2"/>
  <c r="BE257" i="2" s="1"/>
  <c r="BD309" i="2"/>
  <c r="BE309" i="2" s="1"/>
  <c r="BD182" i="2"/>
  <c r="BE182" i="2" s="1"/>
  <c r="BD368" i="2"/>
  <c r="BE368" i="2" s="1"/>
  <c r="BD234" i="2"/>
  <c r="BE234" i="2" s="1"/>
  <c r="BD238" i="2"/>
  <c r="BE238" i="2" s="1"/>
  <c r="BD207" i="2"/>
  <c r="BE207" i="2" s="1"/>
  <c r="BD295" i="2"/>
  <c r="BE295" i="2" s="1"/>
  <c r="BD214" i="2"/>
  <c r="BE214" i="2" s="1"/>
  <c r="BD254" i="2"/>
  <c r="BE254" i="2" s="1"/>
  <c r="BD205" i="2"/>
  <c r="BE205" i="2" s="1"/>
  <c r="BD353" i="2"/>
  <c r="BE353" i="2" s="1"/>
  <c r="BD261" i="2"/>
  <c r="BE261" i="2" s="1"/>
  <c r="BD220" i="2"/>
  <c r="BE220" i="2" s="1"/>
  <c r="AM13" i="5"/>
  <c r="BD242" i="2"/>
  <c r="BE242" i="2" s="1"/>
  <c r="BD211" i="2"/>
  <c r="BE211" i="2" s="1"/>
  <c r="BD299" i="2"/>
  <c r="BE299" i="2" s="1"/>
  <c r="BD222" i="2"/>
  <c r="BE222" i="2" s="1"/>
  <c r="BD270" i="2"/>
  <c r="BE270" i="2" s="1"/>
  <c r="BD276" i="2"/>
  <c r="BE276" i="2" s="1"/>
  <c r="BD188" i="2"/>
  <c r="BE188" i="2" s="1"/>
  <c r="BD246" i="2"/>
  <c r="BE246" i="2" s="1"/>
  <c r="BD215" i="2"/>
  <c r="BE215" i="2" s="1"/>
  <c r="BD303" i="2"/>
  <c r="BE303" i="2" s="1"/>
  <c r="BD266" i="2"/>
  <c r="BE266" i="2" s="1"/>
  <c r="BD286" i="2"/>
  <c r="BE286" i="2" s="1"/>
  <c r="BD208" i="2"/>
  <c r="BE208" i="2" s="1"/>
  <c r="BD356" i="2"/>
  <c r="BE356" i="2" s="1"/>
  <c r="BD258" i="2"/>
  <c r="BE258" i="2" s="1"/>
  <c r="BD219" i="2"/>
  <c r="BE219" i="2" s="1"/>
  <c r="BD307" i="2"/>
  <c r="BE307" i="2" s="1"/>
  <c r="BD274" i="2"/>
  <c r="BE274" i="2" s="1"/>
  <c r="BD314" i="2"/>
  <c r="BE314" i="2" s="1"/>
  <c r="BD209" i="2"/>
  <c r="BE209" i="2" s="1"/>
  <c r="BD277" i="2"/>
  <c r="BE277" i="2" s="1"/>
  <c r="BD260" i="2"/>
  <c r="BE260" i="2" s="1"/>
  <c r="AM11" i="5"/>
  <c r="BD326" i="2"/>
  <c r="BE326" i="2" s="1"/>
  <c r="BD335" i="2"/>
  <c r="BE335" i="2" s="1"/>
  <c r="BD268" i="2"/>
  <c r="BE268" i="2" s="1"/>
  <c r="BD301" i="2"/>
  <c r="BE301" i="2" s="1"/>
  <c r="BD264" i="2"/>
  <c r="BE264" i="2" s="1"/>
  <c r="BD263" i="2"/>
  <c r="BE263" i="2" s="1"/>
  <c r="BD351" i="2"/>
  <c r="BE351" i="2" s="1"/>
  <c r="BD352" i="2"/>
  <c r="BE352" i="2" s="1"/>
  <c r="BD225" i="2"/>
  <c r="BE225" i="2" s="1"/>
  <c r="BD345" i="2"/>
  <c r="BE345" i="2" s="1"/>
  <c r="BD332" i="2"/>
  <c r="BE332" i="2" s="1"/>
  <c r="BD256" i="2"/>
  <c r="BE256" i="2" s="1"/>
  <c r="AM10" i="5"/>
  <c r="BD179" i="2"/>
  <c r="BE179" i="2" s="1"/>
  <c r="BD364" i="2"/>
  <c r="BE364" i="2" s="1"/>
  <c r="BD288" i="2"/>
  <c r="BE288" i="2" s="1"/>
  <c r="BD183" i="2"/>
  <c r="BE183" i="2" s="1"/>
  <c r="BD275" i="2"/>
  <c r="BE275" i="2" s="1"/>
  <c r="BD363" i="2"/>
  <c r="BE363" i="2" s="1"/>
  <c r="BD194" i="2"/>
  <c r="BE194" i="2" s="1"/>
  <c r="BD325" i="2"/>
  <c r="BE325" i="2" s="1"/>
  <c r="BD304" i="2"/>
  <c r="BE304" i="2" s="1"/>
  <c r="BD198" i="2"/>
  <c r="BE198" i="2" s="1"/>
  <c r="BD367" i="2"/>
  <c r="BE367" i="2" s="1"/>
  <c r="BD200" i="2"/>
  <c r="BE200" i="2" s="1"/>
  <c r="BD289" i="2"/>
  <c r="BE289" i="2" s="1"/>
  <c r="BD341" i="2"/>
  <c r="BE341" i="2" s="1"/>
  <c r="BD320" i="2"/>
  <c r="BE320" i="2" s="1"/>
  <c r="BD230" i="2"/>
  <c r="BE230" i="2" s="1"/>
  <c r="AL15" i="5"/>
  <c r="BD262" i="2"/>
  <c r="BE262" i="2" s="1"/>
  <c r="BD223" i="2"/>
  <c r="BE223" i="2" s="1"/>
  <c r="BD311" i="2"/>
  <c r="BE311" i="2" s="1"/>
  <c r="BD298" i="2"/>
  <c r="BE298" i="2" s="1"/>
  <c r="BD334" i="2"/>
  <c r="BE334" i="2" s="1"/>
  <c r="BD212" i="2"/>
  <c r="BE212" i="2" s="1"/>
  <c r="BD189" i="2"/>
  <c r="BE189" i="2" s="1"/>
  <c r="BD185" i="2"/>
  <c r="BE185" i="2" s="1"/>
  <c r="BD308" i="2"/>
  <c r="BE308" i="2" s="1"/>
  <c r="AL14" i="5"/>
  <c r="BD227" i="2"/>
  <c r="BE227" i="2" s="1"/>
  <c r="BD221" i="2"/>
  <c r="BE221" i="2" s="1"/>
  <c r="BD201" i="2"/>
  <c r="BE201" i="2" s="1"/>
  <c r="BD324" i="2"/>
  <c r="BE324" i="2" s="1"/>
  <c r="BD282" i="2"/>
  <c r="BE282" i="2" s="1"/>
  <c r="BD231" i="2"/>
  <c r="BE231" i="2" s="1"/>
  <c r="BD306" i="2"/>
  <c r="BE306" i="2" s="1"/>
  <c r="BD366" i="2"/>
  <c r="BE366" i="2" s="1"/>
  <c r="BD237" i="2"/>
  <c r="BE237" i="2" s="1"/>
  <c r="BD217" i="2"/>
  <c r="BE217" i="2" s="1"/>
  <c r="AL12" i="5"/>
  <c r="BD290" i="2"/>
  <c r="BE290" i="2" s="1"/>
  <c r="BD235" i="2"/>
  <c r="BE235" i="2" s="1"/>
  <c r="BD323" i="2"/>
  <c r="BE323" i="2" s="1"/>
  <c r="BD253" i="2"/>
  <c r="BE253" i="2" s="1"/>
  <c r="BD233" i="2"/>
  <c r="BE233" i="2" s="1"/>
  <c r="BD184" i="2"/>
  <c r="BE184" i="2" s="1"/>
  <c r="AL13" i="5"/>
  <c r="BD294" i="2"/>
  <c r="BE294" i="2" s="1"/>
  <c r="BD239" i="2"/>
  <c r="BE239" i="2" s="1"/>
  <c r="BD327" i="2"/>
  <c r="BE327" i="2" s="1"/>
  <c r="BD322" i="2"/>
  <c r="BE322" i="2" s="1"/>
  <c r="BD245" i="2"/>
  <c r="BE245" i="2" s="1"/>
  <c r="BD269" i="2"/>
  <c r="BE269" i="2" s="1"/>
  <c r="BD216" i="2"/>
  <c r="BE216" i="2" s="1"/>
  <c r="BD196" i="2"/>
  <c r="BE196" i="2" s="1"/>
  <c r="BD354" i="2"/>
  <c r="BE354" i="2" s="1"/>
  <c r="BD193" i="2"/>
  <c r="BE193" i="2" s="1"/>
  <c r="BD329" i="2"/>
  <c r="BE329" i="2" s="1"/>
  <c r="BD312" i="2"/>
  <c r="BE312" i="2" s="1"/>
  <c r="BD240" i="2"/>
  <c r="BE240" i="2" s="1"/>
  <c r="AM16" i="5"/>
  <c r="BD365" i="2"/>
  <c r="BE365" i="2" s="1"/>
  <c r="AL10" i="5"/>
  <c r="BD359" i="2"/>
  <c r="BE359" i="2" s="1"/>
  <c r="BD244" i="2"/>
  <c r="BE244" i="2" s="1"/>
  <c r="BD273" i="2"/>
  <c r="BE273" i="2" s="1"/>
  <c r="AM14" i="5"/>
  <c r="BD206" i="2"/>
  <c r="BE206" i="2" s="1"/>
  <c r="BD191" i="2"/>
  <c r="BE191" i="2" s="1"/>
  <c r="BD283" i="2"/>
  <c r="BE283" i="2" s="1"/>
  <c r="BD226" i="2"/>
  <c r="BE226" i="2" s="1"/>
  <c r="BD305" i="2"/>
  <c r="BE305" i="2" s="1"/>
  <c r="BD228" i="2"/>
  <c r="BE228" i="2" s="1"/>
  <c r="BD336" i="2"/>
  <c r="BE336" i="2" s="1"/>
  <c r="BD210" i="2"/>
  <c r="BE210" i="2" s="1"/>
  <c r="BD199" i="2"/>
  <c r="BE199" i="2" s="1"/>
  <c r="BD287" i="2"/>
  <c r="BE287" i="2" s="1"/>
  <c r="BD204" i="2"/>
  <c r="BE204" i="2" s="1"/>
  <c r="BD321" i="2"/>
  <c r="BE321" i="2" s="1"/>
  <c r="BD248" i="2"/>
  <c r="BE248" i="2" s="1"/>
  <c r="BD291" i="2"/>
  <c r="BE291" i="2" s="1"/>
  <c r="AM12" i="5"/>
  <c r="BD278" i="2"/>
  <c r="BE278" i="2" s="1"/>
  <c r="BD315" i="2"/>
  <c r="BE315" i="2" s="1"/>
  <c r="BD302" i="2"/>
  <c r="BE302" i="2" s="1"/>
  <c r="BD350" i="2"/>
  <c r="BE350" i="2" s="1"/>
  <c r="AM15" i="5"/>
  <c r="BD319" i="2"/>
  <c r="BE319" i="2" s="1"/>
  <c r="BD318" i="2"/>
  <c r="BE318" i="2" s="1"/>
  <c r="BD243" i="2"/>
  <c r="BE243" i="2" s="1"/>
  <c r="BD331" i="2"/>
  <c r="BE331" i="2" s="1"/>
  <c r="BD330" i="2"/>
  <c r="BE330" i="2" s="1"/>
  <c r="BD180" i="2"/>
  <c r="BE180" i="2" s="1"/>
  <c r="BD213" i="2"/>
  <c r="BE213" i="2" s="1"/>
  <c r="BD285" i="2"/>
  <c r="BE285" i="2" s="1"/>
  <c r="BD265" i="2"/>
  <c r="BE265" i="2" s="1"/>
  <c r="BD232" i="2"/>
  <c r="BE232" i="2" s="1"/>
  <c r="BD224" i="2"/>
  <c r="BE224" i="2" s="1"/>
  <c r="AL11" i="5"/>
  <c r="AK17" i="5"/>
  <c r="A36" i="1" l="1"/>
  <c r="B34" i="9"/>
  <c r="AA11" i="5"/>
  <c r="AJ15" i="5"/>
  <c r="BD310" i="2"/>
  <c r="BE310" i="2" s="1"/>
  <c r="AJ13" i="5"/>
  <c r="BD249" i="2"/>
  <c r="BE249" i="2" s="1"/>
  <c r="AJ16" i="5"/>
  <c r="BD340" i="2"/>
  <c r="BE340" i="2" s="1"/>
  <c r="AL17" i="5"/>
  <c r="AJ14" i="5"/>
  <c r="BD279" i="2"/>
  <c r="BE279" i="2" s="1"/>
  <c r="BD178" i="2"/>
  <c r="BE178" i="2" s="1"/>
  <c r="AJ10" i="5"/>
  <c r="AJ12" i="5"/>
  <c r="BD218" i="2"/>
  <c r="BE218" i="2" s="1"/>
  <c r="AJ11" i="5"/>
  <c r="BD187" i="2"/>
  <c r="BE187" i="2" s="1"/>
  <c r="AM17" i="5"/>
  <c r="A37" i="1" l="1"/>
  <c r="B35" i="9"/>
  <c r="AJ17" i="5"/>
  <c r="AB11" i="5"/>
  <c r="AC11" i="5"/>
  <c r="A38" i="1" l="1"/>
  <c r="B36" i="9"/>
  <c r="A39" i="1" l="1"/>
  <c r="B37" i="9"/>
  <c r="A40" i="1" l="1"/>
  <c r="B38" i="9"/>
  <c r="A41" i="1" l="1"/>
  <c r="B39" i="9"/>
  <c r="AA10" i="5"/>
  <c r="AA17" i="5" s="1"/>
  <c r="W7" i="6" s="1"/>
  <c r="A42" i="1" l="1"/>
  <c r="B40" i="9"/>
  <c r="A43" i="1" l="1"/>
  <c r="B41" i="9"/>
  <c r="AB10" i="5"/>
  <c r="AB17" i="5" s="1"/>
  <c r="A44" i="1" l="1"/>
  <c r="B42" i="9"/>
  <c r="AC10" i="5"/>
  <c r="AC17" i="5" s="1"/>
  <c r="A45" i="1" l="1"/>
  <c r="B43" i="9"/>
  <c r="A46" i="1" l="1"/>
  <c r="B44" i="9"/>
  <c r="AE9" i="5"/>
  <c r="AE8" i="5"/>
  <c r="AE10" i="5"/>
  <c r="AE5" i="5"/>
  <c r="AE15" i="5"/>
  <c r="AE14" i="5"/>
  <c r="AE6" i="5"/>
  <c r="AE16" i="5"/>
  <c r="AE13" i="5"/>
  <c r="AE7" i="5"/>
  <c r="AE11" i="5"/>
  <c r="AE12" i="5"/>
  <c r="BF7" i="2"/>
  <c r="BG7" i="2" s="1"/>
  <c r="BF8" i="2"/>
  <c r="BG8" i="2" s="1"/>
  <c r="BF9" i="2"/>
  <c r="BG9" i="2" s="1"/>
  <c r="BF10" i="2"/>
  <c r="BG10" i="2" s="1"/>
  <c r="BF11" i="2"/>
  <c r="BG11" i="2" s="1"/>
  <c r="BF12" i="2"/>
  <c r="BG12" i="2" s="1"/>
  <c r="BF13" i="2"/>
  <c r="BG13" i="2" s="1"/>
  <c r="BF14" i="2"/>
  <c r="BG14" i="2" s="1"/>
  <c r="BF15" i="2"/>
  <c r="BG15" i="2" s="1"/>
  <c r="BF16" i="2"/>
  <c r="BG16" i="2" s="1"/>
  <c r="BF17" i="2"/>
  <c r="BG17" i="2" s="1"/>
  <c r="BF18" i="2"/>
  <c r="BG18" i="2" s="1"/>
  <c r="BF19" i="2"/>
  <c r="BG19" i="2" s="1"/>
  <c r="BF20" i="2"/>
  <c r="BG20" i="2" s="1"/>
  <c r="BF21" i="2"/>
  <c r="BG21" i="2" s="1"/>
  <c r="BF22" i="2"/>
  <c r="BG22" i="2" s="1"/>
  <c r="BF23" i="2"/>
  <c r="BG23" i="2" s="1"/>
  <c r="BF24" i="2"/>
  <c r="BG24" i="2" s="1"/>
  <c r="BF25" i="2"/>
  <c r="BG25" i="2" s="1"/>
  <c r="BF26" i="2"/>
  <c r="BG26" i="2" s="1"/>
  <c r="A47" i="1" l="1"/>
  <c r="B45" i="9"/>
  <c r="K6" i="8"/>
  <c r="K7" i="8"/>
  <c r="Z16" i="5"/>
  <c r="Z7" i="5"/>
  <c r="Z14" i="5"/>
  <c r="Z15" i="5"/>
  <c r="AN5" i="5"/>
  <c r="Z5" i="5"/>
  <c r="Z13" i="5"/>
  <c r="Z8" i="5"/>
  <c r="Z12" i="5"/>
  <c r="Z9" i="5"/>
  <c r="Z10" i="5"/>
  <c r="BF6" i="2"/>
  <c r="BG6" i="2" s="1"/>
  <c r="Z6" i="5"/>
  <c r="AE17" i="5"/>
  <c r="A48" i="1" l="1"/>
  <c r="B46" i="9"/>
  <c r="L6" i="8"/>
  <c r="AN11" i="5"/>
  <c r="AN15" i="5"/>
  <c r="AN7" i="5"/>
  <c r="AO6" i="5"/>
  <c r="AO16" i="5"/>
  <c r="AO7" i="5"/>
  <c r="AN13" i="5"/>
  <c r="AN16" i="5"/>
  <c r="AN9" i="5"/>
  <c r="AN14" i="5"/>
  <c r="AN6" i="5"/>
  <c r="AN12" i="5"/>
  <c r="AO5" i="5"/>
  <c r="AN8" i="5"/>
  <c r="AO8" i="5"/>
  <c r="AN10" i="5"/>
  <c r="A49" i="1" l="1"/>
  <c r="B47" i="9"/>
  <c r="AO15" i="5"/>
  <c r="AO9" i="5"/>
  <c r="AO13" i="5"/>
  <c r="AO14" i="5"/>
  <c r="AO11" i="5"/>
  <c r="AO12" i="5"/>
  <c r="AO10" i="5"/>
  <c r="AN17" i="5"/>
  <c r="A50" i="1" l="1"/>
  <c r="B48" i="9"/>
  <c r="AO17" i="5"/>
  <c r="Z11" i="5"/>
  <c r="Z17" i="5" s="1"/>
  <c r="Q7" i="6" s="1"/>
  <c r="A51" i="1" l="1"/>
  <c r="B49" i="9"/>
  <c r="A52" i="1" l="1"/>
  <c r="B50" i="9"/>
  <c r="A53" i="1" l="1"/>
  <c r="B51" i="9"/>
  <c r="A54" i="1" l="1"/>
  <c r="B52" i="9"/>
  <c r="A55" i="1" l="1"/>
  <c r="B53" i="9"/>
  <c r="A56" i="1" l="1"/>
  <c r="B54" i="9"/>
  <c r="A57" i="1" l="1"/>
  <c r="B55" i="9"/>
  <c r="A58" i="1" l="1"/>
  <c r="B56" i="9"/>
  <c r="A59" i="1" l="1"/>
  <c r="B57" i="9"/>
  <c r="A60" i="1" l="1"/>
  <c r="B58" i="9"/>
  <c r="A61" i="1" l="1"/>
  <c r="B59" i="9"/>
  <c r="A62" i="1" l="1"/>
  <c r="B60" i="9"/>
  <c r="A63" i="1" l="1"/>
  <c r="B61" i="9"/>
  <c r="A64" i="1" l="1"/>
  <c r="B62" i="9"/>
  <c r="A65" i="1" l="1"/>
  <c r="B63" i="9"/>
  <c r="A66" i="1" l="1"/>
  <c r="B64" i="9"/>
  <c r="A67" i="1" l="1"/>
  <c r="B65" i="9"/>
  <c r="A68" i="1" l="1"/>
  <c r="B66" i="9"/>
  <c r="A69" i="1" l="1"/>
  <c r="B67" i="9"/>
  <c r="A70" i="1" l="1"/>
  <c r="B68" i="9"/>
  <c r="A71" i="1" l="1"/>
  <c r="B69" i="9"/>
  <c r="A72" i="1" l="1"/>
  <c r="B70" i="9"/>
  <c r="A73" i="1" l="1"/>
  <c r="B71" i="9"/>
  <c r="A74" i="1" l="1"/>
  <c r="B72" i="9"/>
  <c r="A75" i="1" l="1"/>
  <c r="B73" i="9"/>
  <c r="A76" i="1" l="1"/>
  <c r="B74" i="9"/>
  <c r="A77" i="1" l="1"/>
  <c r="B75" i="9"/>
  <c r="A78" i="1" l="1"/>
  <c r="B76" i="9"/>
  <c r="A79" i="1" l="1"/>
  <c r="B77" i="9"/>
  <c r="A80" i="1" l="1"/>
  <c r="B78" i="9"/>
  <c r="A81" i="1" l="1"/>
  <c r="B79" i="9"/>
  <c r="A82" i="1" l="1"/>
  <c r="B80" i="9"/>
  <c r="A83" i="1" l="1"/>
  <c r="B81" i="9"/>
  <c r="A84" i="1" l="1"/>
  <c r="B82" i="9"/>
  <c r="A85" i="1" l="1"/>
  <c r="B83" i="9"/>
  <c r="A86" i="1" l="1"/>
  <c r="B84" i="9"/>
  <c r="A87" i="1" l="1"/>
  <c r="B85" i="9"/>
  <c r="A88" i="1" l="1"/>
  <c r="B86" i="9"/>
  <c r="A89" i="1" l="1"/>
  <c r="B87" i="9"/>
  <c r="A90" i="1" l="1"/>
  <c r="B88" i="9"/>
  <c r="A91" i="1" l="1"/>
  <c r="B89" i="9"/>
  <c r="A92" i="1" l="1"/>
  <c r="B90" i="9"/>
  <c r="A93" i="1" l="1"/>
  <c r="B91" i="9"/>
  <c r="A94" i="1" l="1"/>
  <c r="B92" i="9"/>
  <c r="A95" i="1" l="1"/>
  <c r="B93" i="9"/>
  <c r="A96" i="1" l="1"/>
  <c r="B94" i="9"/>
  <c r="A97" i="1" l="1"/>
  <c r="B95" i="9"/>
  <c r="A98" i="1" l="1"/>
  <c r="B96" i="9"/>
  <c r="A99" i="1" l="1"/>
  <c r="B97" i="9"/>
  <c r="A100" i="1" l="1"/>
  <c r="B98" i="9"/>
  <c r="A101" i="1" l="1"/>
  <c r="B99" i="9"/>
  <c r="A102" i="1" l="1"/>
  <c r="B100" i="9"/>
  <c r="A103" i="1" l="1"/>
  <c r="B101" i="9"/>
  <c r="A104" i="1" l="1"/>
  <c r="B102" i="9"/>
  <c r="A105" i="1" l="1"/>
  <c r="B103" i="9"/>
  <c r="A106" i="1" l="1"/>
  <c r="B104" i="9"/>
  <c r="A107" i="1" l="1"/>
  <c r="B105" i="9"/>
  <c r="A108" i="1" l="1"/>
  <c r="B106" i="9"/>
  <c r="A109" i="1" l="1"/>
  <c r="B107" i="9"/>
  <c r="A110" i="1" l="1"/>
  <c r="B108" i="9"/>
  <c r="A111" i="1" l="1"/>
  <c r="B109" i="9"/>
  <c r="A112" i="1" l="1"/>
  <c r="B110" i="9"/>
  <c r="A113" i="1" l="1"/>
  <c r="B111" i="9"/>
  <c r="A114" i="1" l="1"/>
  <c r="B112" i="9"/>
  <c r="A115" i="1" l="1"/>
  <c r="B113" i="9"/>
  <c r="A116" i="1" l="1"/>
  <c r="B114" i="9"/>
  <c r="A117" i="1" l="1"/>
  <c r="B115" i="9"/>
  <c r="A118" i="1" l="1"/>
  <c r="B116" i="9"/>
  <c r="A119" i="1" l="1"/>
  <c r="B117" i="9"/>
  <c r="A120" i="1" l="1"/>
  <c r="B118" i="9"/>
  <c r="A121" i="1" l="1"/>
  <c r="B119" i="9"/>
  <c r="A122" i="1" l="1"/>
  <c r="B120" i="9"/>
  <c r="A123" i="1" l="1"/>
  <c r="B121" i="9"/>
  <c r="A124" i="1" l="1"/>
  <c r="B122" i="9"/>
  <c r="A125" i="1" l="1"/>
  <c r="B123" i="9"/>
  <c r="A126" i="1" l="1"/>
  <c r="B124" i="9"/>
  <c r="A127" i="1" l="1"/>
  <c r="B125" i="9"/>
  <c r="A128" i="1" l="1"/>
  <c r="B126" i="9"/>
  <c r="A129" i="1" l="1"/>
  <c r="B127" i="9"/>
  <c r="A130" i="1" l="1"/>
  <c r="B128" i="9"/>
  <c r="A131" i="1" l="1"/>
  <c r="B129" i="9"/>
  <c r="A132" i="1" l="1"/>
  <c r="B130" i="9"/>
  <c r="A133" i="1" l="1"/>
  <c r="B131" i="9"/>
  <c r="A134" i="1" l="1"/>
  <c r="B132" i="9"/>
  <c r="A135" i="1" l="1"/>
  <c r="B133" i="9"/>
  <c r="A136" i="1" l="1"/>
  <c r="B134" i="9"/>
  <c r="A137" i="1" l="1"/>
  <c r="B135" i="9"/>
  <c r="A138" i="1" l="1"/>
  <c r="B136" i="9"/>
  <c r="A139" i="1" l="1"/>
  <c r="B137" i="9"/>
  <c r="A140" i="1" l="1"/>
  <c r="B138" i="9"/>
  <c r="A141" i="1" l="1"/>
  <c r="B139" i="9"/>
  <c r="A142" i="1" l="1"/>
  <c r="B140" i="9"/>
  <c r="A143" i="1" l="1"/>
  <c r="B141" i="9"/>
  <c r="A144" i="1" l="1"/>
  <c r="B142" i="9"/>
  <c r="A145" i="1" l="1"/>
  <c r="B143" i="9"/>
  <c r="A146" i="1" l="1"/>
  <c r="B144" i="9"/>
  <c r="A147" i="1" l="1"/>
  <c r="B145" i="9"/>
  <c r="A148" i="1" l="1"/>
  <c r="B146" i="9"/>
  <c r="A149" i="1" l="1"/>
  <c r="B147" i="9"/>
  <c r="A150" i="1" l="1"/>
  <c r="B148" i="9"/>
  <c r="A151" i="1" l="1"/>
  <c r="B149" i="9"/>
  <c r="A152" i="1" l="1"/>
  <c r="B150" i="9"/>
  <c r="A153" i="1" l="1"/>
  <c r="B151" i="9"/>
  <c r="A154" i="1" l="1"/>
  <c r="B152" i="9"/>
  <c r="A155" i="1" l="1"/>
  <c r="B153" i="9"/>
  <c r="A156" i="1" l="1"/>
  <c r="B154" i="9"/>
  <c r="A157" i="1" l="1"/>
  <c r="B155" i="9"/>
  <c r="A158" i="1" l="1"/>
  <c r="B156" i="9"/>
  <c r="A159" i="1" l="1"/>
  <c r="B157" i="9"/>
  <c r="A160" i="1" l="1"/>
  <c r="B158" i="9"/>
  <c r="A161" i="1" l="1"/>
  <c r="B159" i="9"/>
  <c r="A162" i="1" l="1"/>
  <c r="B160" i="9"/>
  <c r="A163" i="1" l="1"/>
  <c r="B161" i="9"/>
  <c r="A164" i="1" l="1"/>
  <c r="B162" i="9"/>
  <c r="A165" i="1" l="1"/>
  <c r="B163" i="9"/>
  <c r="A166" i="1" l="1"/>
  <c r="B164" i="9"/>
  <c r="A167" i="1" l="1"/>
  <c r="B165" i="9"/>
  <c r="A168" i="1" l="1"/>
  <c r="B166" i="9"/>
  <c r="A169" i="1" l="1"/>
  <c r="B167" i="9"/>
  <c r="A170" i="1" l="1"/>
  <c r="B168" i="9"/>
  <c r="A171" i="1" l="1"/>
  <c r="B169" i="9"/>
  <c r="A172" i="1" l="1"/>
  <c r="B170" i="9"/>
  <c r="A173" i="1" l="1"/>
  <c r="B171" i="9"/>
  <c r="A174" i="1" l="1"/>
  <c r="B172" i="9"/>
  <c r="A175" i="1" l="1"/>
  <c r="B173" i="9"/>
  <c r="A176" i="1" l="1"/>
  <c r="B174" i="9"/>
  <c r="A177" i="1" l="1"/>
  <c r="B175" i="9"/>
  <c r="A178" i="1" l="1"/>
  <c r="B176" i="9"/>
  <c r="A179" i="1" l="1"/>
  <c r="B177" i="9"/>
  <c r="A180" i="1" l="1"/>
  <c r="B178" i="9"/>
  <c r="A181" i="1" l="1"/>
  <c r="B179" i="9"/>
  <c r="A182" i="1" l="1"/>
  <c r="B180" i="9"/>
  <c r="A183" i="1" l="1"/>
  <c r="B181" i="9"/>
  <c r="A184" i="1" l="1"/>
  <c r="B182" i="9"/>
  <c r="A185" i="1" l="1"/>
  <c r="B183" i="9"/>
  <c r="A186" i="1" l="1"/>
  <c r="B184" i="9"/>
  <c r="A187" i="1" l="1"/>
  <c r="B185" i="9"/>
  <c r="A188" i="1" l="1"/>
  <c r="B186" i="9"/>
  <c r="A189" i="1" l="1"/>
  <c r="B187" i="9"/>
  <c r="A190" i="1" l="1"/>
  <c r="B188" i="9"/>
  <c r="A191" i="1" l="1"/>
  <c r="B189" i="9"/>
  <c r="A192" i="1" l="1"/>
  <c r="B190" i="9"/>
  <c r="A193" i="1" l="1"/>
  <c r="B191" i="9"/>
  <c r="A194" i="1" l="1"/>
  <c r="B192" i="9"/>
  <c r="A195" i="1" l="1"/>
  <c r="B193" i="9"/>
  <c r="A196" i="1" l="1"/>
  <c r="B194" i="9"/>
  <c r="A197" i="1" l="1"/>
  <c r="B195" i="9"/>
  <c r="A198" i="1" l="1"/>
  <c r="B196" i="9"/>
  <c r="A199" i="1" l="1"/>
  <c r="B197" i="9"/>
  <c r="A200" i="1" l="1"/>
  <c r="B198" i="9"/>
  <c r="A201" i="1" l="1"/>
  <c r="B199" i="9"/>
  <c r="A202" i="1" l="1"/>
  <c r="B200" i="9"/>
  <c r="A203" i="1" l="1"/>
  <c r="B201" i="9"/>
  <c r="A204" i="1" l="1"/>
  <c r="B202" i="9"/>
  <c r="A205" i="1" l="1"/>
  <c r="B203" i="9"/>
  <c r="A206" i="1" l="1"/>
  <c r="B204" i="9"/>
  <c r="A207" i="1" l="1"/>
  <c r="B205" i="9"/>
  <c r="A208" i="1" l="1"/>
  <c r="B206" i="9"/>
  <c r="A209" i="1" l="1"/>
  <c r="B207" i="9"/>
  <c r="A210" i="1" l="1"/>
  <c r="B208" i="9"/>
  <c r="A211" i="1" l="1"/>
  <c r="B209" i="9"/>
  <c r="A212" i="1" l="1"/>
  <c r="B210" i="9"/>
  <c r="A213" i="1" l="1"/>
  <c r="B211" i="9"/>
  <c r="A214" i="1" l="1"/>
  <c r="B212" i="9"/>
  <c r="A215" i="1" l="1"/>
  <c r="B213" i="9"/>
  <c r="A216" i="1" l="1"/>
  <c r="B214" i="9"/>
  <c r="A217" i="1" l="1"/>
  <c r="B215" i="9"/>
  <c r="A218" i="1" l="1"/>
  <c r="B216" i="9"/>
  <c r="A219" i="1" l="1"/>
  <c r="B217" i="9"/>
  <c r="A220" i="1" l="1"/>
  <c r="B218" i="9"/>
  <c r="A221" i="1" l="1"/>
  <c r="B219" i="9"/>
  <c r="A222" i="1" l="1"/>
  <c r="B220" i="9"/>
  <c r="A223" i="1" l="1"/>
  <c r="B221" i="9"/>
  <c r="A224" i="1" l="1"/>
  <c r="B222" i="9"/>
  <c r="A225" i="1" l="1"/>
  <c r="B223" i="9"/>
  <c r="A226" i="1" l="1"/>
  <c r="B224" i="9"/>
  <c r="A227" i="1" l="1"/>
  <c r="B225" i="9"/>
  <c r="A228" i="1" l="1"/>
  <c r="B226" i="9"/>
  <c r="A229" i="1" l="1"/>
  <c r="B227" i="9"/>
  <c r="A230" i="1" l="1"/>
  <c r="B228" i="9"/>
  <c r="A231" i="1" l="1"/>
  <c r="B229" i="9"/>
  <c r="A232" i="1" l="1"/>
  <c r="B230" i="9"/>
  <c r="A233" i="1" l="1"/>
  <c r="B231" i="9"/>
  <c r="A234" i="1" l="1"/>
  <c r="B232" i="9"/>
  <c r="A235" i="1" l="1"/>
  <c r="B233" i="9"/>
  <c r="A236" i="1" l="1"/>
  <c r="B234" i="9"/>
  <c r="A237" i="1" l="1"/>
  <c r="B235" i="9"/>
  <c r="A238" i="1" l="1"/>
  <c r="B236" i="9"/>
  <c r="A239" i="1" l="1"/>
  <c r="B237" i="9"/>
  <c r="A240" i="1" l="1"/>
  <c r="B238" i="9"/>
  <c r="A241" i="1" l="1"/>
  <c r="B239" i="9"/>
  <c r="A242" i="1" l="1"/>
  <c r="B240" i="9"/>
  <c r="A243" i="1" l="1"/>
  <c r="B241" i="9"/>
  <c r="A244" i="1" l="1"/>
  <c r="B242" i="9"/>
  <c r="A245" i="1" l="1"/>
  <c r="B243" i="9"/>
  <c r="A246" i="1" l="1"/>
  <c r="B244" i="9"/>
  <c r="A247" i="1" l="1"/>
  <c r="B245" i="9"/>
  <c r="A248" i="1" l="1"/>
  <c r="B246" i="9"/>
  <c r="A249" i="1" l="1"/>
  <c r="B247" i="9"/>
  <c r="A250" i="1" l="1"/>
  <c r="B248" i="9"/>
  <c r="A251" i="1" l="1"/>
  <c r="B249" i="9"/>
  <c r="A252" i="1" l="1"/>
  <c r="B250" i="9"/>
  <c r="A253" i="1" l="1"/>
  <c r="B251" i="9"/>
  <c r="A254" i="1" l="1"/>
  <c r="B252" i="9"/>
  <c r="A255" i="1" l="1"/>
  <c r="B253" i="9"/>
  <c r="A256" i="1" l="1"/>
  <c r="B254" i="9"/>
  <c r="A257" i="1" l="1"/>
  <c r="B255" i="9"/>
  <c r="A258" i="1" l="1"/>
  <c r="B256" i="9"/>
  <c r="A259" i="1" l="1"/>
  <c r="B257" i="9"/>
  <c r="A260" i="1" l="1"/>
  <c r="B258" i="9"/>
  <c r="A261" i="1" l="1"/>
  <c r="B259" i="9"/>
  <c r="A262" i="1" l="1"/>
  <c r="B260" i="9"/>
  <c r="A263" i="1" l="1"/>
  <c r="B261" i="9"/>
  <c r="A264" i="1" l="1"/>
  <c r="B262" i="9"/>
  <c r="A265" i="1" l="1"/>
  <c r="B263" i="9"/>
  <c r="A266" i="1" l="1"/>
  <c r="B264" i="9"/>
  <c r="A267" i="1" l="1"/>
  <c r="B265" i="9"/>
  <c r="A268" i="1" l="1"/>
  <c r="B266" i="9"/>
  <c r="A269" i="1" l="1"/>
  <c r="B267" i="9"/>
  <c r="A270" i="1" l="1"/>
  <c r="B268" i="9"/>
  <c r="A271" i="1" l="1"/>
  <c r="B269" i="9"/>
  <c r="A272" i="1" l="1"/>
  <c r="B270" i="9"/>
  <c r="A273" i="1" l="1"/>
  <c r="B271" i="9"/>
  <c r="A274" i="1" l="1"/>
  <c r="B272" i="9"/>
  <c r="A275" i="1" l="1"/>
  <c r="B273" i="9"/>
  <c r="A276" i="1" l="1"/>
  <c r="B274" i="9"/>
  <c r="A277" i="1" l="1"/>
  <c r="B275" i="9"/>
  <c r="A278" i="1" l="1"/>
  <c r="B276" i="9"/>
  <c r="A279" i="1" l="1"/>
  <c r="B277" i="9"/>
  <c r="A280" i="1" l="1"/>
  <c r="B278" i="9"/>
  <c r="A281" i="1" l="1"/>
  <c r="B279" i="9"/>
  <c r="A282" i="1" l="1"/>
  <c r="B280" i="9"/>
  <c r="A283" i="1" l="1"/>
  <c r="B281" i="9"/>
  <c r="A284" i="1" l="1"/>
  <c r="B282" i="9"/>
  <c r="A285" i="1" l="1"/>
  <c r="B283" i="9"/>
  <c r="A286" i="1" l="1"/>
  <c r="B284" i="9"/>
  <c r="A287" i="1" l="1"/>
  <c r="B285" i="9"/>
  <c r="A288" i="1" l="1"/>
  <c r="B286" i="9"/>
  <c r="A289" i="1" l="1"/>
  <c r="B287" i="9"/>
  <c r="A290" i="1" l="1"/>
  <c r="B288" i="9"/>
  <c r="A291" i="1" l="1"/>
  <c r="B289" i="9"/>
  <c r="A292" i="1" l="1"/>
  <c r="B290" i="9"/>
  <c r="A293" i="1" l="1"/>
  <c r="B291" i="9"/>
  <c r="A294" i="1" l="1"/>
  <c r="B292" i="9"/>
  <c r="A295" i="1" l="1"/>
  <c r="B293" i="9"/>
  <c r="A296" i="1" l="1"/>
  <c r="B294" i="9"/>
  <c r="A297" i="1" l="1"/>
  <c r="B295" i="9"/>
  <c r="A298" i="1" l="1"/>
  <c r="B296" i="9"/>
  <c r="A299" i="1" l="1"/>
  <c r="B297" i="9"/>
  <c r="A300" i="1" l="1"/>
  <c r="B298" i="9"/>
  <c r="A301" i="1" l="1"/>
  <c r="B299" i="9"/>
  <c r="A302" i="1" l="1"/>
  <c r="B300" i="9"/>
  <c r="A303" i="1" l="1"/>
  <c r="B301" i="9"/>
  <c r="A304" i="1" l="1"/>
  <c r="B302" i="9"/>
  <c r="A305" i="1" l="1"/>
  <c r="B303" i="9"/>
  <c r="A306" i="1" l="1"/>
  <c r="B304" i="9"/>
  <c r="A307" i="1" l="1"/>
  <c r="B305" i="9"/>
  <c r="A308" i="1" l="1"/>
  <c r="B306" i="9"/>
  <c r="A309" i="1" l="1"/>
  <c r="B307" i="9"/>
  <c r="A310" i="1" l="1"/>
  <c r="B308" i="9"/>
  <c r="A311" i="1" l="1"/>
  <c r="B309" i="9"/>
  <c r="A312" i="1" l="1"/>
  <c r="B310" i="9"/>
  <c r="A313" i="1" l="1"/>
  <c r="B311" i="9"/>
  <c r="A314" i="1" l="1"/>
  <c r="B312" i="9"/>
  <c r="A315" i="1" l="1"/>
  <c r="B313" i="9"/>
  <c r="A316" i="1" l="1"/>
  <c r="B314" i="9"/>
  <c r="A317" i="1" l="1"/>
  <c r="B315" i="9"/>
  <c r="A318" i="1" l="1"/>
  <c r="B316" i="9"/>
  <c r="A319" i="1" l="1"/>
  <c r="B317" i="9"/>
  <c r="A320" i="1" l="1"/>
  <c r="B318" i="9"/>
  <c r="A321" i="1" l="1"/>
  <c r="B319" i="9"/>
  <c r="A322" i="1" l="1"/>
  <c r="B320" i="9"/>
  <c r="A323" i="1" l="1"/>
  <c r="B321" i="9"/>
  <c r="A324" i="1" l="1"/>
  <c r="B322" i="9"/>
  <c r="A325" i="1" l="1"/>
  <c r="B323" i="9"/>
  <c r="A326" i="1" l="1"/>
  <c r="B324" i="9"/>
  <c r="A327" i="1" l="1"/>
  <c r="B325" i="9"/>
  <c r="A328" i="1" l="1"/>
  <c r="B326" i="9"/>
  <c r="A329" i="1" l="1"/>
  <c r="B327" i="9"/>
  <c r="A330" i="1" l="1"/>
  <c r="B328" i="9"/>
  <c r="A331" i="1" l="1"/>
  <c r="B329" i="9"/>
  <c r="A332" i="1" l="1"/>
  <c r="B330" i="9"/>
  <c r="A333" i="1" l="1"/>
  <c r="B331" i="9"/>
  <c r="A334" i="1" l="1"/>
  <c r="B332" i="9"/>
  <c r="A335" i="1" l="1"/>
  <c r="B333" i="9"/>
  <c r="A336" i="1" l="1"/>
  <c r="B334" i="9"/>
  <c r="A337" i="1" l="1"/>
  <c r="B335" i="9"/>
  <c r="A338" i="1" l="1"/>
  <c r="B336" i="9"/>
  <c r="A339" i="1" l="1"/>
  <c r="B337" i="9"/>
  <c r="A340" i="1" l="1"/>
  <c r="B338" i="9"/>
  <c r="A341" i="1" l="1"/>
  <c r="B339" i="9"/>
  <c r="A342" i="1" l="1"/>
  <c r="B340" i="9"/>
  <c r="A343" i="1" l="1"/>
  <c r="B341" i="9"/>
  <c r="A344" i="1" l="1"/>
  <c r="B342" i="9"/>
  <c r="A345" i="1" l="1"/>
  <c r="B343" i="9"/>
  <c r="A346" i="1" l="1"/>
  <c r="B344" i="9"/>
  <c r="A347" i="1" l="1"/>
  <c r="B345" i="9"/>
  <c r="A348" i="1" l="1"/>
  <c r="B346" i="9"/>
  <c r="A349" i="1" l="1"/>
  <c r="B347" i="9"/>
  <c r="A350" i="1" l="1"/>
  <c r="B348" i="9"/>
  <c r="A351" i="1" l="1"/>
  <c r="B349" i="9"/>
  <c r="A352" i="1" l="1"/>
  <c r="B350" i="9"/>
  <c r="A353" i="1" l="1"/>
  <c r="B351" i="9"/>
  <c r="A354" i="1" l="1"/>
  <c r="B352" i="9"/>
  <c r="A355" i="1" l="1"/>
  <c r="B353" i="9"/>
  <c r="A356" i="1" l="1"/>
  <c r="B354" i="9"/>
  <c r="A357" i="1" l="1"/>
  <c r="B355" i="9"/>
  <c r="A358" i="1" l="1"/>
  <c r="B356" i="9"/>
  <c r="A359" i="1" l="1"/>
  <c r="B357" i="9"/>
  <c r="A360" i="1" l="1"/>
  <c r="B358" i="9"/>
  <c r="A361" i="1" l="1"/>
  <c r="B359" i="9"/>
  <c r="A362" i="1" l="1"/>
  <c r="B360" i="9"/>
  <c r="A363" i="1" l="1"/>
  <c r="B361" i="9"/>
  <c r="A364" i="1" l="1"/>
  <c r="B362" i="9"/>
  <c r="A365" i="1" l="1"/>
  <c r="B363" i="9"/>
  <c r="A366" i="1" l="1"/>
  <c r="B364" i="9"/>
  <c r="A367" i="1" l="1"/>
  <c r="B365" i="9"/>
  <c r="A368" i="1" l="1"/>
  <c r="B366" i="9"/>
  <c r="A369" i="1" l="1"/>
  <c r="B367" i="9"/>
  <c r="A370" i="1" l="1"/>
  <c r="B369" i="9" s="1"/>
  <c r="B368" i="9"/>
  <c r="AM18" i="2"/>
  <c r="AH18" i="2" s="1"/>
  <c r="AH19" i="2"/>
  <c r="AM33" i="2"/>
  <c r="AH33" i="2" s="1"/>
  <c r="AH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tc={09889533-6B7A-46E9-9FC7-15207744F02C}</author>
  </authors>
  <commentList>
    <comment ref="AJ3" authorId="0" shapeId="0" xr:uid="{09889533-6B7A-46E9-9FC7-15207744F02C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열병합발전 : 51.39Gcal/h  
온수보일러 : 68.8Gcal/h x 3기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tc={DBF68595-312F-4007-9741-FF1F2A705BC6}</author>
    <author>tc={F2588F72-A389-4863-A5F0-43D8BA729A6F}</author>
    <author>tc={0940C130-0CB0-42E7-A948-49CCFC497C75}</author>
  </authors>
  <commentList>
    <comment ref="AX3" authorId="0" shapeId="0" xr:uid="{DBF68595-312F-4007-9741-FF1F2A705BC6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열병합발전 : 51.39Gcal/h  
온수보일러 : 68.8Gcal/h x 3기 </t>
      </text>
    </comment>
    <comment ref="AL4" authorId="1" shapeId="0" xr:uid="{F2588F72-A389-4863-A5F0-43D8BA729A6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직접 기입</t>
      </text>
    </comment>
    <comment ref="O41" authorId="2" shapeId="0" xr:uid="{0940C130-0CB0-42E7-A948-49CCFC497C7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밸브 미잠금으로 폐수발생량 많은것으로 예상
2/6 9:00 운영교대 발견 및 공유
 - 지하 TCV-8610 드레인 열림
 - 지하 청소용 시수 열림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tc={B602C519-4E63-44FF-B247-FAF05D4DFFD4}</author>
    <author>tc={B68331CB-529C-463F-B31A-048E6045397D}</author>
    <author>tc={222875CC-4B60-428C-AD0B-6A7C47336C3A}</author>
    <author>tc={2908CA7C-EACA-4086-ADBE-2912A0998F5C}</author>
    <author>tc={E863B8D7-9794-4398-83FE-D4349FEBE1A1}</author>
    <author>tc={1A6151EB-1D7F-4E1E-BDB8-A0BDE16C9CD7}</author>
    <author>tc={24B03DDC-F1E1-41A8-95EA-8B0B604AF626}</author>
    <author>tc={2A9B94CD-31A4-4CF6-AD43-C62ED8038EEF}</author>
    <author>tc={959F6464-7770-421D-815D-DD4BDBC2D363}</author>
    <author>tc={FA7A8534-10FF-497B-8D76-EC0F29C9CC79}</author>
    <author>tc={3E3ADAB3-D8D1-4FCB-A496-A063E99782C7}</author>
    <author>tc={AADF8CB7-D3AB-49C8-A502-85ABCDA38B84}</author>
    <author>tc={22D21C71-5DD3-4A09-A2E0-422266B9653D}</author>
    <author>tc={C535BB44-070B-489E-80DA-1C11BA0D199E}</author>
    <author>tc={0944DF29-B9BB-4812-B378-AA7FAD2F998E}</author>
    <author>tc={8F107094-6BD0-4284-8602-E216CFC237D8}</author>
    <author>tc={15D7CA4B-0FB1-4F67-B675-247E338C40D1}</author>
    <author>tc={E2826956-9ECD-48FF-B77D-3827B5AF6BC4}</author>
    <author>tc={7F0C4704-975C-4810-9730-E771AE9BD7A0}</author>
    <author>tc={740FEA20-7C06-4698-A70E-FCAADDB85C50}</author>
    <author>tc={7F836311-DB65-467B-979C-75A7AECB0025}</author>
    <author>tc={DD2F0F22-8C6A-4DE2-92FB-2E517D82A320}</author>
    <author>tc={4A8DE119-FBB9-442A-9D16-1E83934D7492}</author>
    <author>tc={96C914A2-6367-4BD6-A70A-CCBF1BA1BC26}</author>
    <author>tc={2677D3B7-E5F4-4568-8469-8AACE689BAE6}</author>
    <author>tc={D72012C8-FB51-485E-9340-E12B9EE56B4A}</author>
  </authors>
  <commentList>
    <comment ref="B4" authorId="0" shapeId="0" xr:uid="{B602C519-4E63-44FF-B247-FAF05D4DFFD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위드운전실적(비번356).xlsx]key-in(LO)'!AA</t>
      </text>
    </comment>
    <comment ref="D4" authorId="1" shapeId="0" xr:uid="{B68331CB-529C-463F-B31A-048E6045397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수처리동 PC</t>
      </text>
    </comment>
    <comment ref="E4" authorId="2" shapeId="0" xr:uid="{222875CC-4B60-428C-AD0B-6A7C47336C3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4F 공조기실</t>
      </text>
    </comment>
    <comment ref="F4" authorId="3" shapeId="0" xr:uid="{2908CA7C-EACA-4086-ADBE-2912A0998F5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열원동 H/C P/P 앞</t>
      </text>
    </comment>
    <comment ref="G4" authorId="4" shapeId="0" xr:uid="{E863B8D7-9794-4398-83FE-D4349FEBE1A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수처리동 전기실</t>
      </text>
    </comment>
    <comment ref="H4" authorId="5" shapeId="0" xr:uid="{1A6151EB-1D7F-4E1E-BDB8-A0BDE16C9CD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수처리동지하</t>
      </text>
    </comment>
    <comment ref="J4" authorId="6" shapeId="0" xr:uid="{24B03DDC-F1E1-41A8-95EA-8B0B604AF62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위드운전실적(비번356).xlsx]key-in(ACO)'!$AR</t>
      </text>
    </comment>
    <comment ref="K4" authorId="7" shapeId="0" xr:uid="{2A9B94CD-31A4-4CF6-AD43-C62ED8038EE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위드운전실적(비번356).xlsx]key-in(ACO)'!$AS</t>
      </text>
    </comment>
    <comment ref="L4" authorId="8" shapeId="0" xr:uid="{959F6464-7770-421D-815D-DD4BDBC2D36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위드운전실적(비번356).xlsx]key-in(ACO)'!$AV</t>
      </text>
    </comment>
    <comment ref="M4" authorId="9" shapeId="0" xr:uid="{FA7A8534-10FF-497B-8D76-EC0F29C9CC7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위드운전실적(비번356).xlsx]생산'!BA23</t>
      </text>
    </comment>
    <comment ref="N4" authorId="10" shapeId="0" xr:uid="{3E3ADAB3-D8D1-4FCB-A496-A063E99782C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위드운전실적(비번356).xlsx]생산'!BB</t>
      </text>
    </comment>
    <comment ref="O4" authorId="11" shapeId="0" xr:uid="{AADF8CB7-D3AB-49C8-A502-85ABCDA38B8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위드운전실적(비번356).xlsx]생산'!BC</t>
      </text>
    </comment>
    <comment ref="P4" authorId="12" shapeId="0" xr:uid="{22D21C71-5DD3-4A09-A2E0-422266B9653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위드운전실적(비번356).xlsx]생산'!BD</t>
      </text>
    </comment>
    <comment ref="Q4" authorId="13" shapeId="0" xr:uid="{C535BB44-070B-489E-80DA-1C11BA0D199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위드운전실적(비번356).xlsx]생산'!BE</t>
      </text>
    </comment>
    <comment ref="R4" authorId="14" shapeId="0" xr:uid="{0944DF29-B9BB-4812-B378-AA7FAD2F998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위드운전실적(비번356).xlsx]생산'!BF</t>
      </text>
    </comment>
    <comment ref="S4" authorId="15" shapeId="0" xr:uid="{8F107094-6BD0-4284-8602-E216CFC237D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위드운전실적(비번356).xlsx]운전시간외'!C3</t>
      </text>
    </comment>
    <comment ref="T4" authorId="16" shapeId="0" xr:uid="{15D7CA4B-0FB1-4F67-B675-247E338C40D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위드운전실적(비번356).xlsx]운전시간외'!D3</t>
      </text>
    </comment>
    <comment ref="U4" authorId="17" shapeId="0" xr:uid="{E2826956-9ECD-48FF-B77D-3827B5AF6BC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위드운전실적(비번356).xlsx]운전시간외'!E3</t>
      </text>
    </comment>
    <comment ref="V4" authorId="18" shapeId="0" xr:uid="{7F0C4704-975C-4810-9730-E771AE9BD7A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위드운전실적(비번356).xlsx]운전시간외'!F3</t>
      </text>
    </comment>
    <comment ref="W4" authorId="19" shapeId="0" xr:uid="{740FEA20-7C06-4698-A70E-FCAADDB85C5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위드운전실적(비번356).xlsx]생산'!F3</t>
      </text>
    </comment>
    <comment ref="X4" authorId="20" shapeId="0" xr:uid="{7F836311-DB65-467B-979C-75A7AECB002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위드운전실적(비번356).xlsx]생산'!G3</t>
      </text>
    </comment>
    <comment ref="Y4" authorId="21" shapeId="0" xr:uid="{DD2F0F22-8C6A-4DE2-92FB-2E517D82A320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위드운전실적(비번356).xlsx]생산'!H3
</t>
      </text>
    </comment>
    <comment ref="Z4" authorId="22" shapeId="0" xr:uid="{4A8DE119-FBB9-442A-9D16-1E83934D7492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위드운전실적(비번356).xlsx]생산'!I3
</t>
      </text>
    </comment>
    <comment ref="AA4" authorId="23" shapeId="0" xr:uid="{96C914A2-6367-4BD6-A70A-CCBF1BA1BC2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위드운전실적(비번356).xlsx]생산'!J3</t>
      </text>
    </comment>
    <comment ref="AB4" authorId="24" shapeId="0" xr:uid="{2677D3B7-E5F4-4568-8469-8AACE689BAE6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위드운전실적(비번356).xlsx]생산'!K3
</t>
      </text>
    </comment>
    <comment ref="AC4" authorId="25" shapeId="0" xr:uid="{D72012C8-FB51-485E-9340-E12B9EE56B4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사업장대기오염물질관리시스템 다운로드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tc={45757A23-6F46-48BD-9B2B-B168FDEDC4FF}</author>
  </authors>
  <commentList>
    <comment ref="H4" authorId="0" shapeId="0" xr:uid="{45757A23-6F46-48BD-9B2B-B168FDEDC4F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2~3 톤/hr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<sst xmlns="http://schemas.openxmlformats.org/spreadsheetml/2006/main" count="363" uniqueCount="177">
  <si>
    <t>2025년 운영 현황</t>
  </si>
  <si>
    <t>수질</t>
    <phoneticPr fontId="3" type="noConversion"/>
  </si>
  <si>
    <t>대기</t>
    <phoneticPr fontId="3" type="noConversion"/>
  </si>
  <si>
    <t>총 상수도 사용</t>
  </si>
  <si>
    <t>순수 생산량</t>
    <phoneticPr fontId="3" type="noConversion"/>
  </si>
  <si>
    <t>방류수</t>
    <phoneticPr fontId="3" type="noConversion"/>
  </si>
  <si>
    <t>총 전력 사용</t>
  </si>
  <si>
    <r>
      <t xml:space="preserve">CHP </t>
    </r>
    <r>
      <rPr>
        <b/>
        <sz val="11"/>
        <rFont val="맑은 고딕"/>
        <family val="2"/>
        <charset val="129"/>
      </rPr>
      <t>가동시간</t>
    </r>
    <phoneticPr fontId="3" type="noConversion"/>
  </si>
  <si>
    <t>LNG 사용량</t>
    <phoneticPr fontId="3" type="noConversion"/>
  </si>
  <si>
    <t>PLB#1 가동시간</t>
  </si>
  <si>
    <t>LNG 사용량</t>
  </si>
  <si>
    <t>㎥</t>
  </si>
  <si>
    <t>㎥</t>
    <phoneticPr fontId="3" type="noConversion"/>
  </si>
  <si>
    <t>Kwh</t>
    <phoneticPr fontId="3" type="noConversion"/>
  </si>
  <si>
    <t>hr</t>
    <phoneticPr fontId="3" type="noConversion"/>
  </si>
  <si>
    <t>N㎥</t>
    <phoneticPr fontId="3" type="noConversion"/>
  </si>
  <si>
    <t>hr</t>
  </si>
  <si>
    <t>N㎥</t>
  </si>
  <si>
    <t>💧</t>
  </si>
  <si>
    <t>♻️</t>
  </si>
  <si>
    <t>⚡</t>
  </si>
  <si>
    <t>⏰</t>
    <phoneticPr fontId="3" type="noConversion"/>
  </si>
  <si>
    <t>⛽</t>
    <phoneticPr fontId="3" type="noConversion"/>
  </si>
  <si>
    <t>⏰</t>
  </si>
  <si>
    <t>가동 현황</t>
    <phoneticPr fontId="3" type="noConversion"/>
  </si>
  <si>
    <t>용수사용량</t>
    <phoneticPr fontId="3" type="noConversion"/>
  </si>
  <si>
    <t>CHP</t>
    <phoneticPr fontId="3" type="noConversion"/>
  </si>
  <si>
    <t xml:space="preserve">금일 : </t>
    <phoneticPr fontId="3" type="noConversion"/>
  </si>
  <si>
    <t>검정</t>
    <phoneticPr fontId="3" type="noConversion"/>
  </si>
  <si>
    <t>시수</t>
    <phoneticPr fontId="3" type="noConversion"/>
  </si>
  <si>
    <t>생황용수</t>
    <phoneticPr fontId="3" type="noConversion"/>
  </si>
  <si>
    <t>1차냉각수</t>
    <phoneticPr fontId="3" type="noConversion"/>
  </si>
  <si>
    <t>가동시간</t>
    <phoneticPr fontId="3" type="noConversion"/>
  </si>
  <si>
    <t>열생산량</t>
    <phoneticPr fontId="3" type="noConversion"/>
  </si>
  <si>
    <t>부하율</t>
    <phoneticPr fontId="3" type="noConversion"/>
  </si>
  <si>
    <t xml:space="preserve">작일 : </t>
    <phoneticPr fontId="3" type="noConversion"/>
  </si>
  <si>
    <t>회색</t>
    <phoneticPr fontId="3" type="noConversion"/>
  </si>
  <si>
    <t>순수탱크</t>
    <phoneticPr fontId="3" type="noConversion"/>
  </si>
  <si>
    <t>순수제조량</t>
    <phoneticPr fontId="3" type="noConversion"/>
  </si>
  <si>
    <t>PLB#1</t>
    <phoneticPr fontId="3" type="noConversion"/>
  </si>
  <si>
    <t>LIT</t>
    <phoneticPr fontId="3" type="noConversion"/>
  </si>
  <si>
    <t>A</t>
    <phoneticPr fontId="3" type="noConversion"/>
  </si>
  <si>
    <t>B</t>
    <phoneticPr fontId="3" type="noConversion"/>
  </si>
  <si>
    <t>폐수처리</t>
    <phoneticPr fontId="3" type="noConversion"/>
  </si>
  <si>
    <t>PLB#2</t>
    <phoneticPr fontId="3" type="noConversion"/>
  </si>
  <si>
    <t>전력량</t>
    <phoneticPr fontId="3" type="noConversion"/>
  </si>
  <si>
    <t>-</t>
    <phoneticPr fontId="3" type="noConversion"/>
  </si>
  <si>
    <t>-</t>
  </si>
  <si>
    <t>ACC</t>
    <phoneticPr fontId="3" type="noConversion"/>
  </si>
  <si>
    <t>PLB#3</t>
    <phoneticPr fontId="3" type="noConversion"/>
  </si>
  <si>
    <t>WIT</t>
    <phoneticPr fontId="3" type="noConversion"/>
  </si>
  <si>
    <t>충수량</t>
    <phoneticPr fontId="3" type="noConversion"/>
  </si>
  <si>
    <t>합계</t>
    <phoneticPr fontId="3" type="noConversion"/>
  </si>
  <si>
    <t>평균</t>
    <phoneticPr fontId="3" type="noConversion"/>
  </si>
  <si>
    <t>단위</t>
    <phoneticPr fontId="4" type="noConversion"/>
  </si>
  <si>
    <t>ACC 충수</t>
  </si>
  <si>
    <t>A Train 생산</t>
  </si>
  <si>
    <t>B Train 생산</t>
  </si>
  <si>
    <t>순수생산</t>
    <phoneticPr fontId="3" type="noConversion"/>
  </si>
  <si>
    <t>생활용수</t>
  </si>
  <si>
    <t>1차 냉각수</t>
  </si>
  <si>
    <t>폐수 전력</t>
  </si>
  <si>
    <t>방류수</t>
  </si>
  <si>
    <t>용수사용량</t>
  </si>
  <si>
    <t>ACC LIT</t>
  </si>
  <si>
    <t>ACC WIT</t>
  </si>
  <si>
    <t>순수 LIT</t>
  </si>
  <si>
    <t>LNG사용량</t>
    <phoneticPr fontId="3" type="noConversion"/>
  </si>
  <si>
    <t>운전시간</t>
    <phoneticPr fontId="4" type="noConversion"/>
  </si>
  <si>
    <t>생산량</t>
    <phoneticPr fontId="4" type="noConversion"/>
  </si>
  <si>
    <t>연료전지 (22기)</t>
    <phoneticPr fontId="3" type="noConversion"/>
  </si>
  <si>
    <t xml:space="preserve">연료전지 기기별 가동시간 </t>
    <phoneticPr fontId="3" type="noConversion"/>
  </si>
  <si>
    <t>연료전지 기기별 LNG 사용량</t>
    <phoneticPr fontId="3" type="noConversion"/>
  </si>
  <si>
    <t>연료전지 기기별 발전량</t>
    <phoneticPr fontId="3" type="noConversion"/>
  </si>
  <si>
    <t>㎥/d</t>
    <phoneticPr fontId="3" type="noConversion"/>
  </si>
  <si>
    <t>W_CHP(사용량)</t>
    <phoneticPr fontId="4" type="noConversion"/>
  </si>
  <si>
    <t>#1 PLB(L)</t>
    <phoneticPr fontId="4" type="noConversion"/>
  </si>
  <si>
    <t>#2 PLB(L)</t>
    <phoneticPr fontId="4" type="noConversion"/>
  </si>
  <si>
    <t>#3 PLB(L)</t>
    <phoneticPr fontId="4" type="noConversion"/>
  </si>
  <si>
    <t>PLB가스
사용량오차</t>
    <phoneticPr fontId="4" type="noConversion"/>
  </si>
  <si>
    <t>W_PLB(사용량)</t>
    <phoneticPr fontId="4" type="noConversion"/>
  </si>
  <si>
    <t>주보일러</t>
    <phoneticPr fontId="4" type="noConversion"/>
  </si>
  <si>
    <t>PLB#1</t>
    <phoneticPr fontId="4" type="noConversion"/>
  </si>
  <si>
    <t>PLB#2</t>
    <phoneticPr fontId="4" type="noConversion"/>
  </si>
  <si>
    <t>PLB#3</t>
    <phoneticPr fontId="4" type="noConversion"/>
  </si>
  <si>
    <t>W_CHP(H생산)</t>
    <phoneticPr fontId="4" type="noConversion"/>
  </si>
  <si>
    <t>#1 PLB</t>
    <phoneticPr fontId="4" type="noConversion"/>
  </si>
  <si>
    <t>#2 PLB</t>
    <phoneticPr fontId="4" type="noConversion"/>
  </si>
  <si>
    <t>#3 PLB</t>
    <phoneticPr fontId="4" type="noConversion"/>
  </si>
  <si>
    <t>W_PLB(H생산)</t>
    <phoneticPr fontId="4" type="noConversion"/>
  </si>
  <si>
    <t>자체생산</t>
    <phoneticPr fontId="4" type="noConversion"/>
  </si>
  <si>
    <t>발전량</t>
    <phoneticPr fontId="3" type="noConversion"/>
  </si>
  <si>
    <t>計</t>
    <phoneticPr fontId="3" type="noConversion"/>
  </si>
  <si>
    <t>㎥/d</t>
    <phoneticPr fontId="4" type="noConversion"/>
  </si>
  <si>
    <t>kWh</t>
    <phoneticPr fontId="4" type="noConversion"/>
  </si>
  <si>
    <t>㎥Σ</t>
    <phoneticPr fontId="4" type="noConversion"/>
  </si>
  <si>
    <t>m</t>
    <phoneticPr fontId="4" type="noConversion"/>
  </si>
  <si>
    <t>mm</t>
    <phoneticPr fontId="4" type="noConversion"/>
  </si>
  <si>
    <t>운전시간(운전실적 기준)</t>
    <phoneticPr fontId="4" type="noConversion"/>
  </si>
  <si>
    <t>운전시간(가동시간 기준)</t>
    <phoneticPr fontId="4" type="noConversion"/>
  </si>
  <si>
    <t>가동시간 (기입!)</t>
    <phoneticPr fontId="4" type="noConversion"/>
  </si>
  <si>
    <t>시간당 생산량</t>
    <phoneticPr fontId="4" type="noConversion"/>
  </si>
  <si>
    <t>구분</t>
    <phoneticPr fontId="4" type="noConversion"/>
  </si>
  <si>
    <t>ACC 충수</t>
    <phoneticPr fontId="4" type="noConversion"/>
  </si>
  <si>
    <t>A Train 생산</t>
    <phoneticPr fontId="4" type="noConversion"/>
  </si>
  <si>
    <t>B Train 생산</t>
    <phoneticPr fontId="4" type="noConversion"/>
  </si>
  <si>
    <t>생활용수</t>
    <phoneticPr fontId="4" type="noConversion"/>
  </si>
  <si>
    <t>1차 냉각수</t>
    <phoneticPr fontId="4" type="noConversion"/>
  </si>
  <si>
    <t>폐수 전력</t>
    <phoneticPr fontId="4" type="noConversion"/>
  </si>
  <si>
    <t>방류수</t>
    <phoneticPr fontId="4" type="noConversion"/>
  </si>
  <si>
    <t>용수사용량</t>
    <phoneticPr fontId="4" type="noConversion"/>
  </si>
  <si>
    <t>ACC LIT</t>
    <phoneticPr fontId="4" type="noConversion"/>
  </si>
  <si>
    <t>ACC WIT</t>
    <phoneticPr fontId="4" type="noConversion"/>
  </si>
  <si>
    <t>순수 LIT</t>
    <phoneticPr fontId="4" type="noConversion"/>
  </si>
  <si>
    <t>PLB#3</t>
  </si>
  <si>
    <t>CHP</t>
    <phoneticPr fontId="4" type="noConversion"/>
  </si>
  <si>
    <t>PLB</t>
    <phoneticPr fontId="4" type="noConversion"/>
  </si>
  <si>
    <t>㎥Σ</t>
  </si>
  <si>
    <t>LNG 사용량(N㎥)</t>
    <phoneticPr fontId="4" type="noConversion"/>
  </si>
  <si>
    <t>수열량</t>
    <phoneticPr fontId="4" type="noConversion"/>
  </si>
  <si>
    <t>&lt;원수계통&gt;</t>
    <phoneticPr fontId="3" type="noConversion"/>
  </si>
  <si>
    <t>설비가동</t>
    <phoneticPr fontId="4" type="noConversion"/>
  </si>
  <si>
    <t>사용여부</t>
    <phoneticPr fontId="31" type="noConversion"/>
  </si>
  <si>
    <t>계량기</t>
    <phoneticPr fontId="31" type="noConversion"/>
  </si>
  <si>
    <t>사용량</t>
    <phoneticPr fontId="31" type="noConversion"/>
  </si>
  <si>
    <t>단위</t>
    <phoneticPr fontId="31" type="noConversion"/>
  </si>
  <si>
    <t>근거</t>
    <phoneticPr fontId="31" type="noConversion"/>
  </si>
  <si>
    <t>시수조 유입</t>
    <phoneticPr fontId="4" type="noConversion"/>
  </si>
  <si>
    <t>PLB2</t>
    <phoneticPr fontId="4" type="noConversion"/>
  </si>
  <si>
    <t>원수저장조</t>
    <phoneticPr fontId="31" type="noConversion"/>
  </si>
  <si>
    <t>생활용수탱크</t>
    <phoneticPr fontId="31" type="noConversion"/>
  </si>
  <si>
    <t>미사용</t>
    <phoneticPr fontId="31" type="noConversion"/>
  </si>
  <si>
    <t>-</t>
    <phoneticPr fontId="31" type="noConversion"/>
  </si>
  <si>
    <t>직공급으로 변경해서 미사용</t>
    <phoneticPr fontId="31" type="noConversion"/>
  </si>
  <si>
    <t>리턴</t>
    <phoneticPr fontId="31" type="noConversion"/>
  </si>
  <si>
    <t>사용</t>
    <phoneticPr fontId="31" type="noConversion"/>
  </si>
  <si>
    <t>리턴으로 산정 제외</t>
    <phoneticPr fontId="31" type="noConversion"/>
  </si>
  <si>
    <t>흄스크러버</t>
    <phoneticPr fontId="31" type="noConversion"/>
  </si>
  <si>
    <t>염산 흄스크러버</t>
    <phoneticPr fontId="31" type="noConversion"/>
  </si>
  <si>
    <t>t/d</t>
    <phoneticPr fontId="31" type="noConversion"/>
  </si>
  <si>
    <t>통합공정도</t>
    <phoneticPr fontId="31" type="noConversion"/>
  </si>
  <si>
    <t>응급세안 및 아이샤워</t>
    <phoneticPr fontId="31" type="noConversion"/>
  </si>
  <si>
    <t>비상 설비로 사용량 없음</t>
    <phoneticPr fontId="31" type="noConversion"/>
  </si>
  <si>
    <t>탈질설비</t>
    <phoneticPr fontId="31" type="noConversion"/>
  </si>
  <si>
    <t>암모니아수 밀봉TK</t>
    <phoneticPr fontId="31" type="noConversion"/>
  </si>
  <si>
    <t>t/y</t>
    <phoneticPr fontId="31" type="noConversion"/>
  </si>
  <si>
    <t>실제교체 년 1-2회로 용량*교체횟수</t>
    <phoneticPr fontId="31" type="noConversion"/>
  </si>
  <si>
    <t>암모니아수 TK</t>
    <phoneticPr fontId="31" type="noConversion"/>
  </si>
  <si>
    <t>암모니아수 TK 살수장치</t>
    <phoneticPr fontId="31" type="noConversion"/>
  </si>
  <si>
    <t>가압장(Service Water)</t>
    <phoneticPr fontId="31" type="noConversion"/>
  </si>
  <si>
    <t>실제로는 설비 세척 등으로 있으나, 산정 어려움</t>
    <phoneticPr fontId="31" type="noConversion"/>
  </si>
  <si>
    <t>가스공기예열기</t>
    <phoneticPr fontId="31" type="noConversion"/>
  </si>
  <si>
    <t xml:space="preserve">2차냉각수 </t>
    <phoneticPr fontId="31" type="noConversion"/>
  </si>
  <si>
    <t>약품주입계통</t>
    <phoneticPr fontId="3" type="noConversion"/>
  </si>
  <si>
    <t xml:space="preserve">수처리동 약품 </t>
    <phoneticPr fontId="3" type="noConversion"/>
  </si>
  <si>
    <t>미사용</t>
    <phoneticPr fontId="3" type="noConversion"/>
  </si>
  <si>
    <t>가성 희석라인으로 미사용</t>
    <phoneticPr fontId="3" type="noConversion"/>
  </si>
  <si>
    <t>냉각수</t>
    <phoneticPr fontId="3" type="noConversion"/>
  </si>
  <si>
    <t>냉각탑</t>
    <phoneticPr fontId="3" type="noConversion"/>
  </si>
  <si>
    <t>사용</t>
    <phoneticPr fontId="3" type="noConversion"/>
  </si>
  <si>
    <t>㎥/hr</t>
    <phoneticPr fontId="3" type="noConversion"/>
  </si>
  <si>
    <t>1차 냉각수</t>
    <phoneticPr fontId="3" type="noConversion"/>
  </si>
  <si>
    <t>대기블로우다운탱크</t>
    <phoneticPr fontId="3" type="noConversion"/>
  </si>
  <si>
    <t>계량 불가능</t>
    <phoneticPr fontId="3" type="noConversion"/>
  </si>
  <si>
    <t>순수제조용 원수공급펌프</t>
    <phoneticPr fontId="3" type="noConversion"/>
  </si>
  <si>
    <t>소방용수</t>
    <phoneticPr fontId="3" type="noConversion"/>
  </si>
  <si>
    <t xml:space="preserve">WATER BALANCE </t>
    <phoneticPr fontId="31" type="noConversion"/>
  </si>
  <si>
    <t>BLR LOAD :</t>
    <phoneticPr fontId="31" type="noConversion"/>
  </si>
  <si>
    <t>BLR LOAD</t>
    <phoneticPr fontId="31" type="noConversion"/>
  </si>
  <si>
    <t>FQIT</t>
    <phoneticPr fontId="31" type="noConversion"/>
  </si>
  <si>
    <t>상수</t>
    <phoneticPr fontId="31" type="noConversion"/>
  </si>
  <si>
    <r>
      <rPr>
        <sz val="11"/>
        <color theme="1"/>
        <rFont val="맑은 고딕"/>
        <family val="3"/>
        <charset val="129"/>
      </rPr>
      <t>㎥</t>
    </r>
    <r>
      <rPr>
        <sz val="10.8"/>
        <color theme="1"/>
        <rFont val="맑은 고딕"/>
        <family val="3"/>
        <charset val="129"/>
      </rPr>
      <t>/h</t>
    </r>
    <phoneticPr fontId="31" type="noConversion"/>
  </si>
  <si>
    <t>변수</t>
    <phoneticPr fontId="31" type="noConversion"/>
  </si>
  <si>
    <t>FQIT-1101</t>
    <phoneticPr fontId="31" type="noConversion"/>
  </si>
  <si>
    <t>미가동</t>
    <phoneticPr fontId="31" type="noConversion"/>
  </si>
  <si>
    <t>FQIT-1101A/B</t>
    <phoneticPr fontId="31" type="noConversion"/>
  </si>
  <si>
    <t>질소 산화물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</si>
</sst>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176" formatCode="_(* #,##0_);_(* \(#,##0\);_(* &quot;-&quot;_);_(@_)"/>
    <numFmt numFmtId="177" formatCode="_(* #,##0.00_);_(* \(#,##0.00\);_(* &quot;-&quot;_);_(@_)"/>
    <numFmt numFmtId="178" formatCode="_(* #,##0.0_);_(* \(#,##0.0\);_(* &quot;-&quot;_);_(@_)"/>
    <numFmt numFmtId="179" formatCode="&quot;₩&quot;#,##0"/>
    <numFmt numFmtId="180" formatCode="#,##0.0"/>
    <numFmt numFmtId="181" formatCode="0_);[Red]\(0\)"/>
    <numFmt numFmtId="182" formatCode="#,##0_);[Red]\(#,##0\)"/>
    <numFmt numFmtId="183" formatCode="#,##0.00_);[Red]\(#,##0.00\)"/>
    <numFmt numFmtId="184" formatCode="[$-412]AM/PM\ h:mm;@"/>
    <numFmt numFmtId="185" formatCode="[$-409]yy&quot;-&quot;m&quot;-&quot;d\ h:mm\ AM/PM;@"/>
    <numFmt numFmtId="186" formatCode="0.00_);[Red]\(0.00\)"/>
    <numFmt numFmtId="187" formatCode="#,##0.0_);[Red]\(#,##0.0\)"/>
    <numFmt numFmtId="188" formatCode="0.00_ "/>
    <numFmt numFmtId="189" formatCode="yyyy&quot;년&quot;"/>
  </numFmts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20"/>
      <color rgb="FFFFFFFF"/>
      <name val="Aptos Narrow"/>
      <family val="2"/>
    </font>
    <font>
      <sz val="11"/>
      <name val="맑은 고딕"/>
      <family val="3"/>
      <charset val="129"/>
      <scheme val="minor"/>
    </font>
    <font>
      <b/>
      <sz val="11"/>
      <name val="Aptos Narrow"/>
      <family val="2"/>
    </font>
    <font>
      <b/>
      <sz val="18"/>
      <name val="Aptos Narrow"/>
      <family val="2"/>
    </font>
    <font>
      <sz val="10"/>
      <name val="Aptos Narrow"/>
      <family val="2"/>
    </font>
    <font>
      <b/>
      <sz val="11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1"/>
      <name val="맑은 고딕"/>
      <family val="2"/>
      <charset val="129"/>
    </font>
    <font>
      <sz val="10"/>
      <name val="Segoe UI Emoji"/>
      <family val="2"/>
    </font>
    <font>
      <sz val="10"/>
      <name val="Segoe UI Symbol"/>
      <family val="2"/>
    </font>
    <font>
      <sz val="10"/>
      <name val="맑은 고딕"/>
      <family val="3"/>
      <charset val="129"/>
    </font>
    <font>
      <sz val="10"/>
      <name val="Segoe UI Symbol"/>
      <family val="3"/>
    </font>
    <font>
      <b/>
      <sz val="14"/>
      <color theme="1"/>
      <name val="맑은 고딕"/>
      <family val="3"/>
      <charset val="129"/>
    </font>
    <font>
      <sz val="11"/>
      <color theme="0" tint="-0.34998626667073579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0.8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theme="3" tint="0.24994659260841701"/>
      </right>
      <top/>
      <bottom style="thick">
        <color theme="3" tint="0.24994659260841701"/>
      </bottom>
      <diagonal/>
    </border>
    <border>
      <left/>
      <right/>
      <top/>
      <bottom style="thick">
        <color theme="3" tint="0.24994659260841701"/>
      </bottom>
      <diagonal/>
    </border>
    <border>
      <left style="thick">
        <color theme="3" tint="0.24994659260841701"/>
      </left>
      <right/>
      <top/>
      <bottom style="thick">
        <color theme="3" tint="0.24994659260841701"/>
      </bottom>
      <diagonal/>
    </border>
    <border>
      <left/>
      <right style="thick">
        <color theme="3" tint="0.24994659260841701"/>
      </right>
      <top/>
      <bottom/>
      <diagonal/>
    </border>
    <border>
      <left style="thick">
        <color theme="3" tint="0.24994659260841701"/>
      </left>
      <right/>
      <top/>
      <bottom/>
      <diagonal/>
    </border>
    <border>
      <left/>
      <right style="thick">
        <color theme="3" tint="0.499984740745262"/>
      </right>
      <top/>
      <bottom style="thick">
        <color theme="3" tint="0.499984740745262"/>
      </bottom>
      <diagonal/>
    </border>
    <border>
      <left/>
      <right/>
      <top/>
      <bottom style="thick">
        <color theme="3" tint="0.499984740745262"/>
      </bottom>
      <diagonal/>
    </border>
    <border>
      <left style="thick">
        <color theme="3" tint="0.499984740745262"/>
      </left>
      <right/>
      <top/>
      <bottom style="thick">
        <color theme="3" tint="0.499984740745262"/>
      </bottom>
      <diagonal/>
    </border>
    <border>
      <left/>
      <right style="thick">
        <color theme="3" tint="0.499984740745262"/>
      </right>
      <top/>
      <bottom/>
      <diagonal/>
    </border>
    <border>
      <left style="thick">
        <color theme="3" tint="0.499984740745262"/>
      </left>
      <right/>
      <top/>
      <bottom/>
      <diagonal/>
    </border>
    <border>
      <left/>
      <right style="thick">
        <color theme="3" tint="0.24994659260841701"/>
      </right>
      <top style="thick">
        <color theme="3" tint="0.24994659260841701"/>
      </top>
      <bottom/>
      <diagonal/>
    </border>
    <border>
      <left/>
      <right/>
      <top style="thick">
        <color theme="3" tint="0.24994659260841701"/>
      </top>
      <bottom/>
      <diagonal/>
    </border>
    <border>
      <left/>
      <right style="thick">
        <color theme="3" tint="0.499984740745262"/>
      </right>
      <top style="thick">
        <color theme="3" tint="0.499984740745262"/>
      </top>
      <bottom/>
      <diagonal/>
    </border>
    <border>
      <left/>
      <right/>
      <top style="thick">
        <color theme="3" tint="0.499984740745262"/>
      </top>
      <bottom/>
      <diagonal/>
    </border>
    <border>
      <left style="thick">
        <color theme="3" tint="0.499984740745262"/>
      </left>
      <right/>
      <top style="thick">
        <color theme="3" tint="0.499984740745262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7" fillId="0" borderId="0"/>
    <xf numFmtId="0" fontId="28" fillId="0" borderId="0"/>
    <xf numFmtId="9" fontId="28" fillId="0" borderId="0" applyFont="0" applyFill="0" applyBorder="0" applyAlignment="0" applyProtection="0">
      <alignment vertical="center"/>
    </xf>
  </cellStyleXfs>
  <cellXfs count="26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177" fontId="2" fillId="0" borderId="0" xfId="1" applyNumberFormat="1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176" fontId="2" fillId="0" borderId="0" xfId="1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6" fontId="2" fillId="0" borderId="9" xfId="1" applyNumberFormat="1" applyFont="1" applyBorder="1" applyAlignment="1">
      <alignment horizontal="center" vertical="center"/>
    </xf>
    <xf numFmtId="176" fontId="2" fillId="0" borderId="5" xfId="1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7" fontId="2" fillId="0" borderId="9" xfId="1" applyNumberFormat="1" applyFont="1" applyBorder="1" applyAlignment="1">
      <alignment horizontal="center" vertical="center"/>
    </xf>
    <xf numFmtId="177" fontId="2" fillId="0" borderId="5" xfId="1" applyNumberFormat="1" applyFont="1" applyBorder="1" applyAlignment="1">
      <alignment horizontal="center" vertical="center"/>
    </xf>
    <xf numFmtId="177" fontId="2" fillId="0" borderId="0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2" fillId="0" borderId="7" xfId="0" applyFont="1" applyBorder="1" applyAlignment="1">
      <alignment horizontal="centerContinuous" vertical="center"/>
    </xf>
    <xf numFmtId="0" fontId="2" fillId="0" borderId="6" xfId="0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76" fontId="2" fillId="0" borderId="8" xfId="1" applyNumberFormat="1" applyFont="1" applyBorder="1" applyAlignment="1">
      <alignment horizontal="center" vertical="center"/>
    </xf>
    <xf numFmtId="176" fontId="2" fillId="0" borderId="4" xfId="1" applyNumberFormat="1" applyFont="1" applyBorder="1" applyAlignment="1">
      <alignment horizontal="center" vertical="center"/>
    </xf>
    <xf numFmtId="176" fontId="2" fillId="0" borderId="2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2" fillId="0" borderId="5" xfId="1" applyNumberFormat="1" applyFont="1" applyBorder="1" applyAlignment="1">
      <alignment horizontal="center" vertical="center"/>
    </xf>
    <xf numFmtId="178" fontId="2" fillId="0" borderId="9" xfId="1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Continuous" vertical="center"/>
    </xf>
    <xf numFmtId="179" fontId="2" fillId="0" borderId="7" xfId="0" applyNumberFormat="1" applyFont="1" applyBorder="1" applyAlignment="1">
      <alignment horizontal="centerContinuous" vertical="center"/>
    </xf>
    <xf numFmtId="0" fontId="0" fillId="0" borderId="0" xfId="0" applyAlignment="1"/>
    <xf numFmtId="181" fontId="6" fillId="0" borderId="0" xfId="0" applyNumberFormat="1" applyFont="1">
      <alignment vertical="center"/>
    </xf>
    <xf numFmtId="0" fontId="5" fillId="0" borderId="8" xfId="0" applyFont="1" applyBorder="1" applyAlignment="1">
      <alignment horizontal="centerContinuous" vertical="center"/>
    </xf>
    <xf numFmtId="0" fontId="5" fillId="0" borderId="4" xfId="0" applyFont="1" applyBorder="1" applyAlignment="1">
      <alignment horizontal="centerContinuous" vertical="center"/>
    </xf>
    <xf numFmtId="179" fontId="2" fillId="0" borderId="3" xfId="0" applyNumberFormat="1" applyFont="1" applyBorder="1" applyAlignment="1">
      <alignment horizontal="centerContinuous" vertical="center"/>
    </xf>
    <xf numFmtId="3" fontId="6" fillId="0" borderId="2" xfId="0" applyNumberFormat="1" applyFont="1" applyBorder="1">
      <alignment vertical="center"/>
    </xf>
    <xf numFmtId="3" fontId="6" fillId="0" borderId="13" xfId="0" applyNumberFormat="1" applyFont="1" applyBorder="1">
      <alignment vertical="center"/>
    </xf>
    <xf numFmtId="3" fontId="6" fillId="0" borderId="14" xfId="0" applyNumberFormat="1" applyFont="1" applyBorder="1">
      <alignment vertical="center"/>
    </xf>
    <xf numFmtId="3" fontId="6" fillId="0" borderId="15" xfId="0" applyNumberFormat="1" applyFont="1" applyBorder="1">
      <alignment vertical="center"/>
    </xf>
    <xf numFmtId="176" fontId="2" fillId="0" borderId="7" xfId="1" applyNumberFormat="1" applyFont="1" applyBorder="1" applyAlignment="1">
      <alignment horizontal="center" vertical="center"/>
    </xf>
    <xf numFmtId="176" fontId="2" fillId="0" borderId="3" xfId="1" applyNumberFormat="1" applyFont="1" applyBorder="1" applyAlignment="1">
      <alignment horizontal="center" vertical="center"/>
    </xf>
    <xf numFmtId="0" fontId="8" fillId="2" borderId="0" xfId="0" applyFont="1" applyFill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3" fontId="23" fillId="0" borderId="0" xfId="0" applyNumberFormat="1" applyFont="1" applyAlignment="1">
      <alignment horizontal="right"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6" fillId="0" borderId="0" xfId="0" applyFont="1">
      <alignment vertical="center"/>
    </xf>
    <xf numFmtId="3" fontId="0" fillId="0" borderId="0" xfId="0" applyNumberFormat="1" applyAlignment="1">
      <alignment horizontal="right" vertical="center"/>
    </xf>
    <xf numFmtId="182" fontId="0" fillId="2" borderId="5" xfId="0" applyNumberFormat="1" applyFill="1" applyBorder="1" applyAlignment="1">
      <alignment horizontal="left" vertical="center"/>
    </xf>
    <xf numFmtId="0" fontId="8" fillId="2" borderId="0" xfId="0" applyFont="1" applyFill="1" applyAlignment="1">
      <alignment horizontal="right" vertical="center"/>
    </xf>
    <xf numFmtId="182" fontId="0" fillId="2" borderId="0" xfId="0" applyNumberFormat="1" applyFill="1" applyAlignment="1">
      <alignment horizontal="left" vertical="center"/>
    </xf>
    <xf numFmtId="0" fontId="23" fillId="2" borderId="0" xfId="0" applyFont="1" applyFill="1" applyAlignment="1">
      <alignment horizontal="right" vertical="center"/>
    </xf>
    <xf numFmtId="0" fontId="0" fillId="0" borderId="9" xfId="0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3" fontId="23" fillId="0" borderId="9" xfId="0" applyNumberFormat="1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23" fillId="0" borderId="5" xfId="0" applyFont="1" applyBorder="1" applyAlignment="1">
      <alignment horizontal="right" vertical="center"/>
    </xf>
    <xf numFmtId="0" fontId="24" fillId="3" borderId="13" xfId="0" applyFont="1" applyFill="1" applyBorder="1" applyAlignment="1">
      <alignment horizontal="right" vertical="center"/>
    </xf>
    <xf numFmtId="0" fontId="25" fillId="3" borderId="15" xfId="0" applyFont="1" applyFill="1" applyBorder="1" applyAlignment="1">
      <alignment horizontal="right" vertical="center"/>
    </xf>
    <xf numFmtId="0" fontId="24" fillId="3" borderId="15" xfId="0" applyFont="1" applyFill="1" applyBorder="1" applyAlignment="1">
      <alignment horizontal="right" vertical="center"/>
    </xf>
    <xf numFmtId="0" fontId="25" fillId="3" borderId="14" xfId="0" applyFont="1" applyFill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8" fillId="2" borderId="2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82" fontId="0" fillId="2" borderId="0" xfId="0" applyNumberFormat="1" applyFill="1">
      <alignment vertical="center"/>
    </xf>
    <xf numFmtId="180" fontId="0" fillId="0" borderId="0" xfId="0" applyNumberFormat="1" applyAlignment="1">
      <alignment horizontal="right" vertical="center"/>
    </xf>
    <xf numFmtId="180" fontId="23" fillId="0" borderId="0" xfId="0" applyNumberFormat="1" applyFont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182" fontId="0" fillId="2" borderId="5" xfId="0" applyNumberFormat="1" applyFill="1" applyBorder="1">
      <alignment vertical="center"/>
    </xf>
    <xf numFmtId="0" fontId="24" fillId="9" borderId="13" xfId="0" applyFont="1" applyFill="1" applyBorder="1" applyAlignment="1">
      <alignment horizontal="right" vertical="center"/>
    </xf>
    <xf numFmtId="0" fontId="24" fillId="9" borderId="15" xfId="0" applyFont="1" applyFill="1" applyBorder="1" applyAlignment="1">
      <alignment horizontal="right" vertical="center"/>
    </xf>
    <xf numFmtId="0" fontId="25" fillId="9" borderId="15" xfId="0" applyFont="1" applyFill="1" applyBorder="1" applyAlignment="1">
      <alignment horizontal="right" vertical="center"/>
    </xf>
    <xf numFmtId="0" fontId="25" fillId="9" borderId="14" xfId="0" applyFont="1" applyFill="1" applyBorder="1" applyAlignment="1">
      <alignment horizontal="right" vertical="center"/>
    </xf>
    <xf numFmtId="0" fontId="24" fillId="11" borderId="13" xfId="0" applyFont="1" applyFill="1" applyBorder="1" applyAlignment="1">
      <alignment horizontal="right" vertical="center"/>
    </xf>
    <xf numFmtId="0" fontId="24" fillId="11" borderId="15" xfId="0" applyFont="1" applyFill="1" applyBorder="1" applyAlignment="1">
      <alignment horizontal="right" vertical="center"/>
    </xf>
    <xf numFmtId="0" fontId="25" fillId="11" borderId="15" xfId="0" applyFont="1" applyFill="1" applyBorder="1" applyAlignment="1">
      <alignment horizontal="right" vertical="center"/>
    </xf>
    <xf numFmtId="0" fontId="25" fillId="11" borderId="14" xfId="0" applyFont="1" applyFill="1" applyBorder="1" applyAlignment="1">
      <alignment horizontal="right" vertical="center"/>
    </xf>
    <xf numFmtId="0" fontId="24" fillId="3" borderId="2" xfId="0" applyFont="1" applyFill="1" applyBorder="1" applyAlignment="1">
      <alignment horizontal="right" vertical="center"/>
    </xf>
    <xf numFmtId="0" fontId="25" fillId="3" borderId="2" xfId="0" applyFont="1" applyFill="1" applyBorder="1" applyAlignment="1">
      <alignment horizontal="right" vertical="center"/>
    </xf>
    <xf numFmtId="0" fontId="8" fillId="0" borderId="3" xfId="0" applyFont="1" applyBorder="1" applyAlignment="1">
      <alignment horizontal="left" vertical="center"/>
    </xf>
    <xf numFmtId="0" fontId="25" fillId="0" borderId="0" xfId="0" applyFon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23" fillId="0" borderId="0" xfId="0" applyNumberFormat="1" applyFont="1" applyAlignment="1">
      <alignment horizontal="right" vertical="center"/>
    </xf>
    <xf numFmtId="4" fontId="0" fillId="0" borderId="9" xfId="0" applyNumberFormat="1" applyBorder="1" applyAlignment="1">
      <alignment horizontal="right" vertical="center"/>
    </xf>
    <xf numFmtId="4" fontId="23" fillId="0" borderId="9" xfId="0" applyNumberFormat="1" applyFont="1" applyBorder="1" applyAlignment="1">
      <alignment horizontal="right" vertical="center"/>
    </xf>
    <xf numFmtId="183" fontId="0" fillId="2" borderId="0" xfId="0" applyNumberFormat="1" applyFill="1" applyAlignment="1">
      <alignment horizontal="left" vertical="center"/>
    </xf>
    <xf numFmtId="183" fontId="0" fillId="2" borderId="5" xfId="0" applyNumberFormat="1" applyFill="1" applyBorder="1" applyAlignment="1">
      <alignment horizontal="left" vertical="center"/>
    </xf>
    <xf numFmtId="184" fontId="2" fillId="0" borderId="0" xfId="1" applyNumberFormat="1" applyFont="1" applyBorder="1" applyAlignment="1">
      <alignment horizontal="center" vertical="center"/>
    </xf>
    <xf numFmtId="185" fontId="2" fillId="0" borderId="1" xfId="1" applyNumberFormat="1" applyFont="1" applyBorder="1" applyAlignment="1">
      <alignment horizontal="center" vertical="center"/>
    </xf>
    <xf numFmtId="185" fontId="2" fillId="0" borderId="0" xfId="1" applyNumberFormat="1" applyFont="1" applyBorder="1" applyAlignment="1">
      <alignment horizontal="center" vertical="center"/>
    </xf>
    <xf numFmtId="185" fontId="2" fillId="0" borderId="3" xfId="1" applyNumberFormat="1" applyFont="1" applyBorder="1" applyAlignment="1">
      <alignment horizontal="center" vertical="center"/>
    </xf>
    <xf numFmtId="185" fontId="2" fillId="0" borderId="5" xfId="1" applyNumberFormat="1" applyFont="1" applyBorder="1" applyAlignment="1">
      <alignment horizontal="center" vertical="center"/>
    </xf>
    <xf numFmtId="186" fontId="2" fillId="0" borderId="9" xfId="1" applyNumberFormat="1" applyFont="1" applyBorder="1" applyAlignment="1">
      <alignment horizontal="center" vertical="center"/>
    </xf>
    <xf numFmtId="186" fontId="2" fillId="0" borderId="0" xfId="1" applyNumberFormat="1" applyFont="1" applyBorder="1" applyAlignment="1">
      <alignment horizontal="center" vertical="center"/>
    </xf>
    <xf numFmtId="186" fontId="2" fillId="0" borderId="7" xfId="1" applyNumberFormat="1" applyFont="1" applyBorder="1" applyAlignment="1">
      <alignment horizontal="center" vertical="center"/>
    </xf>
    <xf numFmtId="186" fontId="2" fillId="0" borderId="1" xfId="1" applyNumberFormat="1" applyFont="1" applyBorder="1" applyAlignment="1">
      <alignment horizontal="center" vertical="center"/>
    </xf>
    <xf numFmtId="186" fontId="5" fillId="0" borderId="0" xfId="1" applyNumberFormat="1" applyFont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180" fontId="23" fillId="0" borderId="9" xfId="0" applyNumberFormat="1" applyFont="1" applyBorder="1" applyAlignment="1">
      <alignment horizontal="right" vertical="center"/>
    </xf>
    <xf numFmtId="180" fontId="0" fillId="0" borderId="9" xfId="0" applyNumberFormat="1" applyBorder="1" applyAlignment="1">
      <alignment horizontal="right" vertical="center"/>
    </xf>
    <xf numFmtId="187" fontId="0" fillId="2" borderId="5" xfId="0" applyNumberFormat="1" applyFill="1" applyBorder="1" applyAlignment="1">
      <alignment horizontal="left" vertical="center"/>
    </xf>
    <xf numFmtId="3" fontId="6" fillId="0" borderId="8" xfId="0" applyNumberFormat="1" applyFont="1" applyBorder="1">
      <alignment vertical="center"/>
    </xf>
    <xf numFmtId="3" fontId="6" fillId="0" borderId="4" xfId="0" applyNumberFormat="1" applyFont="1" applyBorder="1">
      <alignment vertical="center"/>
    </xf>
    <xf numFmtId="180" fontId="6" fillId="0" borderId="4" xfId="0" applyNumberFormat="1" applyFont="1" applyBorder="1">
      <alignment vertical="center"/>
    </xf>
    <xf numFmtId="176" fontId="2" fillId="0" borderId="1" xfId="1" applyNumberFormat="1" applyFont="1" applyBorder="1" applyAlignment="1">
      <alignment horizontal="center" vertical="center"/>
    </xf>
    <xf numFmtId="178" fontId="2" fillId="0" borderId="3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Continuous" vertical="center"/>
    </xf>
    <xf numFmtId="176" fontId="2" fillId="0" borderId="11" xfId="1" applyNumberFormat="1" applyFont="1" applyBorder="1" applyAlignment="1">
      <alignment horizontal="center" vertical="center"/>
    </xf>
    <xf numFmtId="176" fontId="2" fillId="0" borderId="1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Continuous" vertical="center"/>
    </xf>
    <xf numFmtId="0" fontId="28" fillId="0" borderId="0" xfId="3"/>
    <xf numFmtId="0" fontId="28" fillId="0" borderId="17" xfId="3" applyBorder="1"/>
    <xf numFmtId="0" fontId="28" fillId="0" borderId="18" xfId="3" applyBorder="1"/>
    <xf numFmtId="0" fontId="28" fillId="0" borderId="19" xfId="3" applyBorder="1"/>
    <xf numFmtId="0" fontId="28" fillId="0" borderId="20" xfId="3" applyBorder="1"/>
    <xf numFmtId="0" fontId="29" fillId="0" borderId="0" xfId="3" applyFont="1"/>
    <xf numFmtId="0" fontId="24" fillId="0" borderId="0" xfId="3" applyFont="1"/>
    <xf numFmtId="0" fontId="28" fillId="0" borderId="21" xfId="3" applyBorder="1"/>
    <xf numFmtId="188" fontId="28" fillId="0" borderId="0" xfId="3" applyNumberFormat="1"/>
    <xf numFmtId="0" fontId="29" fillId="0" borderId="0" xfId="3" applyFont="1" applyAlignment="1">
      <alignment horizontal="center"/>
    </xf>
    <xf numFmtId="9" fontId="16" fillId="0" borderId="0" xfId="3" applyNumberFormat="1" applyFont="1"/>
    <xf numFmtId="0" fontId="32" fillId="0" borderId="0" xfId="3" applyFont="1"/>
    <xf numFmtId="0" fontId="28" fillId="0" borderId="22" xfId="3" applyBorder="1"/>
    <xf numFmtId="0" fontId="28" fillId="0" borderId="23" xfId="3" applyBorder="1"/>
    <xf numFmtId="0" fontId="28" fillId="0" borderId="24" xfId="3" applyBorder="1"/>
    <xf numFmtId="0" fontId="28" fillId="0" borderId="25" xfId="3" applyBorder="1"/>
    <xf numFmtId="0" fontId="28" fillId="0" borderId="26" xfId="3" applyBorder="1"/>
    <xf numFmtId="0" fontId="28" fillId="10" borderId="0" xfId="3" applyFill="1" applyAlignment="1">
      <alignment horizontal="center"/>
    </xf>
    <xf numFmtId="0" fontId="28" fillId="16" borderId="0" xfId="3" applyFill="1" applyAlignment="1">
      <alignment horizontal="center"/>
    </xf>
    <xf numFmtId="0" fontId="24" fillId="0" borderId="20" xfId="3" applyFont="1" applyBorder="1"/>
    <xf numFmtId="0" fontId="24" fillId="0" borderId="25" xfId="3" applyFont="1" applyBorder="1"/>
    <xf numFmtId="0" fontId="24" fillId="0" borderId="26" xfId="3" applyFont="1" applyBorder="1"/>
    <xf numFmtId="0" fontId="28" fillId="0" borderId="27" xfId="3" applyBorder="1"/>
    <xf numFmtId="0" fontId="28" fillId="0" borderId="28" xfId="3" applyBorder="1"/>
    <xf numFmtId="0" fontId="28" fillId="0" borderId="29" xfId="3" applyBorder="1"/>
    <xf numFmtId="0" fontId="28" fillId="0" borderId="30" xfId="3" applyBorder="1"/>
    <xf numFmtId="0" fontId="28" fillId="0" borderId="31" xfId="3" applyBorder="1"/>
    <xf numFmtId="178" fontId="2" fillId="0" borderId="4" xfId="1" applyNumberFormat="1" applyFont="1" applyBorder="1" applyAlignment="1">
      <alignment horizontal="center" vertical="center"/>
    </xf>
    <xf numFmtId="177" fontId="2" fillId="0" borderId="8" xfId="1" applyNumberFormat="1" applyFont="1" applyBorder="1" applyAlignment="1">
      <alignment horizontal="center" vertical="center"/>
    </xf>
    <xf numFmtId="177" fontId="2" fillId="0" borderId="2" xfId="1" applyNumberFormat="1" applyFont="1" applyBorder="1" applyAlignment="1">
      <alignment horizontal="center" vertical="center"/>
    </xf>
    <xf numFmtId="0" fontId="28" fillId="0" borderId="12" xfId="3" applyBorder="1" applyAlignment="1">
      <alignment horizontal="center"/>
    </xf>
    <xf numFmtId="0" fontId="28" fillId="0" borderId="12" xfId="3" applyBorder="1" applyAlignment="1">
      <alignment horizontal="center" wrapText="1"/>
    </xf>
    <xf numFmtId="0" fontId="0" fillId="0" borderId="12" xfId="0" applyBorder="1" applyAlignment="1">
      <alignment horizontal="center" vertical="center"/>
    </xf>
    <xf numFmtId="186" fontId="6" fillId="0" borderId="0" xfId="0" applyNumberFormat="1" applyFont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9" fontId="2" fillId="14" borderId="2" xfId="0" applyNumberFormat="1" applyFont="1" applyFill="1" applyBorder="1" applyAlignment="1">
      <alignment horizontal="center" vertical="center"/>
    </xf>
    <xf numFmtId="185" fontId="6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84" fontId="6" fillId="0" borderId="0" xfId="0" applyNumberFormat="1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>
      <alignment vertical="center"/>
    </xf>
    <xf numFmtId="181" fontId="6" fillId="0" borderId="12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77" fontId="2" fillId="0" borderId="7" xfId="1" applyNumberFormat="1" applyFont="1" applyBorder="1" applyAlignment="1">
      <alignment horizontal="center" vertical="center"/>
    </xf>
    <xf numFmtId="177" fontId="2" fillId="0" borderId="1" xfId="1" applyNumberFormat="1" applyFont="1" applyBorder="1" applyAlignment="1">
      <alignment horizontal="center" vertical="center"/>
    </xf>
    <xf numFmtId="177" fontId="2" fillId="0" borderId="3" xfId="1" applyNumberFormat="1" applyFont="1" applyBorder="1" applyAlignment="1">
      <alignment horizontal="center" vertical="center"/>
    </xf>
    <xf numFmtId="177" fontId="6" fillId="0" borderId="8" xfId="0" applyNumberFormat="1" applyFont="1" applyBorder="1">
      <alignment vertical="center"/>
    </xf>
    <xf numFmtId="177" fontId="6" fillId="0" borderId="15" xfId="0" applyNumberFormat="1" applyFont="1" applyBorder="1">
      <alignment vertical="center"/>
    </xf>
    <xf numFmtId="177" fontId="6" fillId="0" borderId="2" xfId="0" applyNumberFormat="1" applyFont="1" applyBorder="1">
      <alignment vertical="center"/>
    </xf>
    <xf numFmtId="177" fontId="6" fillId="0" borderId="13" xfId="0" applyNumberFormat="1" applyFont="1" applyBorder="1">
      <alignment vertical="center"/>
    </xf>
    <xf numFmtId="177" fontId="6" fillId="0" borderId="14" xfId="0" applyNumberFormat="1" applyFont="1" applyBorder="1">
      <alignment vertical="center"/>
    </xf>
    <xf numFmtId="189" fontId="2" fillId="0" borderId="5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76" fontId="2" fillId="0" borderId="33" xfId="1" applyNumberFormat="1" applyFont="1" applyBorder="1" applyAlignment="1">
      <alignment horizontal="center" vertical="center"/>
    </xf>
    <xf numFmtId="176" fontId="2" fillId="0" borderId="32" xfId="1" applyNumberFormat="1" applyFont="1" applyBorder="1" applyAlignment="1">
      <alignment horizontal="center" vertical="center"/>
    </xf>
    <xf numFmtId="176" fontId="2" fillId="0" borderId="34" xfId="1" applyNumberFormat="1" applyFont="1" applyBorder="1" applyAlignment="1">
      <alignment horizontal="center" vertical="center"/>
    </xf>
    <xf numFmtId="178" fontId="2" fillId="0" borderId="32" xfId="1" applyNumberFormat="1" applyFont="1" applyBorder="1" applyAlignment="1">
      <alignment horizontal="center" vertical="center"/>
    </xf>
    <xf numFmtId="177" fontId="2" fillId="0" borderId="33" xfId="1" applyNumberFormat="1" applyFont="1" applyBorder="1" applyAlignment="1">
      <alignment horizontal="center" vertical="center"/>
    </xf>
    <xf numFmtId="177" fontId="2" fillId="0" borderId="32" xfId="1" applyNumberFormat="1" applyFont="1" applyBorder="1" applyAlignment="1">
      <alignment horizontal="center" vertical="center"/>
    </xf>
    <xf numFmtId="177" fontId="2" fillId="0" borderId="34" xfId="1" applyNumberFormat="1" applyFont="1" applyBorder="1" applyAlignment="1">
      <alignment horizontal="center" vertical="center"/>
    </xf>
    <xf numFmtId="2" fontId="6" fillId="0" borderId="34" xfId="0" applyNumberFormat="1" applyFont="1" applyBorder="1" applyAlignment="1">
      <alignment horizontal="center" vertical="center"/>
    </xf>
    <xf numFmtId="186" fontId="2" fillId="0" borderId="33" xfId="1" applyNumberFormat="1" applyFont="1" applyBorder="1" applyAlignment="1">
      <alignment horizontal="center" vertical="center"/>
    </xf>
    <xf numFmtId="186" fontId="2" fillId="0" borderId="34" xfId="1" applyNumberFormat="1" applyFont="1" applyBorder="1" applyAlignment="1">
      <alignment horizontal="center" vertical="center"/>
    </xf>
    <xf numFmtId="185" fontId="2" fillId="0" borderId="34" xfId="1" applyNumberFormat="1" applyFont="1" applyBorder="1" applyAlignment="1">
      <alignment horizontal="center" vertical="center"/>
    </xf>
    <xf numFmtId="185" fontId="2" fillId="0" borderId="32" xfId="1" applyNumberFormat="1" applyFont="1" applyBorder="1" applyAlignment="1">
      <alignment horizontal="center" vertical="center"/>
    </xf>
    <xf numFmtId="184" fontId="2" fillId="0" borderId="34" xfId="1" applyNumberFormat="1" applyFont="1" applyBorder="1" applyAlignment="1">
      <alignment horizontal="center" vertical="center"/>
    </xf>
    <xf numFmtId="178" fontId="2" fillId="0" borderId="33" xfId="1" applyNumberFormat="1" applyFont="1" applyBorder="1" applyAlignment="1">
      <alignment horizontal="center" vertical="center"/>
    </xf>
    <xf numFmtId="178" fontId="2" fillId="0" borderId="34" xfId="1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178" fontId="2" fillId="0" borderId="0" xfId="1" applyNumberFormat="1" applyFont="1" applyBorder="1" applyAlignment="1">
      <alignment horizontal="center" vertical="center"/>
    </xf>
    <xf numFmtId="176" fontId="2" fillId="0" borderId="35" xfId="1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176" fontId="2" fillId="0" borderId="38" xfId="1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186" fontId="2" fillId="0" borderId="35" xfId="1" applyNumberFormat="1" applyFont="1" applyBorder="1" applyAlignment="1">
      <alignment horizontal="center" vertical="center"/>
    </xf>
    <xf numFmtId="14" fontId="2" fillId="0" borderId="32" xfId="0" applyNumberFormat="1" applyFont="1" applyBorder="1" applyAlignment="1">
      <alignment horizontal="center" vertical="center"/>
    </xf>
    <xf numFmtId="186" fontId="2" fillId="0" borderId="38" xfId="1" applyNumberFormat="1" applyFont="1" applyBorder="1" applyAlignment="1">
      <alignment horizontal="center" vertical="center"/>
    </xf>
    <xf numFmtId="14" fontId="7" fillId="0" borderId="3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12" fillId="12" borderId="0" xfId="0" applyNumberFormat="1" applyFont="1" applyFill="1" applyAlignment="1">
      <alignment horizontal="center" vertical="center"/>
    </xf>
    <xf numFmtId="3" fontId="12" fillId="13" borderId="0" xfId="0" applyNumberFormat="1" applyFont="1" applyFill="1" applyAlignment="1">
      <alignment horizontal="center" vertical="center"/>
    </xf>
    <xf numFmtId="0" fontId="0" fillId="13" borderId="0" xfId="0" applyFill="1" applyAlignment="1"/>
    <xf numFmtId="3" fontId="12" fillId="6" borderId="0" xfId="0" applyNumberFormat="1" applyFont="1" applyFill="1" applyAlignment="1">
      <alignment horizontal="center" vertical="center"/>
    </xf>
    <xf numFmtId="0" fontId="0" fillId="6" borderId="0" xfId="0" applyFill="1" applyAlignment="1"/>
    <xf numFmtId="180" fontId="12" fillId="7" borderId="0" xfId="0" applyNumberFormat="1" applyFont="1" applyFill="1" applyAlignment="1">
      <alignment horizontal="center" vertical="center"/>
    </xf>
    <xf numFmtId="0" fontId="0" fillId="7" borderId="0" xfId="0" applyFill="1" applyAlignment="1"/>
    <xf numFmtId="0" fontId="13" fillId="12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3" fontId="12" fillId="8" borderId="0" xfId="0" applyNumberFormat="1" applyFont="1" applyFill="1" applyAlignment="1">
      <alignment horizontal="center" vertical="center"/>
    </xf>
    <xf numFmtId="3" fontId="12" fillId="9" borderId="0" xfId="0" applyNumberFormat="1" applyFont="1" applyFill="1" applyAlignment="1">
      <alignment horizontal="center" vertical="center"/>
    </xf>
    <xf numFmtId="0" fontId="0" fillId="9" borderId="0" xfId="0" applyFill="1" applyAlignment="1"/>
    <xf numFmtId="180" fontId="12" fillId="10" borderId="0" xfId="0" applyNumberFormat="1" applyFont="1" applyFill="1" applyAlignment="1">
      <alignment horizontal="center" vertical="center"/>
    </xf>
    <xf numFmtId="3" fontId="12" fillId="11" borderId="0" xfId="0" applyNumberFormat="1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5" borderId="0" xfId="0" applyFont="1" applyFill="1" applyAlignment="1"/>
    <xf numFmtId="0" fontId="11" fillId="8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6" fillId="4" borderId="0" xfId="0" applyFont="1" applyFill="1" applyAlignment="1"/>
    <xf numFmtId="0" fontId="11" fillId="12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14" fontId="22" fillId="2" borderId="16" xfId="0" applyNumberFormat="1" applyFont="1" applyFill="1" applyBorder="1" applyAlignment="1">
      <alignment horizontal="right" vertical="center"/>
    </xf>
    <xf numFmtId="0" fontId="22" fillId="2" borderId="16" xfId="0" applyFont="1" applyFill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" fontId="24" fillId="16" borderId="0" xfId="3" applyNumberFormat="1" applyFont="1" applyFill="1" applyAlignment="1">
      <alignment horizontal="center"/>
    </xf>
    <xf numFmtId="9" fontId="24" fillId="14" borderId="0" xfId="4" applyFont="1" applyFill="1" applyAlignment="1">
      <alignment horizontal="center"/>
    </xf>
    <xf numFmtId="0" fontId="24" fillId="15" borderId="0" xfId="3" applyFont="1" applyFill="1" applyAlignment="1">
      <alignment horizontal="center"/>
    </xf>
    <xf numFmtId="0" fontId="28" fillId="15" borderId="0" xfId="3" applyFill="1" applyAlignment="1">
      <alignment horizontal="center"/>
    </xf>
    <xf numFmtId="0" fontId="24" fillId="14" borderId="0" xfId="3" applyFont="1" applyFill="1" applyAlignment="1">
      <alignment horizontal="center"/>
    </xf>
    <xf numFmtId="0" fontId="24" fillId="16" borderId="0" xfId="3" applyFont="1" applyFill="1" applyAlignment="1">
      <alignment horizontal="center"/>
    </xf>
    <xf numFmtId="0" fontId="24" fillId="10" borderId="0" xfId="3" applyFont="1" applyFill="1" applyAlignment="1">
      <alignment horizontal="center"/>
    </xf>
    <xf numFmtId="2" fontId="24" fillId="14" borderId="0" xfId="3" applyNumberFormat="1" applyFont="1" applyFill="1" applyAlignment="1">
      <alignment horizontal="center"/>
    </xf>
    <xf numFmtId="188" fontId="24" fillId="14" borderId="0" xfId="3" applyNumberFormat="1" applyFont="1" applyFill="1" applyAlignment="1">
      <alignment horizontal="center"/>
    </xf>
  </cellXfs>
  <cellStyles count="5">
    <cellStyle name="백분율 2" xfId="4" xr:uid="{93CA1647-39C5-4FBC-BA70-BB1C6159A896}"/>
    <cellStyle name="쉼표 [0]" xfId="1" builtinId="6"/>
    <cellStyle name="표준" xfId="0" builtinId="0"/>
    <cellStyle name="표준 2" xfId="3" xr:uid="{700E7E7A-0E46-44A7-A0EA-3F4123E8B80B}"/>
    <cellStyle name="표준 3" xfId="2" xr:uid="{D543B8D3-F5E3-429F-AAC1-B9D5D9FA0E52}"/>
  </cellStyles>
  <dxfs count="7">
    <dxf>
      <font>
        <b/>
        <i val="0"/>
      </font>
      <border>
        <top style="dotted">
          <color rgb="FFFF0000"/>
        </top>
        <bottom style="dotted">
          <color rgb="FFFF0000"/>
        </bottom>
        <vertical/>
        <horizontal/>
      </border>
    </dxf>
    <dxf>
      <font>
        <b/>
        <i val="0"/>
      </font>
      <border>
        <top style="dotted">
          <color rgb="FFFF0000"/>
        </top>
        <bottom style="dotted">
          <color rgb="FFFF0000"/>
        </bottom>
        <vertical/>
        <horizontal/>
      </border>
    </dxf>
    <dxf>
      <font>
        <b/>
        <i val="0"/>
      </font>
      <border>
        <top style="dotted">
          <color rgb="FFFF0000"/>
        </top>
        <bottom style="dotted">
          <color rgb="FFFF0000"/>
        </bottom>
        <vertical/>
        <horizontal/>
      </border>
    </dxf>
    <dxf>
      <font>
        <b/>
        <i val="0"/>
      </font>
      <border>
        <top style="dotted">
          <color rgb="FFFF0000"/>
        </top>
        <bottom style="dotted">
          <color rgb="FFFF0000"/>
        </bottom>
        <vertical/>
        <horizontal/>
      </border>
    </dxf>
    <dxf>
      <font>
        <b/>
        <i val="0"/>
      </font>
      <border>
        <top style="dotted">
          <color rgb="FFFF0000"/>
        </top>
        <bottom style="dotted">
          <color rgb="FFFF0000"/>
        </bottom>
        <vertical/>
        <horizontal/>
      </border>
    </dxf>
    <dxf>
      <font>
        <b/>
        <i val="0"/>
      </font>
      <border>
        <top style="dotted">
          <color rgb="FFFF0000"/>
        </top>
        <bottom style="dotted">
          <color rgb="FFFF0000"/>
        </bottom>
        <vertical/>
        <horizontal/>
      </border>
    </dxf>
    <dxf>
      <font>
        <b/>
        <i val="0"/>
      </font>
      <border>
        <top style="dotted">
          <color rgb="FFFF0000"/>
        </top>
        <bottom style="dotted">
          <color rgb="FFFF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theme" Target="theme/theme1.xml"/><Relationship Id="rId36" Type="http://schemas.openxmlformats.org/officeDocument/2006/relationships/customXml" Target="../customXml/item3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2.xml"/><Relationship Id="rId8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14764</xdr:colOff>
      <xdr:row>10</xdr:row>
      <xdr:rowOff>163565</xdr:rowOff>
    </xdr:from>
    <xdr:to>
      <xdr:col>33</xdr:col>
      <xdr:colOff>18202</xdr:colOff>
      <xdr:row>20</xdr:row>
      <xdr:rowOff>86274</xdr:rowOff>
    </xdr:to>
    <xdr:sp macro="" textlink="">
      <xdr:nvSpPr>
        <xdr:cNvPr id="2" name="자유형: 도형 1">
          <a:extLst>
            <a:ext uri="{FF2B5EF4-FFF2-40B4-BE49-F238E27FC236}">
              <a16:creationId xmlns:a16="http://schemas.microsoft.com/office/drawing/2014/main" id="{82BAF124-78BA-40FB-8D7A-725648521F91}"/>
            </a:ext>
          </a:extLst>
        </xdr:cNvPr>
        <xdr:cNvSpPr/>
      </xdr:nvSpPr>
      <xdr:spPr>
        <a:xfrm>
          <a:off x="5272564" y="2322565"/>
          <a:ext cx="2289438" cy="2081709"/>
        </a:xfrm>
        <a:custGeom>
          <a:avLst/>
          <a:gdLst>
            <a:gd name="connsiteX0" fmla="*/ 0 w 2752725"/>
            <a:gd name="connsiteY0" fmla="*/ 0 h 1762125"/>
            <a:gd name="connsiteX1" fmla="*/ 0 w 2752725"/>
            <a:gd name="connsiteY1" fmla="*/ 1762125 h 1762125"/>
            <a:gd name="connsiteX2" fmla="*/ 2752725 w 2752725"/>
            <a:gd name="connsiteY2" fmla="*/ 1762125 h 1762125"/>
            <a:gd name="connsiteX3" fmla="*/ 2752725 w 2752725"/>
            <a:gd name="connsiteY3" fmla="*/ 0 h 1762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752725" h="1762125">
              <a:moveTo>
                <a:pt x="0" y="0"/>
              </a:moveTo>
              <a:lnTo>
                <a:pt x="0" y="1762125"/>
              </a:lnTo>
              <a:lnTo>
                <a:pt x="2752725" y="1762125"/>
              </a:lnTo>
              <a:lnTo>
                <a:pt x="2752725" y="0"/>
              </a:lnTo>
            </a:path>
          </a:pathLst>
        </a:custGeom>
        <a:noFill/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56061</xdr:colOff>
      <xdr:row>13</xdr:row>
      <xdr:rowOff>18368</xdr:rowOff>
    </xdr:from>
    <xdr:to>
      <xdr:col>32</xdr:col>
      <xdr:colOff>198287</xdr:colOff>
      <xdr:row>20</xdr:row>
      <xdr:rowOff>48083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EBE14D5-F3F4-45AA-A375-A06B0ABE0C91}"/>
            </a:ext>
          </a:extLst>
        </xdr:cNvPr>
        <xdr:cNvSpPr/>
      </xdr:nvSpPr>
      <xdr:spPr>
        <a:xfrm>
          <a:off x="5313861" y="2825068"/>
          <a:ext cx="2199626" cy="1541015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100" b="1">
              <a:latin typeface="+mn-ea"/>
              <a:ea typeface="+mn-ea"/>
            </a:rPr>
            <a:t>RAW WATER TANK</a:t>
          </a:r>
          <a:endParaRPr lang="ko-KR" altLang="en-US" sz="1100" b="1"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28589</xdr:colOff>
      <xdr:row>11</xdr:row>
      <xdr:rowOff>30984</xdr:rowOff>
    </xdr:from>
    <xdr:to>
      <xdr:col>6</xdr:col>
      <xdr:colOff>212961</xdr:colOff>
      <xdr:row>12</xdr:row>
      <xdr:rowOff>176688</xdr:rowOff>
    </xdr:to>
    <xdr:sp macro="" textlink="">
      <xdr:nvSpPr>
        <xdr:cNvPr id="4" name="화살표: 오각형 3">
          <a:extLst>
            <a:ext uri="{FF2B5EF4-FFF2-40B4-BE49-F238E27FC236}">
              <a16:creationId xmlns:a16="http://schemas.microsoft.com/office/drawing/2014/main" id="{806C6CCE-21A6-469F-9374-E7900BE4BD68}"/>
            </a:ext>
          </a:extLst>
        </xdr:cNvPr>
        <xdr:cNvSpPr/>
      </xdr:nvSpPr>
      <xdr:spPr>
        <a:xfrm>
          <a:off x="257189" y="2405884"/>
          <a:ext cx="1327372" cy="361604"/>
        </a:xfrm>
        <a:prstGeom prst="homePlate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ctr"/>
          <a:r>
            <a:rPr lang="ko-KR" altLang="en-US" sz="1400"/>
            <a:t>시  수</a:t>
          </a:r>
        </a:p>
      </xdr:txBody>
    </xdr:sp>
    <xdr:clientData/>
  </xdr:twoCellAnchor>
  <xdr:twoCellAnchor>
    <xdr:from>
      <xdr:col>6</xdr:col>
      <xdr:colOff>179746</xdr:colOff>
      <xdr:row>11</xdr:row>
      <xdr:rowOff>166980</xdr:rowOff>
    </xdr:from>
    <xdr:to>
      <xdr:col>23</xdr:col>
      <xdr:colOff>14764</xdr:colOff>
      <xdr:row>12</xdr:row>
      <xdr:rowOff>521</xdr:rowOff>
    </xdr:to>
    <xdr:sp macro="" textlink="">
      <xdr:nvSpPr>
        <xdr:cNvPr id="5" name="자유형: 도형 4">
          <a:extLst>
            <a:ext uri="{FF2B5EF4-FFF2-40B4-BE49-F238E27FC236}">
              <a16:creationId xmlns:a16="http://schemas.microsoft.com/office/drawing/2014/main" id="{DA343CE3-2F4E-46AF-8AC5-3018A8E1D9BC}"/>
            </a:ext>
          </a:extLst>
        </xdr:cNvPr>
        <xdr:cNvSpPr/>
      </xdr:nvSpPr>
      <xdr:spPr>
        <a:xfrm flipV="1">
          <a:off x="1551346" y="2541880"/>
          <a:ext cx="3721218" cy="49441"/>
        </a:xfrm>
        <a:custGeom>
          <a:avLst/>
          <a:gdLst>
            <a:gd name="connsiteX0" fmla="*/ 0 w 1838325"/>
            <a:gd name="connsiteY0" fmla="*/ 0 h 0"/>
            <a:gd name="connsiteX1" fmla="*/ 1838325 w 18383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38325">
              <a:moveTo>
                <a:pt x="0" y="0"/>
              </a:moveTo>
              <a:lnTo>
                <a:pt x="1838325" y="0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87964</xdr:colOff>
      <xdr:row>11</xdr:row>
      <xdr:rowOff>19702</xdr:rowOff>
    </xdr:from>
    <xdr:to>
      <xdr:col>10</xdr:col>
      <xdr:colOff>179145</xdr:colOff>
      <xdr:row>12</xdr:row>
      <xdr:rowOff>199251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E4B48AE5-ADDB-47A0-9E72-7E96CEEEE74B}"/>
            </a:ext>
          </a:extLst>
        </xdr:cNvPr>
        <xdr:cNvGrpSpPr/>
      </xdr:nvGrpSpPr>
      <xdr:grpSpPr>
        <a:xfrm>
          <a:off x="2114191" y="2357657"/>
          <a:ext cx="316318" cy="387367"/>
          <a:chOff x="5522604" y="2931283"/>
          <a:chExt cx="322713" cy="334655"/>
        </a:xfrm>
      </xdr:grpSpPr>
      <xdr:sp macro="" textlink="">
        <xdr:nvSpPr>
          <xdr:cNvPr id="7" name="순서도: 연결자 6">
            <a:extLst>
              <a:ext uri="{FF2B5EF4-FFF2-40B4-BE49-F238E27FC236}">
                <a16:creationId xmlns:a16="http://schemas.microsoft.com/office/drawing/2014/main" id="{4136E206-C427-2F44-8F33-F4C8E26880EF}"/>
              </a:ext>
            </a:extLst>
          </xdr:cNvPr>
          <xdr:cNvSpPr/>
        </xdr:nvSpPr>
        <xdr:spPr>
          <a:xfrm>
            <a:off x="5522604" y="2931283"/>
            <a:ext cx="322713" cy="334655"/>
          </a:xfrm>
          <a:prstGeom prst="flowChartConnector">
            <a:avLst/>
          </a:prstGeom>
          <a:noFill/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" name="순서도: 연결자 7">
            <a:extLst>
              <a:ext uri="{FF2B5EF4-FFF2-40B4-BE49-F238E27FC236}">
                <a16:creationId xmlns:a16="http://schemas.microsoft.com/office/drawing/2014/main" id="{651B43B3-FC8C-38E8-3A3D-2C0935AD8BD1}"/>
              </a:ext>
            </a:extLst>
          </xdr:cNvPr>
          <xdr:cNvSpPr/>
        </xdr:nvSpPr>
        <xdr:spPr>
          <a:xfrm>
            <a:off x="5619228" y="2954598"/>
            <a:ext cx="132213" cy="134393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" name="순서도: 연결자 8">
            <a:extLst>
              <a:ext uri="{FF2B5EF4-FFF2-40B4-BE49-F238E27FC236}">
                <a16:creationId xmlns:a16="http://schemas.microsoft.com/office/drawing/2014/main" id="{56511D0A-C131-D936-0654-D50CCEDA6D46}"/>
              </a:ext>
            </a:extLst>
          </xdr:cNvPr>
          <xdr:cNvSpPr/>
        </xdr:nvSpPr>
        <xdr:spPr>
          <a:xfrm>
            <a:off x="5622592" y="3112259"/>
            <a:ext cx="129038" cy="131218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15</xdr:col>
      <xdr:colOff>17233</xdr:colOff>
      <xdr:row>12</xdr:row>
      <xdr:rowOff>170</xdr:rowOff>
    </xdr:from>
    <xdr:to>
      <xdr:col>15</xdr:col>
      <xdr:colOff>205874</xdr:colOff>
      <xdr:row>19</xdr:row>
      <xdr:rowOff>42701</xdr:rowOff>
    </xdr:to>
    <xdr:sp macro="" textlink="">
      <xdr:nvSpPr>
        <xdr:cNvPr id="10" name="자유형: 도형 9">
          <a:extLst>
            <a:ext uri="{FF2B5EF4-FFF2-40B4-BE49-F238E27FC236}">
              <a16:creationId xmlns:a16="http://schemas.microsoft.com/office/drawing/2014/main" id="{1F5886EA-5BC9-4647-B75F-C22E009767E4}"/>
            </a:ext>
          </a:extLst>
        </xdr:cNvPr>
        <xdr:cNvSpPr/>
      </xdr:nvSpPr>
      <xdr:spPr>
        <a:xfrm>
          <a:off x="3446233" y="2590970"/>
          <a:ext cx="188641" cy="1553831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193732</xdr:colOff>
      <xdr:row>18</xdr:row>
      <xdr:rowOff>178966</xdr:rowOff>
    </xdr:from>
    <xdr:to>
      <xdr:col>16</xdr:col>
      <xdr:colOff>205570</xdr:colOff>
      <xdr:row>19</xdr:row>
      <xdr:rowOff>144428</xdr:rowOff>
    </xdr:to>
    <xdr:sp macro="" textlink="">
      <xdr:nvSpPr>
        <xdr:cNvPr id="11" name="순서도: 대조 10">
          <a:extLst>
            <a:ext uri="{FF2B5EF4-FFF2-40B4-BE49-F238E27FC236}">
              <a16:creationId xmlns:a16="http://schemas.microsoft.com/office/drawing/2014/main" id="{E97CC2CE-3224-4269-A283-CE12BDE51E73}"/>
            </a:ext>
          </a:extLst>
        </xdr:cNvPr>
        <xdr:cNvSpPr/>
      </xdr:nvSpPr>
      <xdr:spPr>
        <a:xfrm rot="16200000">
          <a:off x="3652270" y="4035628"/>
          <a:ext cx="181362" cy="240438"/>
        </a:xfrm>
        <a:prstGeom prst="flowChartCollat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2385</xdr:colOff>
      <xdr:row>18</xdr:row>
      <xdr:rowOff>105902</xdr:rowOff>
    </xdr:from>
    <xdr:to>
      <xdr:col>20</xdr:col>
      <xdr:colOff>63923</xdr:colOff>
      <xdr:row>19</xdr:row>
      <xdr:rowOff>203869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EF51CF-693D-432F-B42B-137F82C81A86}"/>
            </a:ext>
          </a:extLst>
        </xdr:cNvPr>
        <xdr:cNvSpPr txBox="1"/>
      </xdr:nvSpPr>
      <xdr:spPr>
        <a:xfrm>
          <a:off x="3888585" y="3992102"/>
          <a:ext cx="747338" cy="3138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r>
            <a:rPr lang="ko-KR" altLang="en-US" sz="1100">
              <a:solidFill>
                <a:srgbClr val="FF0000"/>
              </a:solidFill>
            </a:rPr>
            <a:t>시수소화전</a:t>
          </a:r>
        </a:p>
      </xdr:txBody>
    </xdr:sp>
    <xdr:clientData/>
  </xdr:twoCellAnchor>
  <xdr:twoCellAnchor>
    <xdr:from>
      <xdr:col>15</xdr:col>
      <xdr:colOff>137035</xdr:colOff>
      <xdr:row>11</xdr:row>
      <xdr:rowOff>136434</xdr:rowOff>
    </xdr:from>
    <xdr:to>
      <xdr:col>16</xdr:col>
      <xdr:colOff>141820</xdr:colOff>
      <xdr:row>12</xdr:row>
      <xdr:rowOff>101897</xdr:rowOff>
    </xdr:to>
    <xdr:sp macro="" textlink="">
      <xdr:nvSpPr>
        <xdr:cNvPr id="13" name="순서도: 대조 12">
          <a:extLst>
            <a:ext uri="{FF2B5EF4-FFF2-40B4-BE49-F238E27FC236}">
              <a16:creationId xmlns:a16="http://schemas.microsoft.com/office/drawing/2014/main" id="{FE6A60E4-3BBE-4BD2-9839-E9812F5190A8}"/>
            </a:ext>
          </a:extLst>
        </xdr:cNvPr>
        <xdr:cNvSpPr/>
      </xdr:nvSpPr>
      <xdr:spPr>
        <a:xfrm rot="16200000">
          <a:off x="3592046" y="2485323"/>
          <a:ext cx="181363" cy="233385"/>
        </a:xfrm>
        <a:prstGeom prst="flowChartCollat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175433</xdr:colOff>
      <xdr:row>12</xdr:row>
      <xdr:rowOff>132556</xdr:rowOff>
    </xdr:from>
    <xdr:to>
      <xdr:col>15</xdr:col>
      <xdr:colOff>96886</xdr:colOff>
      <xdr:row>13</xdr:row>
      <xdr:rowOff>205390</xdr:rowOff>
    </xdr:to>
    <xdr:sp macro="" textlink="">
      <xdr:nvSpPr>
        <xdr:cNvPr id="14" name="순서도: 대조 13">
          <a:extLst>
            <a:ext uri="{FF2B5EF4-FFF2-40B4-BE49-F238E27FC236}">
              <a16:creationId xmlns:a16="http://schemas.microsoft.com/office/drawing/2014/main" id="{DB618419-99A3-4900-8150-088207144DCA}"/>
            </a:ext>
          </a:extLst>
        </xdr:cNvPr>
        <xdr:cNvSpPr/>
      </xdr:nvSpPr>
      <xdr:spPr>
        <a:xfrm>
          <a:off x="3375833" y="2723356"/>
          <a:ext cx="150053" cy="288734"/>
        </a:xfrm>
        <a:prstGeom prst="flowChartCollat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23028</xdr:colOff>
      <xdr:row>6</xdr:row>
      <xdr:rowOff>215900</xdr:rowOff>
    </xdr:from>
    <xdr:to>
      <xdr:col>23</xdr:col>
      <xdr:colOff>21484</xdr:colOff>
      <xdr:row>12</xdr:row>
      <xdr:rowOff>11681</xdr:rowOff>
    </xdr:to>
    <xdr:sp macro="" textlink="">
      <xdr:nvSpPr>
        <xdr:cNvPr id="15" name="자유형: 도형 14">
          <a:extLst>
            <a:ext uri="{FF2B5EF4-FFF2-40B4-BE49-F238E27FC236}">
              <a16:creationId xmlns:a16="http://schemas.microsoft.com/office/drawing/2014/main" id="{B6BD2455-C037-4187-A933-633C3EC164E7}"/>
            </a:ext>
          </a:extLst>
        </xdr:cNvPr>
        <xdr:cNvSpPr/>
      </xdr:nvSpPr>
      <xdr:spPr>
        <a:xfrm flipV="1">
          <a:off x="4137828" y="1511300"/>
          <a:ext cx="1141456" cy="1091181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21484</xdr:colOff>
      <xdr:row>6</xdr:row>
      <xdr:rowOff>40740</xdr:rowOff>
    </xdr:from>
    <xdr:to>
      <xdr:col>28</xdr:col>
      <xdr:colOff>9525</xdr:colOff>
      <xdr:row>7</xdr:row>
      <xdr:rowOff>183269</xdr:rowOff>
    </xdr:to>
    <xdr:sp macro="" textlink="">
      <xdr:nvSpPr>
        <xdr:cNvPr id="16" name="화살표: 오각형 15">
          <a:extLst>
            <a:ext uri="{FF2B5EF4-FFF2-40B4-BE49-F238E27FC236}">
              <a16:creationId xmlns:a16="http://schemas.microsoft.com/office/drawing/2014/main" id="{38AE08F0-F66E-4905-B9B1-A402B357F228}"/>
            </a:ext>
          </a:extLst>
        </xdr:cNvPr>
        <xdr:cNvSpPr/>
      </xdr:nvSpPr>
      <xdr:spPr>
        <a:xfrm>
          <a:off x="5279284" y="1336140"/>
          <a:ext cx="1131041" cy="358429"/>
        </a:xfrm>
        <a:prstGeom prst="homePlate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ko-KR" altLang="en-US" sz="1400"/>
            <a:t>생활  용수</a:t>
          </a:r>
        </a:p>
      </xdr:txBody>
    </xdr:sp>
    <xdr:clientData/>
  </xdr:twoCellAnchor>
  <xdr:twoCellAnchor>
    <xdr:from>
      <xdr:col>20</xdr:col>
      <xdr:colOff>88341</xdr:colOff>
      <xdr:row>6</xdr:row>
      <xdr:rowOff>55781</xdr:rowOff>
    </xdr:from>
    <xdr:to>
      <xdr:col>21</xdr:col>
      <xdr:colOff>179522</xdr:colOff>
      <xdr:row>8</xdr:row>
      <xdr:rowOff>16260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2E72ED4C-5602-44F0-810C-59841C00A009}"/>
            </a:ext>
          </a:extLst>
        </xdr:cNvPr>
        <xdr:cNvGrpSpPr/>
      </xdr:nvGrpSpPr>
      <xdr:grpSpPr>
        <a:xfrm>
          <a:off x="4591068" y="1320008"/>
          <a:ext cx="316318" cy="376116"/>
          <a:chOff x="5522604" y="4026411"/>
          <a:chExt cx="322713" cy="334655"/>
        </a:xfrm>
      </xdr:grpSpPr>
      <xdr:sp macro="" textlink="">
        <xdr:nvSpPr>
          <xdr:cNvPr id="18" name="순서도: 연결자 17">
            <a:extLst>
              <a:ext uri="{FF2B5EF4-FFF2-40B4-BE49-F238E27FC236}">
                <a16:creationId xmlns:a16="http://schemas.microsoft.com/office/drawing/2014/main" id="{710F4D39-EB78-C98F-8393-4033C32BE0C8}"/>
              </a:ext>
            </a:extLst>
          </xdr:cNvPr>
          <xdr:cNvSpPr/>
        </xdr:nvSpPr>
        <xdr:spPr>
          <a:xfrm>
            <a:off x="5522604" y="4026411"/>
            <a:ext cx="322713" cy="334655"/>
          </a:xfrm>
          <a:prstGeom prst="flowChartConnector">
            <a:avLst/>
          </a:prstGeom>
          <a:noFill/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" name="순서도: 연결자 18">
            <a:extLst>
              <a:ext uri="{FF2B5EF4-FFF2-40B4-BE49-F238E27FC236}">
                <a16:creationId xmlns:a16="http://schemas.microsoft.com/office/drawing/2014/main" id="{67F7FBF0-A065-ED5B-B8C9-E3AFB31F4A73}"/>
              </a:ext>
            </a:extLst>
          </xdr:cNvPr>
          <xdr:cNvSpPr/>
        </xdr:nvSpPr>
        <xdr:spPr>
          <a:xfrm>
            <a:off x="5619228" y="4049743"/>
            <a:ext cx="132213" cy="134393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" name="순서도: 연결자 19">
            <a:extLst>
              <a:ext uri="{FF2B5EF4-FFF2-40B4-BE49-F238E27FC236}">
                <a16:creationId xmlns:a16="http://schemas.microsoft.com/office/drawing/2014/main" id="{B302CBA3-55E2-D163-1104-0E815604FBE0}"/>
              </a:ext>
            </a:extLst>
          </xdr:cNvPr>
          <xdr:cNvSpPr/>
        </xdr:nvSpPr>
        <xdr:spPr>
          <a:xfrm>
            <a:off x="5622592" y="4207398"/>
            <a:ext cx="129038" cy="131218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19391</xdr:colOff>
      <xdr:row>12</xdr:row>
      <xdr:rowOff>11682</xdr:rowOff>
    </xdr:from>
    <xdr:to>
      <xdr:col>13</xdr:col>
      <xdr:colOff>24570</xdr:colOff>
      <xdr:row>15</xdr:row>
      <xdr:rowOff>128912</xdr:rowOff>
    </xdr:to>
    <xdr:sp macro="" textlink="">
      <xdr:nvSpPr>
        <xdr:cNvPr id="21" name="자유형: 도형 20">
          <a:extLst>
            <a:ext uri="{FF2B5EF4-FFF2-40B4-BE49-F238E27FC236}">
              <a16:creationId xmlns:a16="http://schemas.microsoft.com/office/drawing/2014/main" id="{9981351A-7ECD-4B6E-83A6-5F29BD7E58FC}"/>
            </a:ext>
          </a:extLst>
        </xdr:cNvPr>
        <xdr:cNvSpPr/>
      </xdr:nvSpPr>
      <xdr:spPr>
        <a:xfrm>
          <a:off x="1848191" y="2602482"/>
          <a:ext cx="1148179" cy="764930"/>
        </a:xfrm>
        <a:custGeom>
          <a:avLst/>
          <a:gdLst>
            <a:gd name="connsiteX0" fmla="*/ 0 w 1176046"/>
            <a:gd name="connsiteY0" fmla="*/ 0 h 660919"/>
            <a:gd name="connsiteX1" fmla="*/ 0 w 1176046"/>
            <a:gd name="connsiteY1" fmla="*/ 660919 h 660919"/>
            <a:gd name="connsiteX2" fmla="*/ 1176046 w 1176046"/>
            <a:gd name="connsiteY2" fmla="*/ 660919 h 660919"/>
            <a:gd name="connsiteX3" fmla="*/ 1176046 w 1176046"/>
            <a:gd name="connsiteY3" fmla="*/ 0 h 6609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176046" h="660919">
              <a:moveTo>
                <a:pt x="0" y="0"/>
              </a:moveTo>
              <a:lnTo>
                <a:pt x="0" y="660919"/>
              </a:lnTo>
              <a:lnTo>
                <a:pt x="1176046" y="660919"/>
              </a:lnTo>
              <a:lnTo>
                <a:pt x="1176046" y="0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82618</xdr:colOff>
      <xdr:row>14</xdr:row>
      <xdr:rowOff>139714</xdr:rowOff>
    </xdr:from>
    <xdr:to>
      <xdr:col>10</xdr:col>
      <xdr:colOff>180149</xdr:colOff>
      <xdr:row>16</xdr:row>
      <xdr:rowOff>106538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2FFF0626-65AE-497E-8AAD-43C584ADE35F}"/>
            </a:ext>
          </a:extLst>
        </xdr:cNvPr>
        <xdr:cNvGrpSpPr/>
      </xdr:nvGrpSpPr>
      <xdr:grpSpPr>
        <a:xfrm>
          <a:off x="2108845" y="3101123"/>
          <a:ext cx="322668" cy="382460"/>
          <a:chOff x="5522604" y="2931283"/>
          <a:chExt cx="322713" cy="334655"/>
        </a:xfrm>
      </xdr:grpSpPr>
      <xdr:sp macro="" textlink="">
        <xdr:nvSpPr>
          <xdr:cNvPr id="23" name="순서도: 연결자 22">
            <a:extLst>
              <a:ext uri="{FF2B5EF4-FFF2-40B4-BE49-F238E27FC236}">
                <a16:creationId xmlns:a16="http://schemas.microsoft.com/office/drawing/2014/main" id="{BCD5C691-F799-5F0B-DEF3-D7EBDCDACBAB}"/>
              </a:ext>
            </a:extLst>
          </xdr:cNvPr>
          <xdr:cNvSpPr/>
        </xdr:nvSpPr>
        <xdr:spPr>
          <a:xfrm>
            <a:off x="5522604" y="2931283"/>
            <a:ext cx="322713" cy="334655"/>
          </a:xfrm>
          <a:prstGeom prst="flowChartConnector">
            <a:avLst/>
          </a:prstGeom>
          <a:noFill/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순서도: 연결자 23">
            <a:extLst>
              <a:ext uri="{FF2B5EF4-FFF2-40B4-BE49-F238E27FC236}">
                <a16:creationId xmlns:a16="http://schemas.microsoft.com/office/drawing/2014/main" id="{1214F889-699F-9A3D-FAA8-8D224AC7D25F}"/>
              </a:ext>
            </a:extLst>
          </xdr:cNvPr>
          <xdr:cNvSpPr/>
        </xdr:nvSpPr>
        <xdr:spPr>
          <a:xfrm>
            <a:off x="5619228" y="2954598"/>
            <a:ext cx="132213" cy="134393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" name="순서도: 연결자 24">
            <a:extLst>
              <a:ext uri="{FF2B5EF4-FFF2-40B4-BE49-F238E27FC236}">
                <a16:creationId xmlns:a16="http://schemas.microsoft.com/office/drawing/2014/main" id="{3AC0DF1D-4A9E-E23D-17FF-D3F1AB1604D9}"/>
              </a:ext>
            </a:extLst>
          </xdr:cNvPr>
          <xdr:cNvSpPr/>
        </xdr:nvSpPr>
        <xdr:spPr>
          <a:xfrm>
            <a:off x="5622592" y="3112259"/>
            <a:ext cx="129038" cy="131218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34</xdr:col>
      <xdr:colOff>188517</xdr:colOff>
      <xdr:row>11</xdr:row>
      <xdr:rowOff>208011</xdr:rowOff>
    </xdr:from>
    <xdr:to>
      <xdr:col>36</xdr:col>
      <xdr:colOff>165099</xdr:colOff>
      <xdr:row>14</xdr:row>
      <xdr:rowOff>18290</xdr:rowOff>
    </xdr:to>
    <xdr:pic>
      <xdr:nvPicPr>
        <xdr:cNvPr id="26" name="그래픽 25" descr="왼쪽 화살표가 있는 원 단색으로 채워진">
          <a:extLst>
            <a:ext uri="{FF2B5EF4-FFF2-40B4-BE49-F238E27FC236}">
              <a16:creationId xmlns:a16="http://schemas.microsoft.com/office/drawing/2014/main" id="{CD5D836D-5E01-48B3-AB13-579A9B807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7960917" y="2582911"/>
          <a:ext cx="433782" cy="457979"/>
        </a:xfrm>
        <a:prstGeom prst="rect">
          <a:avLst/>
        </a:prstGeom>
      </xdr:spPr>
    </xdr:pic>
    <xdr:clientData/>
  </xdr:twoCellAnchor>
  <xdr:twoCellAnchor>
    <xdr:from>
      <xdr:col>34</xdr:col>
      <xdr:colOff>204780</xdr:colOff>
      <xdr:row>17</xdr:row>
      <xdr:rowOff>211693</xdr:rowOff>
    </xdr:from>
    <xdr:to>
      <xdr:col>36</xdr:col>
      <xdr:colOff>172766</xdr:colOff>
      <xdr:row>20</xdr:row>
      <xdr:rowOff>25733</xdr:rowOff>
    </xdr:to>
    <xdr:pic>
      <xdr:nvPicPr>
        <xdr:cNvPr id="27" name="그래픽 26" descr="왼쪽 화살표가 있는 원 단색으로 채워진">
          <a:extLst>
            <a:ext uri="{FF2B5EF4-FFF2-40B4-BE49-F238E27FC236}">
              <a16:creationId xmlns:a16="http://schemas.microsoft.com/office/drawing/2014/main" id="{D12EE885-D315-4726-8F57-E22344025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0800000">
          <a:off x="7977180" y="3881993"/>
          <a:ext cx="425186" cy="461740"/>
        </a:xfrm>
        <a:prstGeom prst="rect">
          <a:avLst/>
        </a:prstGeom>
      </xdr:spPr>
    </xdr:pic>
    <xdr:clientData/>
  </xdr:twoCellAnchor>
  <xdr:twoCellAnchor>
    <xdr:from>
      <xdr:col>33</xdr:col>
      <xdr:colOff>18402</xdr:colOff>
      <xdr:row>19</xdr:row>
      <xdr:rowOff>6012</xdr:rowOff>
    </xdr:from>
    <xdr:to>
      <xdr:col>35</xdr:col>
      <xdr:colOff>31030</xdr:colOff>
      <xdr:row>19</xdr:row>
      <xdr:rowOff>6012</xdr:rowOff>
    </xdr:to>
    <xdr:sp macro="" textlink="">
      <xdr:nvSpPr>
        <xdr:cNvPr id="28" name="자유형: 도형 27">
          <a:extLst>
            <a:ext uri="{FF2B5EF4-FFF2-40B4-BE49-F238E27FC236}">
              <a16:creationId xmlns:a16="http://schemas.microsoft.com/office/drawing/2014/main" id="{DA253D9C-7D59-471D-9300-4DB3CF138F7C}"/>
            </a:ext>
          </a:extLst>
        </xdr:cNvPr>
        <xdr:cNvSpPr/>
      </xdr:nvSpPr>
      <xdr:spPr>
        <a:xfrm>
          <a:off x="7562202" y="4108112"/>
          <a:ext cx="469828" cy="0"/>
        </a:xfrm>
        <a:custGeom>
          <a:avLst/>
          <a:gdLst>
            <a:gd name="connsiteX0" fmla="*/ 0 w 709515"/>
            <a:gd name="connsiteY0" fmla="*/ 0 h 0"/>
            <a:gd name="connsiteX1" fmla="*/ 709515 w 70951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709515">
              <a:moveTo>
                <a:pt x="0" y="0"/>
              </a:moveTo>
              <a:lnTo>
                <a:pt x="709515" y="0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non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8196</xdr:colOff>
      <xdr:row>12</xdr:row>
      <xdr:rowOff>209550</xdr:rowOff>
    </xdr:from>
    <xdr:to>
      <xdr:col>35</xdr:col>
      <xdr:colOff>18099</xdr:colOff>
      <xdr:row>18</xdr:row>
      <xdr:rowOff>209550</xdr:rowOff>
    </xdr:to>
    <xdr:sp macro="" textlink="">
      <xdr:nvSpPr>
        <xdr:cNvPr id="29" name="자유형: 도형 28">
          <a:extLst>
            <a:ext uri="{FF2B5EF4-FFF2-40B4-BE49-F238E27FC236}">
              <a16:creationId xmlns:a16="http://schemas.microsoft.com/office/drawing/2014/main" id="{42BE15D3-90D2-4657-917D-B03923BC2CE9}"/>
            </a:ext>
          </a:extLst>
        </xdr:cNvPr>
        <xdr:cNvSpPr/>
      </xdr:nvSpPr>
      <xdr:spPr>
        <a:xfrm flipV="1">
          <a:off x="7780596" y="2800350"/>
          <a:ext cx="238503" cy="1295400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non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100406</xdr:colOff>
      <xdr:row>19</xdr:row>
      <xdr:rowOff>11384</xdr:rowOff>
    </xdr:from>
    <xdr:to>
      <xdr:col>41</xdr:col>
      <xdr:colOff>9211</xdr:colOff>
      <xdr:row>19</xdr:row>
      <xdr:rowOff>186872</xdr:rowOff>
    </xdr:to>
    <xdr:sp macro="" textlink="">
      <xdr:nvSpPr>
        <xdr:cNvPr id="30" name="자유형: 도형 29">
          <a:extLst>
            <a:ext uri="{FF2B5EF4-FFF2-40B4-BE49-F238E27FC236}">
              <a16:creationId xmlns:a16="http://schemas.microsoft.com/office/drawing/2014/main" id="{9E917FC1-8234-4FCC-8527-9FA9EB577563}"/>
            </a:ext>
          </a:extLst>
        </xdr:cNvPr>
        <xdr:cNvSpPr/>
      </xdr:nvSpPr>
      <xdr:spPr>
        <a:xfrm>
          <a:off x="8330006" y="4113484"/>
          <a:ext cx="1051805" cy="175488"/>
        </a:xfrm>
        <a:custGeom>
          <a:avLst/>
          <a:gdLst>
            <a:gd name="connsiteX0" fmla="*/ 0 w 1838325"/>
            <a:gd name="connsiteY0" fmla="*/ 0 h 0"/>
            <a:gd name="connsiteX1" fmla="*/ 1838325 w 18383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38325">
              <a:moveTo>
                <a:pt x="0" y="0"/>
              </a:moveTo>
              <a:lnTo>
                <a:pt x="1838325" y="0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9211</xdr:colOff>
      <xdr:row>18</xdr:row>
      <xdr:rowOff>71003</xdr:rowOff>
    </xdr:from>
    <xdr:to>
      <xdr:col>49</xdr:col>
      <xdr:colOff>133591</xdr:colOff>
      <xdr:row>19</xdr:row>
      <xdr:rowOff>216707</xdr:rowOff>
    </xdr:to>
    <xdr:sp macro="" textlink="">
      <xdr:nvSpPr>
        <xdr:cNvPr id="31" name="화살표: 오각형 30">
          <a:extLst>
            <a:ext uri="{FF2B5EF4-FFF2-40B4-BE49-F238E27FC236}">
              <a16:creationId xmlns:a16="http://schemas.microsoft.com/office/drawing/2014/main" id="{712A7FC0-0433-4663-9152-D110172F7F27}"/>
            </a:ext>
          </a:extLst>
        </xdr:cNvPr>
        <xdr:cNvSpPr/>
      </xdr:nvSpPr>
      <xdr:spPr>
        <a:xfrm>
          <a:off x="9381811" y="3957203"/>
          <a:ext cx="1953180" cy="361604"/>
        </a:xfrm>
        <a:prstGeom prst="homePlate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en-US" altLang="ko-KR" sz="1400"/>
            <a:t>2B3T &amp; MBP A/B Train</a:t>
          </a:r>
          <a:endParaRPr lang="ko-KR" altLang="en-US" sz="1400"/>
        </a:p>
      </xdr:txBody>
    </xdr:sp>
    <xdr:clientData/>
  </xdr:twoCellAnchor>
  <xdr:twoCellAnchor>
    <xdr:from>
      <xdr:col>36</xdr:col>
      <xdr:colOff>77377</xdr:colOff>
      <xdr:row>13</xdr:row>
      <xdr:rowOff>2482</xdr:rowOff>
    </xdr:from>
    <xdr:to>
      <xdr:col>40</xdr:col>
      <xdr:colOff>226097</xdr:colOff>
      <xdr:row>13</xdr:row>
      <xdr:rowOff>173155</xdr:rowOff>
    </xdr:to>
    <xdr:sp macro="" textlink="">
      <xdr:nvSpPr>
        <xdr:cNvPr id="32" name="자유형: 도형 31">
          <a:extLst>
            <a:ext uri="{FF2B5EF4-FFF2-40B4-BE49-F238E27FC236}">
              <a16:creationId xmlns:a16="http://schemas.microsoft.com/office/drawing/2014/main" id="{47D89848-C591-4AD6-A619-0CF45AFF65DC}"/>
            </a:ext>
          </a:extLst>
        </xdr:cNvPr>
        <xdr:cNvSpPr/>
      </xdr:nvSpPr>
      <xdr:spPr>
        <a:xfrm>
          <a:off x="8306977" y="2809182"/>
          <a:ext cx="1063120" cy="170673"/>
        </a:xfrm>
        <a:custGeom>
          <a:avLst/>
          <a:gdLst>
            <a:gd name="connsiteX0" fmla="*/ 0 w 1838325"/>
            <a:gd name="connsiteY0" fmla="*/ 0 h 0"/>
            <a:gd name="connsiteX1" fmla="*/ 1838325 w 18383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38325">
              <a:moveTo>
                <a:pt x="0" y="0"/>
              </a:moveTo>
              <a:lnTo>
                <a:pt x="1838325" y="0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38</xdr:col>
      <xdr:colOff>6961</xdr:colOff>
      <xdr:row>4</xdr:row>
      <xdr:rowOff>0</xdr:rowOff>
    </xdr:from>
    <xdr:to>
      <xdr:col>41</xdr:col>
      <xdr:colOff>16248</xdr:colOff>
      <xdr:row>12</xdr:row>
      <xdr:rowOff>209548</xdr:rowOff>
    </xdr:to>
    <xdr:sp macro="" textlink="">
      <xdr:nvSpPr>
        <xdr:cNvPr id="33" name="자유형: 도형 32">
          <a:extLst>
            <a:ext uri="{FF2B5EF4-FFF2-40B4-BE49-F238E27FC236}">
              <a16:creationId xmlns:a16="http://schemas.microsoft.com/office/drawing/2014/main" id="{427E0058-29A9-4615-811D-807F2735883D}"/>
            </a:ext>
          </a:extLst>
        </xdr:cNvPr>
        <xdr:cNvSpPr/>
      </xdr:nvSpPr>
      <xdr:spPr>
        <a:xfrm flipV="1">
          <a:off x="8693761" y="863600"/>
          <a:ext cx="695087" cy="1936748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7194</xdr:colOff>
      <xdr:row>12</xdr:row>
      <xdr:rowOff>47324</xdr:rowOff>
    </xdr:from>
    <xdr:to>
      <xdr:col>49</xdr:col>
      <xdr:colOff>112992</xdr:colOff>
      <xdr:row>13</xdr:row>
      <xdr:rowOff>193028</xdr:rowOff>
    </xdr:to>
    <xdr:sp macro="" textlink="">
      <xdr:nvSpPr>
        <xdr:cNvPr id="34" name="화살표: 오각형 33">
          <a:extLst>
            <a:ext uri="{FF2B5EF4-FFF2-40B4-BE49-F238E27FC236}">
              <a16:creationId xmlns:a16="http://schemas.microsoft.com/office/drawing/2014/main" id="{21019671-D0D8-456C-8285-61E2066224AD}"/>
            </a:ext>
          </a:extLst>
        </xdr:cNvPr>
        <xdr:cNvSpPr/>
      </xdr:nvSpPr>
      <xdr:spPr>
        <a:xfrm>
          <a:off x="9379794" y="2638124"/>
          <a:ext cx="1934598" cy="361604"/>
        </a:xfrm>
        <a:prstGeom prst="homePlate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ko-KR" altLang="en-US" sz="1400"/>
            <a:t>기타</a:t>
          </a:r>
          <a:r>
            <a:rPr lang="en-US" altLang="ko-KR" sz="1400"/>
            <a:t>(</a:t>
          </a:r>
          <a:r>
            <a:rPr lang="ko-KR" altLang="en-US" sz="1400"/>
            <a:t>소방</a:t>
          </a:r>
          <a:r>
            <a:rPr lang="en-US" altLang="ko-KR" sz="1400"/>
            <a:t>, </a:t>
          </a:r>
          <a:r>
            <a:rPr lang="ko-KR" altLang="en-US" sz="1400"/>
            <a:t>청소수</a:t>
          </a:r>
          <a:r>
            <a:rPr lang="en-US" altLang="ko-KR" sz="1400"/>
            <a:t>)</a:t>
          </a:r>
          <a:endParaRPr lang="ko-KR" altLang="en-US" sz="1400"/>
        </a:p>
      </xdr:txBody>
    </xdr:sp>
    <xdr:clientData/>
  </xdr:twoCellAnchor>
  <xdr:twoCellAnchor>
    <xdr:from>
      <xdr:col>41</xdr:col>
      <xdr:colOff>29229</xdr:colOff>
      <xdr:row>3</xdr:row>
      <xdr:rowOff>25542</xdr:rowOff>
    </xdr:from>
    <xdr:to>
      <xdr:col>49</xdr:col>
      <xdr:colOff>122381</xdr:colOff>
      <xdr:row>4</xdr:row>
      <xdr:rowOff>180456</xdr:rowOff>
    </xdr:to>
    <xdr:sp macro="" textlink="">
      <xdr:nvSpPr>
        <xdr:cNvPr id="35" name="화살표: 오각형 34">
          <a:extLst>
            <a:ext uri="{FF2B5EF4-FFF2-40B4-BE49-F238E27FC236}">
              <a16:creationId xmlns:a16="http://schemas.microsoft.com/office/drawing/2014/main" id="{D1C68E20-67D9-4984-A9F2-79D632C39B6F}"/>
            </a:ext>
          </a:extLst>
        </xdr:cNvPr>
        <xdr:cNvSpPr/>
      </xdr:nvSpPr>
      <xdr:spPr>
        <a:xfrm>
          <a:off x="9401829" y="673242"/>
          <a:ext cx="1921952" cy="370814"/>
        </a:xfrm>
        <a:prstGeom prst="homePlate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en-US" altLang="ko-KR" sz="1400"/>
            <a:t>1</a:t>
          </a:r>
          <a:r>
            <a:rPr lang="ko-KR" altLang="en-US" sz="1400"/>
            <a:t>차 냉각수 </a:t>
          </a:r>
          <a:r>
            <a:rPr lang="en-US" altLang="ko-KR" sz="1400"/>
            <a:t>C/Tower</a:t>
          </a:r>
          <a:endParaRPr lang="ko-KR" altLang="en-US" sz="1400"/>
        </a:p>
      </xdr:txBody>
    </xdr:sp>
    <xdr:clientData/>
  </xdr:twoCellAnchor>
  <xdr:twoCellAnchor>
    <xdr:from>
      <xdr:col>41</xdr:col>
      <xdr:colOff>19466</xdr:colOff>
      <xdr:row>6</xdr:row>
      <xdr:rowOff>11298</xdr:rowOff>
    </xdr:from>
    <xdr:to>
      <xdr:col>49</xdr:col>
      <xdr:colOff>121114</xdr:colOff>
      <xdr:row>7</xdr:row>
      <xdr:rowOff>210729</xdr:rowOff>
    </xdr:to>
    <xdr:sp macro="" textlink="">
      <xdr:nvSpPr>
        <xdr:cNvPr id="36" name="화살표: 오각형 35">
          <a:extLst>
            <a:ext uri="{FF2B5EF4-FFF2-40B4-BE49-F238E27FC236}">
              <a16:creationId xmlns:a16="http://schemas.microsoft.com/office/drawing/2014/main" id="{017A3021-69DE-4A52-86D8-39B1A739E6BC}"/>
            </a:ext>
          </a:extLst>
        </xdr:cNvPr>
        <xdr:cNvSpPr/>
      </xdr:nvSpPr>
      <xdr:spPr>
        <a:xfrm>
          <a:off x="9392066" y="1306698"/>
          <a:ext cx="1930448" cy="415331"/>
        </a:xfrm>
        <a:prstGeom prst="homePlate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ko-KR" altLang="en-US" sz="1400"/>
            <a:t>대기 블로우다운 탱크</a:t>
          </a:r>
        </a:p>
      </xdr:txBody>
    </xdr:sp>
    <xdr:clientData/>
  </xdr:twoCellAnchor>
  <xdr:twoCellAnchor>
    <xdr:from>
      <xdr:col>41</xdr:col>
      <xdr:colOff>19471</xdr:colOff>
      <xdr:row>9</xdr:row>
      <xdr:rowOff>28177</xdr:rowOff>
    </xdr:from>
    <xdr:to>
      <xdr:col>49</xdr:col>
      <xdr:colOff>124208</xdr:colOff>
      <xdr:row>10</xdr:row>
      <xdr:rowOff>202115</xdr:rowOff>
    </xdr:to>
    <xdr:sp macro="" textlink="">
      <xdr:nvSpPr>
        <xdr:cNvPr id="37" name="화살표: 오각형 36">
          <a:extLst>
            <a:ext uri="{FF2B5EF4-FFF2-40B4-BE49-F238E27FC236}">
              <a16:creationId xmlns:a16="http://schemas.microsoft.com/office/drawing/2014/main" id="{AF09C1DF-339F-425E-AB8E-DF10E0F6C783}"/>
            </a:ext>
          </a:extLst>
        </xdr:cNvPr>
        <xdr:cNvSpPr/>
      </xdr:nvSpPr>
      <xdr:spPr>
        <a:xfrm>
          <a:off x="9392071" y="1971277"/>
          <a:ext cx="1933537" cy="389838"/>
        </a:xfrm>
        <a:prstGeom prst="homePlate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r>
            <a:rPr lang="en-US" altLang="ko-KR" sz="140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WWT SCRUBBER</a:t>
          </a:r>
          <a:endParaRPr lang="ko-KR" altLang="ko-KR" sz="1400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38</xdr:col>
      <xdr:colOff>29874</xdr:colOff>
      <xdr:row>10</xdr:row>
      <xdr:rowOff>10222</xdr:rowOff>
    </xdr:from>
    <xdr:to>
      <xdr:col>41</xdr:col>
      <xdr:colOff>27007</xdr:colOff>
      <xdr:row>10</xdr:row>
      <xdr:rowOff>86339</xdr:rowOff>
    </xdr:to>
    <xdr:sp macro="" textlink="">
      <xdr:nvSpPr>
        <xdr:cNvPr id="38" name="자유형: 도형 37">
          <a:extLst>
            <a:ext uri="{FF2B5EF4-FFF2-40B4-BE49-F238E27FC236}">
              <a16:creationId xmlns:a16="http://schemas.microsoft.com/office/drawing/2014/main" id="{09D06479-FC9E-4C20-975E-0F90972AD170}"/>
            </a:ext>
          </a:extLst>
        </xdr:cNvPr>
        <xdr:cNvSpPr/>
      </xdr:nvSpPr>
      <xdr:spPr>
        <a:xfrm>
          <a:off x="8716674" y="2169222"/>
          <a:ext cx="682933" cy="76117"/>
        </a:xfrm>
        <a:custGeom>
          <a:avLst/>
          <a:gdLst>
            <a:gd name="connsiteX0" fmla="*/ 0 w 1838325"/>
            <a:gd name="connsiteY0" fmla="*/ 0 h 0"/>
            <a:gd name="connsiteX1" fmla="*/ 1838325 w 18383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38325">
              <a:moveTo>
                <a:pt x="0" y="0"/>
              </a:moveTo>
              <a:lnTo>
                <a:pt x="1838325" y="0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38</xdr:col>
      <xdr:colOff>17174</xdr:colOff>
      <xdr:row>7</xdr:row>
      <xdr:rowOff>9550</xdr:rowOff>
    </xdr:from>
    <xdr:to>
      <xdr:col>41</xdr:col>
      <xdr:colOff>17568</xdr:colOff>
      <xdr:row>8</xdr:row>
      <xdr:rowOff>11147</xdr:rowOff>
    </xdr:to>
    <xdr:sp macro="" textlink="">
      <xdr:nvSpPr>
        <xdr:cNvPr id="39" name="자유형: 도형 38">
          <a:extLst>
            <a:ext uri="{FF2B5EF4-FFF2-40B4-BE49-F238E27FC236}">
              <a16:creationId xmlns:a16="http://schemas.microsoft.com/office/drawing/2014/main" id="{BF25B429-888E-40CA-A16C-1F8DFB3D5547}"/>
            </a:ext>
          </a:extLst>
        </xdr:cNvPr>
        <xdr:cNvSpPr/>
      </xdr:nvSpPr>
      <xdr:spPr>
        <a:xfrm>
          <a:off x="8703974" y="1520850"/>
          <a:ext cx="686194" cy="217497"/>
        </a:xfrm>
        <a:custGeom>
          <a:avLst/>
          <a:gdLst>
            <a:gd name="connsiteX0" fmla="*/ 0 w 1838325"/>
            <a:gd name="connsiteY0" fmla="*/ 0 h 0"/>
            <a:gd name="connsiteX1" fmla="*/ 1838325 w 18383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38325">
              <a:moveTo>
                <a:pt x="0" y="0"/>
              </a:moveTo>
              <a:lnTo>
                <a:pt x="1838325" y="0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191695</xdr:colOff>
      <xdr:row>10</xdr:row>
      <xdr:rowOff>46591</xdr:rowOff>
    </xdr:from>
    <xdr:to>
      <xdr:col>18</xdr:col>
      <xdr:colOff>113148</xdr:colOff>
      <xdr:row>11</xdr:row>
      <xdr:rowOff>115665</xdr:rowOff>
    </xdr:to>
    <xdr:sp macro="" textlink="">
      <xdr:nvSpPr>
        <xdr:cNvPr id="40" name="순서도: 대조 39">
          <a:extLst>
            <a:ext uri="{FF2B5EF4-FFF2-40B4-BE49-F238E27FC236}">
              <a16:creationId xmlns:a16="http://schemas.microsoft.com/office/drawing/2014/main" id="{44A5A874-0B36-444F-8D64-E8AD0AA0FCB3}"/>
            </a:ext>
          </a:extLst>
        </xdr:cNvPr>
        <xdr:cNvSpPr/>
      </xdr:nvSpPr>
      <xdr:spPr>
        <a:xfrm>
          <a:off x="4077895" y="2205591"/>
          <a:ext cx="150053" cy="284974"/>
        </a:xfrm>
        <a:prstGeom prst="flowChartCollat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38</xdr:col>
      <xdr:colOff>122819</xdr:colOff>
      <xdr:row>3</xdr:row>
      <xdr:rowOff>117185</xdr:rowOff>
    </xdr:from>
    <xdr:to>
      <xdr:col>39</xdr:col>
      <xdr:colOff>139850</xdr:colOff>
      <xdr:row>4</xdr:row>
      <xdr:rowOff>87515</xdr:rowOff>
    </xdr:to>
    <xdr:sp macro="" textlink="">
      <xdr:nvSpPr>
        <xdr:cNvPr id="41" name="순서도: 대조 40">
          <a:extLst>
            <a:ext uri="{FF2B5EF4-FFF2-40B4-BE49-F238E27FC236}">
              <a16:creationId xmlns:a16="http://schemas.microsoft.com/office/drawing/2014/main" id="{509D0936-AE5F-4BEA-8D7E-71F79CB698D7}"/>
            </a:ext>
          </a:extLst>
        </xdr:cNvPr>
        <xdr:cNvSpPr/>
      </xdr:nvSpPr>
      <xdr:spPr>
        <a:xfrm rot="16200000">
          <a:off x="8839320" y="735184"/>
          <a:ext cx="186230" cy="245631"/>
        </a:xfrm>
        <a:prstGeom prst="flowChartCollat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38</xdr:col>
      <xdr:colOff>130992</xdr:colOff>
      <xdr:row>12</xdr:row>
      <xdr:rowOff>112573</xdr:rowOff>
    </xdr:from>
    <xdr:to>
      <xdr:col>39</xdr:col>
      <xdr:colOff>161136</xdr:colOff>
      <xdr:row>13</xdr:row>
      <xdr:rowOff>105601</xdr:rowOff>
    </xdr:to>
    <xdr:sp macro="" textlink="">
      <xdr:nvSpPr>
        <xdr:cNvPr id="42" name="순서도: 대조 41">
          <a:extLst>
            <a:ext uri="{FF2B5EF4-FFF2-40B4-BE49-F238E27FC236}">
              <a16:creationId xmlns:a16="http://schemas.microsoft.com/office/drawing/2014/main" id="{585BAE1D-308B-4CF4-834D-49ED05858902}"/>
            </a:ext>
          </a:extLst>
        </xdr:cNvPr>
        <xdr:cNvSpPr/>
      </xdr:nvSpPr>
      <xdr:spPr>
        <a:xfrm rot="16200000">
          <a:off x="8842700" y="2678465"/>
          <a:ext cx="208928" cy="258744"/>
        </a:xfrm>
        <a:prstGeom prst="flowChartCollat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67996</xdr:colOff>
      <xdr:row>34</xdr:row>
      <xdr:rowOff>67054</xdr:rowOff>
    </xdr:from>
    <xdr:to>
      <xdr:col>33</xdr:col>
      <xdr:colOff>9022</xdr:colOff>
      <xdr:row>40</xdr:row>
      <xdr:rowOff>39317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ABC74718-22F3-48E5-8270-E8E162FA4F5A}"/>
            </a:ext>
          </a:extLst>
        </xdr:cNvPr>
        <xdr:cNvGrpSpPr/>
      </xdr:nvGrpSpPr>
      <xdr:grpSpPr>
        <a:xfrm>
          <a:off x="5921541" y="7184827"/>
          <a:ext cx="1516981" cy="1219172"/>
          <a:chOff x="12690142" y="4201026"/>
          <a:chExt cx="1587333" cy="1082342"/>
        </a:xfrm>
      </xdr:grpSpPr>
      <xdr:sp macro="" textlink="">
        <xdr:nvSpPr>
          <xdr:cNvPr id="44" name="자유형: 도형 43">
            <a:extLst>
              <a:ext uri="{FF2B5EF4-FFF2-40B4-BE49-F238E27FC236}">
                <a16:creationId xmlns:a16="http://schemas.microsoft.com/office/drawing/2014/main" id="{9AAAF3F3-DC98-7B74-2BE2-B1D035492121}"/>
              </a:ext>
            </a:extLst>
          </xdr:cNvPr>
          <xdr:cNvSpPr/>
        </xdr:nvSpPr>
        <xdr:spPr>
          <a:xfrm>
            <a:off x="12690142" y="4201026"/>
            <a:ext cx="1587333" cy="1082342"/>
          </a:xfrm>
          <a:custGeom>
            <a:avLst/>
            <a:gdLst>
              <a:gd name="connsiteX0" fmla="*/ 0 w 2752725"/>
              <a:gd name="connsiteY0" fmla="*/ 0 h 1762125"/>
              <a:gd name="connsiteX1" fmla="*/ 0 w 2752725"/>
              <a:gd name="connsiteY1" fmla="*/ 1762125 h 1762125"/>
              <a:gd name="connsiteX2" fmla="*/ 2752725 w 2752725"/>
              <a:gd name="connsiteY2" fmla="*/ 1762125 h 1762125"/>
              <a:gd name="connsiteX3" fmla="*/ 2752725 w 2752725"/>
              <a:gd name="connsiteY3" fmla="*/ 0 h 17621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2752725" h="1762125">
                <a:moveTo>
                  <a:pt x="0" y="0"/>
                </a:moveTo>
                <a:lnTo>
                  <a:pt x="0" y="1762125"/>
                </a:lnTo>
                <a:lnTo>
                  <a:pt x="2752725" y="1762125"/>
                </a:lnTo>
                <a:lnTo>
                  <a:pt x="2752725" y="0"/>
                </a:lnTo>
              </a:path>
            </a:pathLst>
          </a:custGeom>
          <a:noFill/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5" name="직사각형 44">
            <a:extLst>
              <a:ext uri="{FF2B5EF4-FFF2-40B4-BE49-F238E27FC236}">
                <a16:creationId xmlns:a16="http://schemas.microsoft.com/office/drawing/2014/main" id="{00F8B124-F47F-7C4C-188A-D55E7878F4A3}"/>
              </a:ext>
            </a:extLst>
          </xdr:cNvPr>
          <xdr:cNvSpPr/>
        </xdr:nvSpPr>
        <xdr:spPr>
          <a:xfrm>
            <a:off x="12713625" y="4437633"/>
            <a:ext cx="1534026" cy="819492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en-US" altLang="ko-KR" sz="1100" b="1">
                <a:latin typeface="+mn-ea"/>
                <a:ea typeface="+mn-ea"/>
              </a:rPr>
              <a:t>DEMI WATER TANK</a:t>
            </a:r>
            <a:endParaRPr lang="ko-KR" altLang="en-US" sz="1100" b="1"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49</xdr:col>
      <xdr:colOff>116254</xdr:colOff>
      <xdr:row>19</xdr:row>
      <xdr:rowOff>6012</xdr:rowOff>
    </xdr:from>
    <xdr:to>
      <xdr:col>55</xdr:col>
      <xdr:colOff>221168</xdr:colOff>
      <xdr:row>19</xdr:row>
      <xdr:rowOff>207897</xdr:rowOff>
    </xdr:to>
    <xdr:sp macro="" textlink="">
      <xdr:nvSpPr>
        <xdr:cNvPr id="46" name="자유형: 도형 45">
          <a:extLst>
            <a:ext uri="{FF2B5EF4-FFF2-40B4-BE49-F238E27FC236}">
              <a16:creationId xmlns:a16="http://schemas.microsoft.com/office/drawing/2014/main" id="{BE2A1603-39A0-4EF4-BE39-5007E57D514D}"/>
            </a:ext>
          </a:extLst>
        </xdr:cNvPr>
        <xdr:cNvSpPr/>
      </xdr:nvSpPr>
      <xdr:spPr>
        <a:xfrm>
          <a:off x="11317654" y="4108112"/>
          <a:ext cx="1476514" cy="201885"/>
        </a:xfrm>
        <a:custGeom>
          <a:avLst/>
          <a:gdLst>
            <a:gd name="connsiteX0" fmla="*/ 0 w 1838325"/>
            <a:gd name="connsiteY0" fmla="*/ 0 h 0"/>
            <a:gd name="connsiteX1" fmla="*/ 1838325 w 18383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38325">
              <a:moveTo>
                <a:pt x="0" y="0"/>
              </a:moveTo>
              <a:lnTo>
                <a:pt x="1838325" y="0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55</xdr:col>
      <xdr:colOff>220482</xdr:colOff>
      <xdr:row>18</xdr:row>
      <xdr:rowOff>123824</xdr:rowOff>
    </xdr:from>
    <xdr:to>
      <xdr:col>62</xdr:col>
      <xdr:colOff>107949</xdr:colOff>
      <xdr:row>19</xdr:row>
      <xdr:rowOff>120650</xdr:rowOff>
    </xdr:to>
    <xdr:sp macro="" textlink="">
      <xdr:nvSpPr>
        <xdr:cNvPr id="47" name="화살표: 오각형 46">
          <a:extLst>
            <a:ext uri="{FF2B5EF4-FFF2-40B4-BE49-F238E27FC236}">
              <a16:creationId xmlns:a16="http://schemas.microsoft.com/office/drawing/2014/main" id="{C67DDCD4-EDE4-4E93-A711-71F6A7FF6E87}"/>
            </a:ext>
          </a:extLst>
        </xdr:cNvPr>
        <xdr:cNvSpPr/>
      </xdr:nvSpPr>
      <xdr:spPr>
        <a:xfrm>
          <a:off x="12793482" y="4010024"/>
          <a:ext cx="1487667" cy="212726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en-US" altLang="ko-KR" sz="1400"/>
            <a:t>to DEMI</a:t>
          </a:r>
          <a:r>
            <a:rPr lang="en-US" altLang="ko-KR" sz="1400" baseline="0"/>
            <a:t> TANK  </a:t>
          </a:r>
          <a:r>
            <a:rPr lang="en-US" altLang="ko-KR" sz="1400" b="1" baseline="0">
              <a:latin typeface="돋움" panose="020B0600000101010101" pitchFamily="50" charset="-127"/>
              <a:ea typeface="돋움" panose="020B0600000101010101" pitchFamily="50" charset="-127"/>
            </a:rPr>
            <a:t>①</a:t>
          </a:r>
          <a:r>
            <a:rPr lang="en-US" altLang="ko-KR" sz="1400" baseline="0">
              <a:latin typeface="돋움" panose="020B0600000101010101" pitchFamily="50" charset="-127"/>
              <a:ea typeface="돋움" panose="020B0600000101010101" pitchFamily="50" charset="-127"/>
            </a:rPr>
            <a:t> </a:t>
          </a:r>
          <a:endParaRPr lang="ko-KR" altLang="en-US" sz="1400"/>
        </a:p>
      </xdr:txBody>
    </xdr:sp>
    <xdr:clientData/>
  </xdr:twoCellAnchor>
  <xdr:twoCellAnchor>
    <xdr:from>
      <xdr:col>51</xdr:col>
      <xdr:colOff>75122</xdr:colOff>
      <xdr:row>18</xdr:row>
      <xdr:rowOff>46423</xdr:rowOff>
    </xdr:from>
    <xdr:to>
      <xdr:col>52</xdr:col>
      <xdr:colOff>182523</xdr:colOff>
      <xdr:row>20</xdr:row>
      <xdr:rowOff>6897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11F5161F-3CF7-4E6E-B673-EB896B8F7EDE}"/>
            </a:ext>
          </a:extLst>
        </xdr:cNvPr>
        <xdr:cNvGrpSpPr/>
      </xdr:nvGrpSpPr>
      <xdr:grpSpPr>
        <a:xfrm>
          <a:off x="11557077" y="3839105"/>
          <a:ext cx="332537" cy="376110"/>
          <a:chOff x="5522604" y="2931283"/>
          <a:chExt cx="322713" cy="334655"/>
        </a:xfrm>
      </xdr:grpSpPr>
      <xdr:sp macro="" textlink="">
        <xdr:nvSpPr>
          <xdr:cNvPr id="49" name="순서도: 연결자 48">
            <a:extLst>
              <a:ext uri="{FF2B5EF4-FFF2-40B4-BE49-F238E27FC236}">
                <a16:creationId xmlns:a16="http://schemas.microsoft.com/office/drawing/2014/main" id="{5A19FC73-C02C-E08F-E607-C8424B61F055}"/>
              </a:ext>
            </a:extLst>
          </xdr:cNvPr>
          <xdr:cNvSpPr/>
        </xdr:nvSpPr>
        <xdr:spPr>
          <a:xfrm>
            <a:off x="5522604" y="2931283"/>
            <a:ext cx="322713" cy="334655"/>
          </a:xfrm>
          <a:prstGeom prst="flowChartConnector">
            <a:avLst/>
          </a:prstGeom>
          <a:noFill/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" name="순서도: 연결자 49">
            <a:extLst>
              <a:ext uri="{FF2B5EF4-FFF2-40B4-BE49-F238E27FC236}">
                <a16:creationId xmlns:a16="http://schemas.microsoft.com/office/drawing/2014/main" id="{B0C2925D-18A5-451A-B899-42E459D07BD8}"/>
              </a:ext>
            </a:extLst>
          </xdr:cNvPr>
          <xdr:cNvSpPr/>
        </xdr:nvSpPr>
        <xdr:spPr>
          <a:xfrm>
            <a:off x="5619228" y="2954598"/>
            <a:ext cx="132213" cy="134393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" name="순서도: 연결자 50">
            <a:extLst>
              <a:ext uri="{FF2B5EF4-FFF2-40B4-BE49-F238E27FC236}">
                <a16:creationId xmlns:a16="http://schemas.microsoft.com/office/drawing/2014/main" id="{26428097-5EEB-20B9-3909-164FBA8402F3}"/>
              </a:ext>
            </a:extLst>
          </xdr:cNvPr>
          <xdr:cNvSpPr/>
        </xdr:nvSpPr>
        <xdr:spPr>
          <a:xfrm>
            <a:off x="5622592" y="3112259"/>
            <a:ext cx="129038" cy="131218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38</xdr:col>
      <xdr:colOff>10136</xdr:colOff>
      <xdr:row>19</xdr:row>
      <xdr:rowOff>20732</xdr:rowOff>
    </xdr:from>
    <xdr:to>
      <xdr:col>41</xdr:col>
      <xdr:colOff>16248</xdr:colOff>
      <xdr:row>22</xdr:row>
      <xdr:rowOff>1</xdr:rowOff>
    </xdr:to>
    <xdr:sp macro="" textlink="">
      <xdr:nvSpPr>
        <xdr:cNvPr id="52" name="자유형: 도형 51">
          <a:extLst>
            <a:ext uri="{FF2B5EF4-FFF2-40B4-BE49-F238E27FC236}">
              <a16:creationId xmlns:a16="http://schemas.microsoft.com/office/drawing/2014/main" id="{BE2B0407-A5F5-4173-8D8D-E6046BBBF7B4}"/>
            </a:ext>
          </a:extLst>
        </xdr:cNvPr>
        <xdr:cNvSpPr/>
      </xdr:nvSpPr>
      <xdr:spPr>
        <a:xfrm>
          <a:off x="8696936" y="4122832"/>
          <a:ext cx="691912" cy="626969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9211</xdr:colOff>
      <xdr:row>21</xdr:row>
      <xdr:rowOff>50728</xdr:rowOff>
    </xdr:from>
    <xdr:to>
      <xdr:col>49</xdr:col>
      <xdr:colOff>133591</xdr:colOff>
      <xdr:row>22</xdr:row>
      <xdr:rowOff>185150</xdr:rowOff>
    </xdr:to>
    <xdr:sp macro="" textlink="">
      <xdr:nvSpPr>
        <xdr:cNvPr id="53" name="화살표: 오각형 52">
          <a:extLst>
            <a:ext uri="{FF2B5EF4-FFF2-40B4-BE49-F238E27FC236}">
              <a16:creationId xmlns:a16="http://schemas.microsoft.com/office/drawing/2014/main" id="{FC31DF22-9260-407B-940F-86CDA3F3F5D4}"/>
            </a:ext>
          </a:extLst>
        </xdr:cNvPr>
        <xdr:cNvSpPr/>
      </xdr:nvSpPr>
      <xdr:spPr>
        <a:xfrm>
          <a:off x="9381811" y="4584628"/>
          <a:ext cx="1953180" cy="350322"/>
        </a:xfrm>
        <a:prstGeom prst="homePlate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ko-KR" altLang="en-US" sz="1400"/>
            <a:t>순수 제조계통 재생</a:t>
          </a:r>
        </a:p>
      </xdr:txBody>
    </xdr:sp>
    <xdr:clientData/>
  </xdr:twoCellAnchor>
  <xdr:twoCellAnchor>
    <xdr:from>
      <xdr:col>49</xdr:col>
      <xdr:colOff>136857</xdr:colOff>
      <xdr:row>19</xdr:row>
      <xdr:rowOff>32602</xdr:rowOff>
    </xdr:from>
    <xdr:to>
      <xdr:col>54</xdr:col>
      <xdr:colOff>228516</xdr:colOff>
      <xdr:row>22</xdr:row>
      <xdr:rowOff>0</xdr:rowOff>
    </xdr:to>
    <xdr:sp macro="" textlink="">
      <xdr:nvSpPr>
        <xdr:cNvPr id="54" name="자유형: 도형 53">
          <a:extLst>
            <a:ext uri="{FF2B5EF4-FFF2-40B4-BE49-F238E27FC236}">
              <a16:creationId xmlns:a16="http://schemas.microsoft.com/office/drawing/2014/main" id="{CCE6C562-0BAB-427B-8ABD-F70D9FEE80BE}"/>
            </a:ext>
          </a:extLst>
        </xdr:cNvPr>
        <xdr:cNvSpPr/>
      </xdr:nvSpPr>
      <xdr:spPr>
        <a:xfrm rot="16200000">
          <a:off x="11648038" y="3824921"/>
          <a:ext cx="615098" cy="1234659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45004</xdr:colOff>
      <xdr:row>38</xdr:row>
      <xdr:rowOff>472</xdr:rowOff>
    </xdr:from>
    <xdr:to>
      <xdr:col>37</xdr:col>
      <xdr:colOff>228136</xdr:colOff>
      <xdr:row>40</xdr:row>
      <xdr:rowOff>41108</xdr:rowOff>
    </xdr:to>
    <xdr:pic>
      <xdr:nvPicPr>
        <xdr:cNvPr id="55" name="그래픽 54" descr="왼쪽 화살표가 있는 원 단색으로 채워진">
          <a:extLst>
            <a:ext uri="{FF2B5EF4-FFF2-40B4-BE49-F238E27FC236}">
              <a16:creationId xmlns:a16="http://schemas.microsoft.com/office/drawing/2014/main" id="{03D5CB40-F8C0-49E9-9700-263A2D5A4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0800000">
          <a:off x="8274604" y="8204672"/>
          <a:ext cx="411732" cy="472436"/>
        </a:xfrm>
        <a:prstGeom prst="rect">
          <a:avLst/>
        </a:prstGeom>
      </xdr:spPr>
    </xdr:pic>
    <xdr:clientData/>
  </xdr:twoCellAnchor>
  <xdr:twoCellAnchor>
    <xdr:from>
      <xdr:col>36</xdr:col>
      <xdr:colOff>48179</xdr:colOff>
      <xdr:row>34</xdr:row>
      <xdr:rowOff>211996</xdr:rowOff>
    </xdr:from>
    <xdr:to>
      <xdr:col>37</xdr:col>
      <xdr:colOff>228136</xdr:colOff>
      <xdr:row>37</xdr:row>
      <xdr:rowOff>30382</xdr:rowOff>
    </xdr:to>
    <xdr:pic>
      <xdr:nvPicPr>
        <xdr:cNvPr id="56" name="그래픽 55" descr="왼쪽 화살표가 있는 원 단색으로 채워진">
          <a:extLst>
            <a:ext uri="{FF2B5EF4-FFF2-40B4-BE49-F238E27FC236}">
              <a16:creationId xmlns:a16="http://schemas.microsoft.com/office/drawing/2014/main" id="{6498ABED-B5AF-4E70-82B3-DBA0E8406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0800000">
          <a:off x="8277779" y="7552596"/>
          <a:ext cx="408557" cy="466086"/>
        </a:xfrm>
        <a:prstGeom prst="rect">
          <a:avLst/>
        </a:prstGeom>
      </xdr:spPr>
    </xdr:pic>
    <xdr:clientData/>
  </xdr:twoCellAnchor>
  <xdr:twoCellAnchor>
    <xdr:from>
      <xdr:col>20</xdr:col>
      <xdr:colOff>56884</xdr:colOff>
      <xdr:row>34</xdr:row>
      <xdr:rowOff>198469</xdr:rowOff>
    </xdr:from>
    <xdr:to>
      <xdr:col>22</xdr:col>
      <xdr:colOff>3056</xdr:colOff>
      <xdr:row>37</xdr:row>
      <xdr:rowOff>20030</xdr:rowOff>
    </xdr:to>
    <xdr:pic>
      <xdr:nvPicPr>
        <xdr:cNvPr id="57" name="그래픽 56" descr="왼쪽 화살표가 있는 원 단색으로 채워진">
          <a:extLst>
            <a:ext uri="{FF2B5EF4-FFF2-40B4-BE49-F238E27FC236}">
              <a16:creationId xmlns:a16="http://schemas.microsoft.com/office/drawing/2014/main" id="{9A65028E-177C-46C6-82F7-5DEC6F901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0800000" flipH="1">
          <a:off x="4628884" y="7539069"/>
          <a:ext cx="403372" cy="469261"/>
        </a:xfrm>
        <a:prstGeom prst="rect">
          <a:avLst/>
        </a:prstGeom>
      </xdr:spPr>
    </xdr:pic>
    <xdr:clientData/>
  </xdr:twoCellAnchor>
  <xdr:twoCellAnchor>
    <xdr:from>
      <xdr:col>20</xdr:col>
      <xdr:colOff>50448</xdr:colOff>
      <xdr:row>38</xdr:row>
      <xdr:rowOff>473</xdr:rowOff>
    </xdr:from>
    <xdr:to>
      <xdr:col>21</xdr:col>
      <xdr:colOff>228395</xdr:colOff>
      <xdr:row>40</xdr:row>
      <xdr:rowOff>41109</xdr:rowOff>
    </xdr:to>
    <xdr:pic>
      <xdr:nvPicPr>
        <xdr:cNvPr id="58" name="그래픽 57" descr="왼쪽 화살표가 있는 원 단색으로 채워진">
          <a:extLst>
            <a:ext uri="{FF2B5EF4-FFF2-40B4-BE49-F238E27FC236}">
              <a16:creationId xmlns:a16="http://schemas.microsoft.com/office/drawing/2014/main" id="{E9EF5992-2F4D-46BC-A41C-EAAC0C9B4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0800000" flipH="1">
          <a:off x="4622448" y="8204673"/>
          <a:ext cx="406547" cy="472436"/>
        </a:xfrm>
        <a:prstGeom prst="rect">
          <a:avLst/>
        </a:prstGeom>
      </xdr:spPr>
    </xdr:pic>
    <xdr:clientData/>
  </xdr:twoCellAnchor>
  <xdr:twoCellAnchor>
    <xdr:from>
      <xdr:col>21</xdr:col>
      <xdr:colOff>169863</xdr:colOff>
      <xdr:row>38</xdr:row>
      <xdr:rowOff>126162</xdr:rowOff>
    </xdr:from>
    <xdr:to>
      <xdr:col>26</xdr:col>
      <xdr:colOff>68507</xdr:colOff>
      <xdr:row>38</xdr:row>
      <xdr:rowOff>208465</xdr:rowOff>
    </xdr:to>
    <xdr:sp macro="" textlink="">
      <xdr:nvSpPr>
        <xdr:cNvPr id="59" name="자유형: 도형 58">
          <a:extLst>
            <a:ext uri="{FF2B5EF4-FFF2-40B4-BE49-F238E27FC236}">
              <a16:creationId xmlns:a16="http://schemas.microsoft.com/office/drawing/2014/main" id="{D216FBF8-8FE7-44A7-8C3C-649520280755}"/>
            </a:ext>
          </a:extLst>
        </xdr:cNvPr>
        <xdr:cNvSpPr/>
      </xdr:nvSpPr>
      <xdr:spPr>
        <a:xfrm rot="10800000">
          <a:off x="4970463" y="8330362"/>
          <a:ext cx="1041644" cy="82303"/>
        </a:xfrm>
        <a:custGeom>
          <a:avLst/>
          <a:gdLst>
            <a:gd name="connsiteX0" fmla="*/ 0 w 1838325"/>
            <a:gd name="connsiteY0" fmla="*/ 0 h 0"/>
            <a:gd name="connsiteX1" fmla="*/ 1838325 w 18383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38325">
              <a:moveTo>
                <a:pt x="0" y="0"/>
              </a:moveTo>
              <a:lnTo>
                <a:pt x="1838325" y="0"/>
              </a:lnTo>
            </a:path>
          </a:pathLst>
        </a:custGeom>
        <a:noFill/>
        <a:ln w="25400">
          <a:solidFill>
            <a:srgbClr val="00B0F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190458</xdr:colOff>
      <xdr:row>36</xdr:row>
      <xdr:rowOff>9525</xdr:rowOff>
    </xdr:from>
    <xdr:to>
      <xdr:col>24</xdr:col>
      <xdr:colOff>9475</xdr:colOff>
      <xdr:row>39</xdr:row>
      <xdr:rowOff>7032</xdr:rowOff>
    </xdr:to>
    <xdr:sp macro="" textlink="">
      <xdr:nvSpPr>
        <xdr:cNvPr id="60" name="자유형: 도형 59">
          <a:extLst>
            <a:ext uri="{FF2B5EF4-FFF2-40B4-BE49-F238E27FC236}">
              <a16:creationId xmlns:a16="http://schemas.microsoft.com/office/drawing/2014/main" id="{0D273A1A-D59A-4A85-9F28-DB7AA3B4C138}"/>
            </a:ext>
          </a:extLst>
        </xdr:cNvPr>
        <xdr:cNvSpPr/>
      </xdr:nvSpPr>
      <xdr:spPr>
        <a:xfrm rot="10800000">
          <a:off x="4991058" y="7781925"/>
          <a:ext cx="504817" cy="645207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rgbClr val="00B0F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10972</xdr:colOff>
      <xdr:row>38</xdr:row>
      <xdr:rowOff>208468</xdr:rowOff>
    </xdr:from>
    <xdr:to>
      <xdr:col>36</xdr:col>
      <xdr:colOff>96406</xdr:colOff>
      <xdr:row>42</xdr:row>
      <xdr:rowOff>153389</xdr:rowOff>
    </xdr:to>
    <xdr:sp macro="" textlink="">
      <xdr:nvSpPr>
        <xdr:cNvPr id="61" name="자유형: 도형 60">
          <a:extLst>
            <a:ext uri="{FF2B5EF4-FFF2-40B4-BE49-F238E27FC236}">
              <a16:creationId xmlns:a16="http://schemas.microsoft.com/office/drawing/2014/main" id="{081189EB-ABC6-41AB-A004-CDC410D83EED}"/>
            </a:ext>
          </a:extLst>
        </xdr:cNvPr>
        <xdr:cNvSpPr/>
      </xdr:nvSpPr>
      <xdr:spPr>
        <a:xfrm>
          <a:off x="5725972" y="8412668"/>
          <a:ext cx="2600034" cy="808521"/>
        </a:xfrm>
        <a:custGeom>
          <a:avLst/>
          <a:gdLst>
            <a:gd name="connsiteX0" fmla="*/ 0 w 2616868"/>
            <a:gd name="connsiteY0" fmla="*/ 0 h 681789"/>
            <a:gd name="connsiteX1" fmla="*/ 0 w 2616868"/>
            <a:gd name="connsiteY1" fmla="*/ 681789 h 681789"/>
            <a:gd name="connsiteX2" fmla="*/ 2085473 w 2616868"/>
            <a:gd name="connsiteY2" fmla="*/ 681789 h 681789"/>
            <a:gd name="connsiteX3" fmla="*/ 2085473 w 2616868"/>
            <a:gd name="connsiteY3" fmla="*/ 20052 h 681789"/>
            <a:gd name="connsiteX4" fmla="*/ 2616868 w 2616868"/>
            <a:gd name="connsiteY4" fmla="*/ 20052 h 68178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616868" h="681789">
              <a:moveTo>
                <a:pt x="0" y="0"/>
              </a:moveTo>
              <a:lnTo>
                <a:pt x="0" y="681789"/>
              </a:lnTo>
              <a:lnTo>
                <a:pt x="2085473" y="681789"/>
              </a:lnTo>
              <a:lnTo>
                <a:pt x="2085473" y="20052"/>
              </a:lnTo>
              <a:lnTo>
                <a:pt x="2616868" y="20052"/>
              </a:lnTo>
            </a:path>
          </a:pathLst>
        </a:custGeom>
        <a:noFill/>
        <a:ln w="25400">
          <a:solidFill>
            <a:srgbClr val="00B0F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31749</xdr:colOff>
      <xdr:row>36</xdr:row>
      <xdr:rowOff>9524</xdr:rowOff>
    </xdr:from>
    <xdr:to>
      <xdr:col>36</xdr:col>
      <xdr:colOff>96405</xdr:colOff>
      <xdr:row>39</xdr:row>
      <xdr:rowOff>28575</xdr:rowOff>
    </xdr:to>
    <xdr:sp macro="" textlink="">
      <xdr:nvSpPr>
        <xdr:cNvPr id="62" name="자유형: 도형 61">
          <a:extLst>
            <a:ext uri="{FF2B5EF4-FFF2-40B4-BE49-F238E27FC236}">
              <a16:creationId xmlns:a16="http://schemas.microsoft.com/office/drawing/2014/main" id="{4C2ED5B2-8F0F-44A0-A7AE-D5D76027B2CB}"/>
            </a:ext>
          </a:extLst>
        </xdr:cNvPr>
        <xdr:cNvSpPr/>
      </xdr:nvSpPr>
      <xdr:spPr>
        <a:xfrm rot="10800000" flipH="1">
          <a:off x="7804149" y="7781924"/>
          <a:ext cx="521856" cy="666751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chemeClr val="accent4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979</xdr:colOff>
      <xdr:row>33</xdr:row>
      <xdr:rowOff>27230</xdr:rowOff>
    </xdr:from>
    <xdr:to>
      <xdr:col>15</xdr:col>
      <xdr:colOff>50093</xdr:colOff>
      <xdr:row>34</xdr:row>
      <xdr:rowOff>179869</xdr:rowOff>
    </xdr:to>
    <xdr:sp macro="" textlink="">
      <xdr:nvSpPr>
        <xdr:cNvPr id="63" name="화살표: 오각형 62">
          <a:extLst>
            <a:ext uri="{FF2B5EF4-FFF2-40B4-BE49-F238E27FC236}">
              <a16:creationId xmlns:a16="http://schemas.microsoft.com/office/drawing/2014/main" id="{3B563DF2-48C9-42F1-9C2E-28CB56E4A72F}"/>
            </a:ext>
          </a:extLst>
        </xdr:cNvPr>
        <xdr:cNvSpPr/>
      </xdr:nvSpPr>
      <xdr:spPr>
        <a:xfrm flipH="1">
          <a:off x="1601179" y="7151930"/>
          <a:ext cx="1877914" cy="368539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r"/>
          <a:r>
            <a:rPr lang="en-US" altLang="ko-KR" sz="1400"/>
            <a:t>DH </a:t>
          </a:r>
          <a:r>
            <a:rPr lang="ko-KR" altLang="en-US" sz="1400"/>
            <a:t>순환수 처리계통</a:t>
          </a:r>
        </a:p>
      </xdr:txBody>
    </xdr:sp>
    <xdr:clientData/>
  </xdr:twoCellAnchor>
  <xdr:twoCellAnchor>
    <xdr:from>
      <xdr:col>6</xdr:col>
      <xdr:colOff>155264</xdr:colOff>
      <xdr:row>38</xdr:row>
      <xdr:rowOff>39024</xdr:rowOff>
    </xdr:from>
    <xdr:to>
      <xdr:col>14</xdr:col>
      <xdr:colOff>210814</xdr:colOff>
      <xdr:row>39</xdr:row>
      <xdr:rowOff>192834</xdr:rowOff>
    </xdr:to>
    <xdr:sp macro="" textlink="">
      <xdr:nvSpPr>
        <xdr:cNvPr id="64" name="화살표: 오각형 63">
          <a:extLst>
            <a:ext uri="{FF2B5EF4-FFF2-40B4-BE49-F238E27FC236}">
              <a16:creationId xmlns:a16="http://schemas.microsoft.com/office/drawing/2014/main" id="{EEF17610-D663-4167-948C-C605A9D17FB7}"/>
            </a:ext>
          </a:extLst>
        </xdr:cNvPr>
        <xdr:cNvSpPr/>
      </xdr:nvSpPr>
      <xdr:spPr>
        <a:xfrm flipH="1">
          <a:off x="1526864" y="8243224"/>
          <a:ext cx="1884350" cy="369710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108000" bIns="0" rtlCol="0" anchor="ctr" anchorCtr="0"/>
        <a:lstStyle/>
        <a:p>
          <a:pPr algn="r"/>
          <a:r>
            <a:rPr lang="ko-KR" altLang="en-US" sz="1400"/>
            <a:t>순수 제조 재생설비</a:t>
          </a:r>
        </a:p>
      </xdr:txBody>
    </xdr:sp>
    <xdr:clientData/>
  </xdr:twoCellAnchor>
  <xdr:twoCellAnchor>
    <xdr:from>
      <xdr:col>14</xdr:col>
      <xdr:colOff>192621</xdr:colOff>
      <xdr:row>38</xdr:row>
      <xdr:rowOff>135449</xdr:rowOff>
    </xdr:from>
    <xdr:to>
      <xdr:col>20</xdr:col>
      <xdr:colOff>115415</xdr:colOff>
      <xdr:row>39</xdr:row>
      <xdr:rowOff>10199</xdr:rowOff>
    </xdr:to>
    <xdr:sp macro="" textlink="">
      <xdr:nvSpPr>
        <xdr:cNvPr id="65" name="자유형: 도형 64">
          <a:extLst>
            <a:ext uri="{FF2B5EF4-FFF2-40B4-BE49-F238E27FC236}">
              <a16:creationId xmlns:a16="http://schemas.microsoft.com/office/drawing/2014/main" id="{83E7646B-E194-4834-8720-6DF797BBC06C}"/>
            </a:ext>
          </a:extLst>
        </xdr:cNvPr>
        <xdr:cNvSpPr/>
      </xdr:nvSpPr>
      <xdr:spPr>
        <a:xfrm rot="10800000">
          <a:off x="3393021" y="8339649"/>
          <a:ext cx="1294394" cy="90650"/>
        </a:xfrm>
        <a:custGeom>
          <a:avLst/>
          <a:gdLst>
            <a:gd name="connsiteX0" fmla="*/ 0 w 1838325"/>
            <a:gd name="connsiteY0" fmla="*/ 0 h 0"/>
            <a:gd name="connsiteX1" fmla="*/ 1838325 w 18383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38325">
              <a:moveTo>
                <a:pt x="0" y="0"/>
              </a:moveTo>
              <a:lnTo>
                <a:pt x="1838325" y="0"/>
              </a:lnTo>
            </a:path>
          </a:pathLst>
        </a:custGeom>
        <a:noFill/>
        <a:ln w="25400">
          <a:solidFill>
            <a:srgbClr val="00B0F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8558</xdr:colOff>
      <xdr:row>34</xdr:row>
      <xdr:rowOff>9524</xdr:rowOff>
    </xdr:from>
    <xdr:to>
      <xdr:col>17</xdr:col>
      <xdr:colOff>7941</xdr:colOff>
      <xdr:row>39</xdr:row>
      <xdr:rowOff>12698</xdr:rowOff>
    </xdr:to>
    <xdr:sp macro="" textlink="">
      <xdr:nvSpPr>
        <xdr:cNvPr id="66" name="자유형: 도형 65">
          <a:extLst>
            <a:ext uri="{FF2B5EF4-FFF2-40B4-BE49-F238E27FC236}">
              <a16:creationId xmlns:a16="http://schemas.microsoft.com/office/drawing/2014/main" id="{0A58DEE5-078B-4231-AD75-4FAEF7E1F5A5}"/>
            </a:ext>
          </a:extLst>
        </xdr:cNvPr>
        <xdr:cNvSpPr/>
      </xdr:nvSpPr>
      <xdr:spPr>
        <a:xfrm rot="10800000">
          <a:off x="3437558" y="7350124"/>
          <a:ext cx="456583" cy="1082674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rgbClr val="00B0F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16305</xdr:colOff>
      <xdr:row>36</xdr:row>
      <xdr:rowOff>2408</xdr:rowOff>
    </xdr:from>
    <xdr:to>
      <xdr:col>20</xdr:col>
      <xdr:colOff>105120</xdr:colOff>
      <xdr:row>39</xdr:row>
      <xdr:rowOff>9525</xdr:rowOff>
    </xdr:to>
    <xdr:sp macro="" textlink="">
      <xdr:nvSpPr>
        <xdr:cNvPr id="67" name="자유형: 도형 66">
          <a:extLst>
            <a:ext uri="{FF2B5EF4-FFF2-40B4-BE49-F238E27FC236}">
              <a16:creationId xmlns:a16="http://schemas.microsoft.com/office/drawing/2014/main" id="{7334A958-4B93-45BC-A34F-BDC8C7D8BB13}"/>
            </a:ext>
          </a:extLst>
        </xdr:cNvPr>
        <xdr:cNvSpPr/>
      </xdr:nvSpPr>
      <xdr:spPr>
        <a:xfrm rot="5400000">
          <a:off x="4076704" y="7829209"/>
          <a:ext cx="654817" cy="546015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rgbClr val="00B0F0"/>
          </a:solidFill>
          <a:tailEnd type="non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16306</xdr:colOff>
      <xdr:row>33</xdr:row>
      <xdr:rowOff>15952</xdr:rowOff>
    </xdr:from>
    <xdr:to>
      <xdr:col>26</xdr:col>
      <xdr:colOff>219075</xdr:colOff>
      <xdr:row>36</xdr:row>
      <xdr:rowOff>140338</xdr:rowOff>
    </xdr:to>
    <xdr:sp macro="" textlink="">
      <xdr:nvSpPr>
        <xdr:cNvPr id="68" name="자유형: 도형 67">
          <a:extLst>
            <a:ext uri="{FF2B5EF4-FFF2-40B4-BE49-F238E27FC236}">
              <a16:creationId xmlns:a16="http://schemas.microsoft.com/office/drawing/2014/main" id="{7E99C47F-81E1-4FC5-9A81-48B9E3185DDF}"/>
            </a:ext>
          </a:extLst>
        </xdr:cNvPr>
        <xdr:cNvSpPr/>
      </xdr:nvSpPr>
      <xdr:spPr>
        <a:xfrm>
          <a:off x="4131106" y="7140652"/>
          <a:ext cx="2031569" cy="772086"/>
        </a:xfrm>
        <a:custGeom>
          <a:avLst/>
          <a:gdLst>
            <a:gd name="connsiteX0" fmla="*/ 0 w 2095500"/>
            <a:gd name="connsiteY0" fmla="*/ 651710 h 651710"/>
            <a:gd name="connsiteX1" fmla="*/ 0 w 2095500"/>
            <a:gd name="connsiteY1" fmla="*/ 0 h 651710"/>
            <a:gd name="connsiteX2" fmla="*/ 2095500 w 2095500"/>
            <a:gd name="connsiteY2" fmla="*/ 0 h 651710"/>
            <a:gd name="connsiteX3" fmla="*/ 2095500 w 2095500"/>
            <a:gd name="connsiteY3" fmla="*/ 421105 h 65171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95500" h="651710">
              <a:moveTo>
                <a:pt x="0" y="651710"/>
              </a:moveTo>
              <a:lnTo>
                <a:pt x="0" y="0"/>
              </a:lnTo>
              <a:lnTo>
                <a:pt x="2095500" y="0"/>
              </a:lnTo>
              <a:lnTo>
                <a:pt x="2095500" y="421105"/>
              </a:lnTo>
            </a:path>
          </a:pathLst>
        </a:custGeom>
        <a:noFill/>
        <a:ln w="25400">
          <a:solidFill>
            <a:srgbClr val="00B0F0"/>
          </a:solidFill>
          <a:headEnd type="none"/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45</xdr:col>
      <xdr:colOff>22139</xdr:colOff>
      <xdr:row>29</xdr:row>
      <xdr:rowOff>46495</xdr:rowOff>
    </xdr:from>
    <xdr:to>
      <xdr:col>55</xdr:col>
      <xdr:colOff>2405</xdr:colOff>
      <xdr:row>30</xdr:row>
      <xdr:rowOff>180917</xdr:rowOff>
    </xdr:to>
    <xdr:sp macro="" textlink="">
      <xdr:nvSpPr>
        <xdr:cNvPr id="69" name="화살표: 오각형 68">
          <a:extLst>
            <a:ext uri="{FF2B5EF4-FFF2-40B4-BE49-F238E27FC236}">
              <a16:creationId xmlns:a16="http://schemas.microsoft.com/office/drawing/2014/main" id="{C637D893-E4AB-400F-B7A0-7E92338239E1}"/>
            </a:ext>
          </a:extLst>
        </xdr:cNvPr>
        <xdr:cNvSpPr/>
      </xdr:nvSpPr>
      <xdr:spPr>
        <a:xfrm>
          <a:off x="10309139" y="6307595"/>
          <a:ext cx="2266266" cy="350322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en-US" altLang="ko-KR" sz="1400"/>
            <a:t>CHP BLR Blow-down</a:t>
          </a:r>
          <a:endParaRPr lang="ko-KR" altLang="en-US" sz="1400"/>
        </a:p>
      </xdr:txBody>
    </xdr:sp>
    <xdr:clientData/>
  </xdr:twoCellAnchor>
  <xdr:twoCellAnchor>
    <xdr:from>
      <xdr:col>45</xdr:col>
      <xdr:colOff>7977</xdr:colOff>
      <xdr:row>35</xdr:row>
      <xdr:rowOff>50583</xdr:rowOff>
    </xdr:from>
    <xdr:to>
      <xdr:col>55</xdr:col>
      <xdr:colOff>9526</xdr:colOff>
      <xdr:row>36</xdr:row>
      <xdr:rowOff>178655</xdr:rowOff>
    </xdr:to>
    <xdr:sp macro="" textlink="">
      <xdr:nvSpPr>
        <xdr:cNvPr id="70" name="화살표: 오각형 69">
          <a:extLst>
            <a:ext uri="{FF2B5EF4-FFF2-40B4-BE49-F238E27FC236}">
              <a16:creationId xmlns:a16="http://schemas.microsoft.com/office/drawing/2014/main" id="{6A6C7C58-D537-4DBE-A537-34C55B268D2D}"/>
            </a:ext>
          </a:extLst>
        </xdr:cNvPr>
        <xdr:cNvSpPr/>
      </xdr:nvSpPr>
      <xdr:spPr>
        <a:xfrm>
          <a:off x="10294977" y="7607083"/>
          <a:ext cx="2287549" cy="343972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en-US" altLang="ko-KR" sz="1400"/>
            <a:t>2</a:t>
          </a:r>
          <a:r>
            <a:rPr lang="ko-KR" altLang="en-US" sz="1400"/>
            <a:t>차 냉각수 </a:t>
          </a:r>
          <a:r>
            <a:rPr lang="en-US" altLang="ko-KR" sz="1400"/>
            <a:t>Make-up</a:t>
          </a:r>
          <a:endParaRPr lang="ko-KR" altLang="en-US" sz="1400"/>
        </a:p>
      </xdr:txBody>
    </xdr:sp>
    <xdr:clientData/>
  </xdr:twoCellAnchor>
  <xdr:twoCellAnchor>
    <xdr:from>
      <xdr:col>45</xdr:col>
      <xdr:colOff>9439</xdr:colOff>
      <xdr:row>32</xdr:row>
      <xdr:rowOff>36337</xdr:rowOff>
    </xdr:from>
    <xdr:to>
      <xdr:col>54</xdr:col>
      <xdr:colOff>221567</xdr:colOff>
      <xdr:row>33</xdr:row>
      <xdr:rowOff>180284</xdr:rowOff>
    </xdr:to>
    <xdr:sp macro="" textlink="">
      <xdr:nvSpPr>
        <xdr:cNvPr id="71" name="화살표: 오각형 70">
          <a:extLst>
            <a:ext uri="{FF2B5EF4-FFF2-40B4-BE49-F238E27FC236}">
              <a16:creationId xmlns:a16="http://schemas.microsoft.com/office/drawing/2014/main" id="{D4FD49D9-C549-4463-88F8-07DE95684C60}"/>
            </a:ext>
          </a:extLst>
        </xdr:cNvPr>
        <xdr:cNvSpPr/>
      </xdr:nvSpPr>
      <xdr:spPr>
        <a:xfrm>
          <a:off x="10296439" y="6945137"/>
          <a:ext cx="2269528" cy="359847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ko-KR" altLang="en-US" sz="1400"/>
            <a:t>약품 용해 탱크</a:t>
          </a:r>
        </a:p>
      </xdr:txBody>
    </xdr:sp>
    <xdr:clientData/>
  </xdr:twoCellAnchor>
  <xdr:twoCellAnchor>
    <xdr:from>
      <xdr:col>45</xdr:col>
      <xdr:colOff>8663</xdr:colOff>
      <xdr:row>38</xdr:row>
      <xdr:rowOff>58650</xdr:rowOff>
    </xdr:from>
    <xdr:to>
      <xdr:col>55</xdr:col>
      <xdr:colOff>7123</xdr:colOff>
      <xdr:row>39</xdr:row>
      <xdr:rowOff>193072</xdr:rowOff>
    </xdr:to>
    <xdr:sp macro="" textlink="">
      <xdr:nvSpPr>
        <xdr:cNvPr id="72" name="화살표: 오각형 71">
          <a:extLst>
            <a:ext uri="{FF2B5EF4-FFF2-40B4-BE49-F238E27FC236}">
              <a16:creationId xmlns:a16="http://schemas.microsoft.com/office/drawing/2014/main" id="{86EFC197-0E34-4DE2-8F26-F6087AEA527B}"/>
            </a:ext>
          </a:extLst>
        </xdr:cNvPr>
        <xdr:cNvSpPr/>
      </xdr:nvSpPr>
      <xdr:spPr>
        <a:xfrm>
          <a:off x="10295663" y="8262850"/>
          <a:ext cx="2284460" cy="350322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en-US" altLang="ko-KR" sz="1400"/>
            <a:t>Accumulator Make-up</a:t>
          </a:r>
          <a:endParaRPr lang="ko-KR" altLang="en-US" sz="1400"/>
        </a:p>
      </xdr:txBody>
    </xdr:sp>
    <xdr:clientData/>
  </xdr:twoCellAnchor>
  <xdr:twoCellAnchor>
    <xdr:from>
      <xdr:col>45</xdr:col>
      <xdr:colOff>7033</xdr:colOff>
      <xdr:row>26</xdr:row>
      <xdr:rowOff>58630</xdr:rowOff>
    </xdr:from>
    <xdr:to>
      <xdr:col>54</xdr:col>
      <xdr:colOff>222249</xdr:colOff>
      <xdr:row>27</xdr:row>
      <xdr:rowOff>193053</xdr:rowOff>
    </xdr:to>
    <xdr:sp macro="" textlink="">
      <xdr:nvSpPr>
        <xdr:cNvPr id="73" name="화살표: 오각형 72">
          <a:extLst>
            <a:ext uri="{FF2B5EF4-FFF2-40B4-BE49-F238E27FC236}">
              <a16:creationId xmlns:a16="http://schemas.microsoft.com/office/drawing/2014/main" id="{5959B400-B7DF-4907-9357-B4A0397A09F0}"/>
            </a:ext>
          </a:extLst>
        </xdr:cNvPr>
        <xdr:cNvSpPr/>
      </xdr:nvSpPr>
      <xdr:spPr>
        <a:xfrm>
          <a:off x="10294033" y="5672030"/>
          <a:ext cx="2272616" cy="350323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en-US" altLang="ko-KR" sz="1400"/>
            <a:t>CHP BLR Make-up</a:t>
          </a:r>
          <a:endParaRPr lang="ko-KR" altLang="en-US" sz="1400"/>
        </a:p>
      </xdr:txBody>
    </xdr:sp>
    <xdr:clientData/>
  </xdr:twoCellAnchor>
  <xdr:twoCellAnchor>
    <xdr:from>
      <xdr:col>37</xdr:col>
      <xdr:colOff>178402</xdr:colOff>
      <xdr:row>39</xdr:row>
      <xdr:rowOff>18297</xdr:rowOff>
    </xdr:from>
    <xdr:to>
      <xdr:col>45</xdr:col>
      <xdr:colOff>11839</xdr:colOff>
      <xdr:row>40</xdr:row>
      <xdr:rowOff>27448</xdr:rowOff>
    </xdr:to>
    <xdr:sp macro="" textlink="">
      <xdr:nvSpPr>
        <xdr:cNvPr id="74" name="자유형: 도형 73">
          <a:extLst>
            <a:ext uri="{FF2B5EF4-FFF2-40B4-BE49-F238E27FC236}">
              <a16:creationId xmlns:a16="http://schemas.microsoft.com/office/drawing/2014/main" id="{55173A86-B658-47C2-9511-D443609D45E0}"/>
            </a:ext>
          </a:extLst>
        </xdr:cNvPr>
        <xdr:cNvSpPr/>
      </xdr:nvSpPr>
      <xdr:spPr>
        <a:xfrm>
          <a:off x="8636602" y="8438397"/>
          <a:ext cx="1662237" cy="225051"/>
        </a:xfrm>
        <a:custGeom>
          <a:avLst/>
          <a:gdLst>
            <a:gd name="connsiteX0" fmla="*/ 0 w 1838325"/>
            <a:gd name="connsiteY0" fmla="*/ 0 h 0"/>
            <a:gd name="connsiteX1" fmla="*/ 1838325 w 18383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38325">
              <a:moveTo>
                <a:pt x="0" y="0"/>
              </a:moveTo>
              <a:lnTo>
                <a:pt x="1838325" y="0"/>
              </a:lnTo>
            </a:path>
          </a:pathLst>
        </a:custGeom>
        <a:noFill/>
        <a:ln w="25400">
          <a:solidFill>
            <a:srgbClr val="00B0F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12386</xdr:colOff>
      <xdr:row>26</xdr:row>
      <xdr:rowOff>219074</xdr:rowOff>
    </xdr:from>
    <xdr:to>
      <xdr:col>45</xdr:col>
      <xdr:colOff>2998</xdr:colOff>
      <xdr:row>39</xdr:row>
      <xdr:rowOff>18296</xdr:rowOff>
    </xdr:to>
    <xdr:sp macro="" textlink="">
      <xdr:nvSpPr>
        <xdr:cNvPr id="75" name="자유형: 도형 74">
          <a:extLst>
            <a:ext uri="{FF2B5EF4-FFF2-40B4-BE49-F238E27FC236}">
              <a16:creationId xmlns:a16="http://schemas.microsoft.com/office/drawing/2014/main" id="{53AC657A-380D-4958-B89B-320B376C3376}"/>
            </a:ext>
          </a:extLst>
        </xdr:cNvPr>
        <xdr:cNvSpPr/>
      </xdr:nvSpPr>
      <xdr:spPr>
        <a:xfrm flipV="1">
          <a:off x="9384986" y="5832474"/>
          <a:ext cx="905012" cy="2605922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rgbClr val="00B0F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37</xdr:col>
      <xdr:colOff>178492</xdr:colOff>
      <xdr:row>36</xdr:row>
      <xdr:rowOff>9526</xdr:rowOff>
    </xdr:from>
    <xdr:to>
      <xdr:col>39</xdr:col>
      <xdr:colOff>9829</xdr:colOff>
      <xdr:row>39</xdr:row>
      <xdr:rowOff>17707</xdr:rowOff>
    </xdr:to>
    <xdr:sp macro="" textlink="">
      <xdr:nvSpPr>
        <xdr:cNvPr id="76" name="자유형: 도형 75">
          <a:extLst>
            <a:ext uri="{FF2B5EF4-FFF2-40B4-BE49-F238E27FC236}">
              <a16:creationId xmlns:a16="http://schemas.microsoft.com/office/drawing/2014/main" id="{295A9BD3-CDE4-4C40-B815-1441BB8D487F}"/>
            </a:ext>
          </a:extLst>
        </xdr:cNvPr>
        <xdr:cNvSpPr/>
      </xdr:nvSpPr>
      <xdr:spPr>
        <a:xfrm rot="5400000" flipV="1">
          <a:off x="8453020" y="7965598"/>
          <a:ext cx="655881" cy="288537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rgbClr val="00B0F0"/>
          </a:solidFill>
          <a:tailEnd type="non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32</xdr:col>
      <xdr:colOff>9499</xdr:colOff>
      <xdr:row>33</xdr:row>
      <xdr:rowOff>9031</xdr:rowOff>
    </xdr:from>
    <xdr:to>
      <xdr:col>39</xdr:col>
      <xdr:colOff>8883</xdr:colOff>
      <xdr:row>36</xdr:row>
      <xdr:rowOff>155387</xdr:rowOff>
    </xdr:to>
    <xdr:sp macro="" textlink="">
      <xdr:nvSpPr>
        <xdr:cNvPr id="77" name="자유형: 도형 76">
          <a:extLst>
            <a:ext uri="{FF2B5EF4-FFF2-40B4-BE49-F238E27FC236}">
              <a16:creationId xmlns:a16="http://schemas.microsoft.com/office/drawing/2014/main" id="{87B3D780-5023-4808-AD23-63DFBF6B161E}"/>
            </a:ext>
          </a:extLst>
        </xdr:cNvPr>
        <xdr:cNvSpPr/>
      </xdr:nvSpPr>
      <xdr:spPr>
        <a:xfrm flipH="1">
          <a:off x="7324699" y="7133731"/>
          <a:ext cx="1599584" cy="794056"/>
        </a:xfrm>
        <a:custGeom>
          <a:avLst/>
          <a:gdLst>
            <a:gd name="connsiteX0" fmla="*/ 0 w 2095500"/>
            <a:gd name="connsiteY0" fmla="*/ 651710 h 651710"/>
            <a:gd name="connsiteX1" fmla="*/ 0 w 2095500"/>
            <a:gd name="connsiteY1" fmla="*/ 0 h 651710"/>
            <a:gd name="connsiteX2" fmla="*/ 2095500 w 2095500"/>
            <a:gd name="connsiteY2" fmla="*/ 0 h 651710"/>
            <a:gd name="connsiteX3" fmla="*/ 2095500 w 2095500"/>
            <a:gd name="connsiteY3" fmla="*/ 421105 h 65171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95500" h="651710">
              <a:moveTo>
                <a:pt x="0" y="651710"/>
              </a:moveTo>
              <a:lnTo>
                <a:pt x="0" y="0"/>
              </a:lnTo>
              <a:lnTo>
                <a:pt x="2095500" y="0"/>
              </a:lnTo>
              <a:lnTo>
                <a:pt x="2095500" y="421105"/>
              </a:lnTo>
            </a:path>
          </a:pathLst>
        </a:custGeom>
        <a:noFill/>
        <a:ln w="25400">
          <a:solidFill>
            <a:srgbClr val="00B0F0"/>
          </a:solidFill>
          <a:headEnd type="none"/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136060</xdr:colOff>
      <xdr:row>26</xdr:row>
      <xdr:rowOff>126707</xdr:rowOff>
    </xdr:from>
    <xdr:to>
      <xdr:col>42</xdr:col>
      <xdr:colOff>153091</xdr:colOff>
      <xdr:row>27</xdr:row>
      <xdr:rowOff>107148</xdr:rowOff>
    </xdr:to>
    <xdr:sp macro="" textlink="">
      <xdr:nvSpPr>
        <xdr:cNvPr id="78" name="순서도: 대조 77">
          <a:extLst>
            <a:ext uri="{FF2B5EF4-FFF2-40B4-BE49-F238E27FC236}">
              <a16:creationId xmlns:a16="http://schemas.microsoft.com/office/drawing/2014/main" id="{C11AD661-C022-4EDA-8D32-6612192F10AA}"/>
            </a:ext>
          </a:extLst>
        </xdr:cNvPr>
        <xdr:cNvSpPr/>
      </xdr:nvSpPr>
      <xdr:spPr>
        <a:xfrm rot="16200000">
          <a:off x="9533305" y="5715462"/>
          <a:ext cx="196341" cy="245631"/>
        </a:xfrm>
        <a:prstGeom prst="flowChartCollat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41</xdr:col>
      <xdr:colOff>9211</xdr:colOff>
      <xdr:row>29</xdr:row>
      <xdr:rowOff>151093</xdr:rowOff>
    </xdr:from>
    <xdr:to>
      <xdr:col>45</xdr:col>
      <xdr:colOff>48947</xdr:colOff>
      <xdr:row>31</xdr:row>
      <xdr:rowOff>55768</xdr:rowOff>
    </xdr:to>
    <xdr:grpSp>
      <xdr:nvGrpSpPr>
        <xdr:cNvPr id="79" name="그룹 78">
          <a:extLst>
            <a:ext uri="{FF2B5EF4-FFF2-40B4-BE49-F238E27FC236}">
              <a16:creationId xmlns:a16="http://schemas.microsoft.com/office/drawing/2014/main" id="{2D5A89D8-07D2-4C9D-B32C-25B84AB64925}"/>
            </a:ext>
          </a:extLst>
        </xdr:cNvPr>
        <xdr:cNvGrpSpPr/>
      </xdr:nvGrpSpPr>
      <xdr:grpSpPr>
        <a:xfrm>
          <a:off x="9239802" y="6229775"/>
          <a:ext cx="940281" cy="320311"/>
          <a:chOff x="13144500" y="6837947"/>
          <a:chExt cx="962307" cy="277562"/>
        </a:xfrm>
      </xdr:grpSpPr>
      <xdr:sp macro="" textlink="">
        <xdr:nvSpPr>
          <xdr:cNvPr id="80" name="자유형: 도형 79">
            <a:extLst>
              <a:ext uri="{FF2B5EF4-FFF2-40B4-BE49-F238E27FC236}">
                <a16:creationId xmlns:a16="http://schemas.microsoft.com/office/drawing/2014/main" id="{D69EEF1A-F2C9-1224-5FF0-A425F6510183}"/>
              </a:ext>
            </a:extLst>
          </xdr:cNvPr>
          <xdr:cNvSpPr/>
        </xdr:nvSpPr>
        <xdr:spPr>
          <a:xfrm>
            <a:off x="13144500" y="6901781"/>
            <a:ext cx="962307" cy="213728"/>
          </a:xfrm>
          <a:custGeom>
            <a:avLst/>
            <a:gdLst>
              <a:gd name="connsiteX0" fmla="*/ 0 w 1838325"/>
              <a:gd name="connsiteY0" fmla="*/ 0 h 0"/>
              <a:gd name="connsiteX1" fmla="*/ 1838325 w 1838325"/>
              <a:gd name="connsiteY1" fmla="*/ 0 h 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</a:cxnLst>
            <a:rect l="l" t="t" r="r" b="b"/>
            <a:pathLst>
              <a:path w="1838325">
                <a:moveTo>
                  <a:pt x="0" y="0"/>
                </a:moveTo>
                <a:lnTo>
                  <a:pt x="1838325" y="0"/>
                </a:lnTo>
              </a:path>
            </a:pathLst>
          </a:custGeom>
          <a:noFill/>
          <a:ln w="25400">
            <a:solidFill>
              <a:srgbClr val="00B0F0"/>
            </a:solidFill>
            <a:tailEnd type="triangle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1" name="순서도: 대조 80">
            <a:extLst>
              <a:ext uri="{FF2B5EF4-FFF2-40B4-BE49-F238E27FC236}">
                <a16:creationId xmlns:a16="http://schemas.microsoft.com/office/drawing/2014/main" id="{24366059-3D01-356D-BA8B-A60D408EFE3B}"/>
              </a:ext>
            </a:extLst>
          </xdr:cNvPr>
          <xdr:cNvSpPr/>
        </xdr:nvSpPr>
        <xdr:spPr>
          <a:xfrm rot="16200000">
            <a:off x="13310187" y="6796252"/>
            <a:ext cx="164095" cy="247486"/>
          </a:xfrm>
          <a:prstGeom prst="flowChartCollat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41</xdr:col>
      <xdr:colOff>19510</xdr:colOff>
      <xdr:row>32</xdr:row>
      <xdr:rowOff>142086</xdr:rowOff>
    </xdr:from>
    <xdr:to>
      <xdr:col>45</xdr:col>
      <xdr:colOff>59246</xdr:colOff>
      <xdr:row>34</xdr:row>
      <xdr:rowOff>37846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23F71944-9ED6-48BA-8BFA-584DD1386962}"/>
            </a:ext>
          </a:extLst>
        </xdr:cNvPr>
        <xdr:cNvGrpSpPr/>
      </xdr:nvGrpSpPr>
      <xdr:grpSpPr>
        <a:xfrm>
          <a:off x="9250101" y="6844222"/>
          <a:ext cx="940281" cy="311397"/>
          <a:chOff x="13144500" y="6837947"/>
          <a:chExt cx="962307" cy="277562"/>
        </a:xfrm>
      </xdr:grpSpPr>
      <xdr:sp macro="" textlink="">
        <xdr:nvSpPr>
          <xdr:cNvPr id="83" name="자유형: 도형 82">
            <a:extLst>
              <a:ext uri="{FF2B5EF4-FFF2-40B4-BE49-F238E27FC236}">
                <a16:creationId xmlns:a16="http://schemas.microsoft.com/office/drawing/2014/main" id="{5BF4A0B4-F49C-DF26-F760-CBF62DCF0A0C}"/>
              </a:ext>
            </a:extLst>
          </xdr:cNvPr>
          <xdr:cNvSpPr/>
        </xdr:nvSpPr>
        <xdr:spPr>
          <a:xfrm>
            <a:off x="13144500" y="6901781"/>
            <a:ext cx="962307" cy="213728"/>
          </a:xfrm>
          <a:custGeom>
            <a:avLst/>
            <a:gdLst>
              <a:gd name="connsiteX0" fmla="*/ 0 w 1838325"/>
              <a:gd name="connsiteY0" fmla="*/ 0 h 0"/>
              <a:gd name="connsiteX1" fmla="*/ 1838325 w 1838325"/>
              <a:gd name="connsiteY1" fmla="*/ 0 h 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</a:cxnLst>
            <a:rect l="l" t="t" r="r" b="b"/>
            <a:pathLst>
              <a:path w="1838325">
                <a:moveTo>
                  <a:pt x="0" y="0"/>
                </a:moveTo>
                <a:lnTo>
                  <a:pt x="1838325" y="0"/>
                </a:lnTo>
              </a:path>
            </a:pathLst>
          </a:custGeom>
          <a:noFill/>
          <a:ln w="25400">
            <a:solidFill>
              <a:srgbClr val="00B0F0"/>
            </a:solidFill>
            <a:tailEnd type="triangle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4" name="순서도: 대조 83">
            <a:extLst>
              <a:ext uri="{FF2B5EF4-FFF2-40B4-BE49-F238E27FC236}">
                <a16:creationId xmlns:a16="http://schemas.microsoft.com/office/drawing/2014/main" id="{139B8A72-0E1E-EE37-663F-4E5013FC75E3}"/>
              </a:ext>
            </a:extLst>
          </xdr:cNvPr>
          <xdr:cNvSpPr/>
        </xdr:nvSpPr>
        <xdr:spPr>
          <a:xfrm rot="16200000">
            <a:off x="13310187" y="6796252"/>
            <a:ext cx="164095" cy="247486"/>
          </a:xfrm>
          <a:prstGeom prst="flowChartCollat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40</xdr:col>
      <xdr:colOff>225796</xdr:colOff>
      <xdr:row>35</xdr:row>
      <xdr:rowOff>131171</xdr:rowOff>
    </xdr:from>
    <xdr:to>
      <xdr:col>45</xdr:col>
      <xdr:colOff>28350</xdr:colOff>
      <xdr:row>37</xdr:row>
      <xdr:rowOff>17406</xdr:rowOff>
    </xdr:to>
    <xdr:grpSp>
      <xdr:nvGrpSpPr>
        <xdr:cNvPr id="85" name="그룹 84">
          <a:extLst>
            <a:ext uri="{FF2B5EF4-FFF2-40B4-BE49-F238E27FC236}">
              <a16:creationId xmlns:a16="http://schemas.microsoft.com/office/drawing/2014/main" id="{6CCF00A0-2FB5-4E9E-9DDF-5E0FF3A96721}"/>
            </a:ext>
          </a:extLst>
        </xdr:cNvPr>
        <xdr:cNvGrpSpPr/>
      </xdr:nvGrpSpPr>
      <xdr:grpSpPr>
        <a:xfrm>
          <a:off x="9231251" y="7456762"/>
          <a:ext cx="928235" cy="301871"/>
          <a:chOff x="13144500" y="6837947"/>
          <a:chExt cx="962307" cy="277562"/>
        </a:xfrm>
      </xdr:grpSpPr>
      <xdr:sp macro="" textlink="">
        <xdr:nvSpPr>
          <xdr:cNvPr id="86" name="자유형: 도형 85">
            <a:extLst>
              <a:ext uri="{FF2B5EF4-FFF2-40B4-BE49-F238E27FC236}">
                <a16:creationId xmlns:a16="http://schemas.microsoft.com/office/drawing/2014/main" id="{9983C4E4-76B2-4658-4121-3143675147D4}"/>
              </a:ext>
            </a:extLst>
          </xdr:cNvPr>
          <xdr:cNvSpPr/>
        </xdr:nvSpPr>
        <xdr:spPr>
          <a:xfrm>
            <a:off x="13144500" y="6901781"/>
            <a:ext cx="962307" cy="213728"/>
          </a:xfrm>
          <a:custGeom>
            <a:avLst/>
            <a:gdLst>
              <a:gd name="connsiteX0" fmla="*/ 0 w 1838325"/>
              <a:gd name="connsiteY0" fmla="*/ 0 h 0"/>
              <a:gd name="connsiteX1" fmla="*/ 1838325 w 1838325"/>
              <a:gd name="connsiteY1" fmla="*/ 0 h 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</a:cxnLst>
            <a:rect l="l" t="t" r="r" b="b"/>
            <a:pathLst>
              <a:path w="1838325">
                <a:moveTo>
                  <a:pt x="0" y="0"/>
                </a:moveTo>
                <a:lnTo>
                  <a:pt x="1838325" y="0"/>
                </a:lnTo>
              </a:path>
            </a:pathLst>
          </a:custGeom>
          <a:noFill/>
          <a:ln w="25400">
            <a:solidFill>
              <a:srgbClr val="00B0F0"/>
            </a:solidFill>
            <a:tailEnd type="triangle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7" name="순서도: 대조 86">
            <a:extLst>
              <a:ext uri="{FF2B5EF4-FFF2-40B4-BE49-F238E27FC236}">
                <a16:creationId xmlns:a16="http://schemas.microsoft.com/office/drawing/2014/main" id="{B304CFA4-70D1-F9AC-96DF-BB6E89D8D1EB}"/>
              </a:ext>
            </a:extLst>
          </xdr:cNvPr>
          <xdr:cNvSpPr/>
        </xdr:nvSpPr>
        <xdr:spPr>
          <a:xfrm rot="16200000">
            <a:off x="13310187" y="6796252"/>
            <a:ext cx="164095" cy="247486"/>
          </a:xfrm>
          <a:prstGeom prst="flowChartCollat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38</xdr:col>
      <xdr:colOff>116634</xdr:colOff>
      <xdr:row>6</xdr:row>
      <xdr:rowOff>142626</xdr:rowOff>
    </xdr:from>
    <xdr:to>
      <xdr:col>39</xdr:col>
      <xdr:colOff>136075</xdr:colOff>
      <xdr:row>7</xdr:row>
      <xdr:rowOff>111170</xdr:rowOff>
    </xdr:to>
    <xdr:sp macro="" textlink="">
      <xdr:nvSpPr>
        <xdr:cNvPr id="88" name="순서도: 대조 87">
          <a:extLst>
            <a:ext uri="{FF2B5EF4-FFF2-40B4-BE49-F238E27FC236}">
              <a16:creationId xmlns:a16="http://schemas.microsoft.com/office/drawing/2014/main" id="{894EF9FB-717F-4680-9DC5-1D0503C910F1}"/>
            </a:ext>
          </a:extLst>
        </xdr:cNvPr>
        <xdr:cNvSpPr/>
      </xdr:nvSpPr>
      <xdr:spPr>
        <a:xfrm rot="16200000">
          <a:off x="8835233" y="1406227"/>
          <a:ext cx="184444" cy="248041"/>
        </a:xfrm>
        <a:prstGeom prst="flowChartCollat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38</xdr:col>
      <xdr:colOff>103737</xdr:colOff>
      <xdr:row>9</xdr:row>
      <xdr:rowOff>132909</xdr:rowOff>
    </xdr:from>
    <xdr:to>
      <xdr:col>39</xdr:col>
      <xdr:colOff>123178</xdr:colOff>
      <xdr:row>10</xdr:row>
      <xdr:rowOff>88755</xdr:rowOff>
    </xdr:to>
    <xdr:sp macro="" textlink="">
      <xdr:nvSpPr>
        <xdr:cNvPr id="89" name="순서도: 대조 88">
          <a:extLst>
            <a:ext uri="{FF2B5EF4-FFF2-40B4-BE49-F238E27FC236}">
              <a16:creationId xmlns:a16="http://schemas.microsoft.com/office/drawing/2014/main" id="{65A7C18B-82FB-4AE5-89FF-953F07E16FA2}"/>
            </a:ext>
          </a:extLst>
        </xdr:cNvPr>
        <xdr:cNvSpPr/>
      </xdr:nvSpPr>
      <xdr:spPr>
        <a:xfrm rot="16200000">
          <a:off x="8828685" y="2037861"/>
          <a:ext cx="171746" cy="248041"/>
        </a:xfrm>
        <a:prstGeom prst="flowChartCollat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51</xdr:col>
      <xdr:colOff>53975</xdr:colOff>
      <xdr:row>21</xdr:row>
      <xdr:rowOff>19050</xdr:rowOff>
    </xdr:from>
    <xdr:to>
      <xdr:col>52</xdr:col>
      <xdr:colOff>161376</xdr:colOff>
      <xdr:row>22</xdr:row>
      <xdr:rowOff>198599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A4331FA4-B41D-4507-BDEC-36A962C0A952}"/>
            </a:ext>
          </a:extLst>
        </xdr:cNvPr>
        <xdr:cNvGrpSpPr/>
      </xdr:nvGrpSpPr>
      <xdr:grpSpPr>
        <a:xfrm>
          <a:off x="11535930" y="4435186"/>
          <a:ext cx="332537" cy="387368"/>
          <a:chOff x="5522604" y="2931283"/>
          <a:chExt cx="322713" cy="334655"/>
        </a:xfrm>
      </xdr:grpSpPr>
      <xdr:sp macro="" textlink="">
        <xdr:nvSpPr>
          <xdr:cNvPr id="91" name="순서도: 연결자 90">
            <a:extLst>
              <a:ext uri="{FF2B5EF4-FFF2-40B4-BE49-F238E27FC236}">
                <a16:creationId xmlns:a16="http://schemas.microsoft.com/office/drawing/2014/main" id="{C722A04D-F75A-0C13-11D1-8AE605400C4E}"/>
              </a:ext>
            </a:extLst>
          </xdr:cNvPr>
          <xdr:cNvSpPr/>
        </xdr:nvSpPr>
        <xdr:spPr>
          <a:xfrm>
            <a:off x="5522604" y="2931283"/>
            <a:ext cx="322713" cy="334655"/>
          </a:xfrm>
          <a:prstGeom prst="flowChartConnector">
            <a:avLst/>
          </a:prstGeom>
          <a:noFill/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" name="순서도: 연결자 91">
            <a:extLst>
              <a:ext uri="{FF2B5EF4-FFF2-40B4-BE49-F238E27FC236}">
                <a16:creationId xmlns:a16="http://schemas.microsoft.com/office/drawing/2014/main" id="{53908726-D042-B700-F65F-A3B16E9024FA}"/>
              </a:ext>
            </a:extLst>
          </xdr:cNvPr>
          <xdr:cNvSpPr/>
        </xdr:nvSpPr>
        <xdr:spPr>
          <a:xfrm>
            <a:off x="5619228" y="2954598"/>
            <a:ext cx="132213" cy="134393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" name="순서도: 연결자 92">
            <a:extLst>
              <a:ext uri="{FF2B5EF4-FFF2-40B4-BE49-F238E27FC236}">
                <a16:creationId xmlns:a16="http://schemas.microsoft.com/office/drawing/2014/main" id="{4242A3ED-E723-BF90-1EA9-EBCB14A1DF84}"/>
              </a:ext>
            </a:extLst>
          </xdr:cNvPr>
          <xdr:cNvSpPr/>
        </xdr:nvSpPr>
        <xdr:spPr>
          <a:xfrm>
            <a:off x="5622592" y="3112259"/>
            <a:ext cx="129038" cy="131218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28</xdr:col>
      <xdr:colOff>0</xdr:colOff>
      <xdr:row>6</xdr:row>
      <xdr:rowOff>44450</xdr:rowOff>
    </xdr:from>
    <xdr:to>
      <xdr:col>33</xdr:col>
      <xdr:colOff>171450</xdr:colOff>
      <xdr:row>7</xdr:row>
      <xdr:rowOff>190154</xdr:rowOff>
    </xdr:to>
    <xdr:sp macro="" textlink="">
      <xdr:nvSpPr>
        <xdr:cNvPr id="94" name="화살표: 오각형 93">
          <a:extLst>
            <a:ext uri="{FF2B5EF4-FFF2-40B4-BE49-F238E27FC236}">
              <a16:creationId xmlns:a16="http://schemas.microsoft.com/office/drawing/2014/main" id="{547AF788-3257-436D-AAE1-29AEFA954DF7}"/>
            </a:ext>
          </a:extLst>
        </xdr:cNvPr>
        <xdr:cNvSpPr/>
      </xdr:nvSpPr>
      <xdr:spPr>
        <a:xfrm>
          <a:off x="6400800" y="1339850"/>
          <a:ext cx="1314450" cy="361604"/>
        </a:xfrm>
        <a:prstGeom prst="homePlat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ko-KR" altLang="en-US" sz="1400"/>
            <a:t>오수처리장</a:t>
          </a:r>
        </a:p>
      </xdr:txBody>
    </xdr:sp>
    <xdr:clientData/>
  </xdr:twoCellAnchor>
  <xdr:twoCellAnchor>
    <xdr:from>
      <xdr:col>1</xdr:col>
      <xdr:colOff>0</xdr:colOff>
      <xdr:row>43</xdr:row>
      <xdr:rowOff>0</xdr:rowOff>
    </xdr:from>
    <xdr:to>
      <xdr:col>31</xdr:col>
      <xdr:colOff>114300</xdr:colOff>
      <xdr:row>45</xdr:row>
      <xdr:rowOff>0</xdr:rowOff>
    </xdr:to>
    <xdr:sp macro="" textlink="">
      <xdr:nvSpPr>
        <xdr:cNvPr id="95" name="자유형: 도형 94">
          <a:extLst>
            <a:ext uri="{FF2B5EF4-FFF2-40B4-BE49-F238E27FC236}">
              <a16:creationId xmlns:a16="http://schemas.microsoft.com/office/drawing/2014/main" id="{7A5011A8-53F9-4B3B-9B66-4B39AA58C831}"/>
            </a:ext>
          </a:extLst>
        </xdr:cNvPr>
        <xdr:cNvSpPr/>
      </xdr:nvSpPr>
      <xdr:spPr>
        <a:xfrm>
          <a:off x="228600" y="9283700"/>
          <a:ext cx="6972300" cy="431800"/>
        </a:xfrm>
        <a:custGeom>
          <a:avLst/>
          <a:gdLst>
            <a:gd name="connsiteX0" fmla="*/ 0 w 6972300"/>
            <a:gd name="connsiteY0" fmla="*/ 0 h 438150"/>
            <a:gd name="connsiteX1" fmla="*/ 219075 w 6972300"/>
            <a:gd name="connsiteY1" fmla="*/ 219075 h 438150"/>
            <a:gd name="connsiteX2" fmla="*/ 6972300 w 6972300"/>
            <a:gd name="connsiteY2" fmla="*/ 219075 h 438150"/>
            <a:gd name="connsiteX3" fmla="*/ 6972300 w 6972300"/>
            <a:gd name="connsiteY3" fmla="*/ 438150 h 4381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972300" h="438150">
              <a:moveTo>
                <a:pt x="0" y="0"/>
              </a:moveTo>
              <a:lnTo>
                <a:pt x="219075" y="219075"/>
              </a:lnTo>
              <a:lnTo>
                <a:pt x="6972300" y="219075"/>
              </a:lnTo>
              <a:lnTo>
                <a:pt x="6972300" y="438150"/>
              </a:lnTo>
            </a:path>
          </a:pathLst>
        </a:custGeom>
        <a:noFill/>
        <a:ln w="38100">
          <a:solidFill>
            <a:schemeClr val="tx1"/>
          </a:solidFill>
          <a:tailEnd type="arrow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114300</xdr:colOff>
      <xdr:row>43</xdr:row>
      <xdr:rowOff>0</xdr:rowOff>
    </xdr:from>
    <xdr:to>
      <xdr:col>62</xdr:col>
      <xdr:colOff>9524</xdr:colOff>
      <xdr:row>45</xdr:row>
      <xdr:rowOff>0</xdr:rowOff>
    </xdr:to>
    <xdr:sp macro="" textlink="">
      <xdr:nvSpPr>
        <xdr:cNvPr id="96" name="자유형: 도형 95">
          <a:extLst>
            <a:ext uri="{FF2B5EF4-FFF2-40B4-BE49-F238E27FC236}">
              <a16:creationId xmlns:a16="http://schemas.microsoft.com/office/drawing/2014/main" id="{795DFB70-F7DF-4D47-A041-234D0847CF78}"/>
            </a:ext>
          </a:extLst>
        </xdr:cNvPr>
        <xdr:cNvSpPr/>
      </xdr:nvSpPr>
      <xdr:spPr>
        <a:xfrm flipH="1">
          <a:off x="7200900" y="9283700"/>
          <a:ext cx="6981824" cy="431800"/>
        </a:xfrm>
        <a:custGeom>
          <a:avLst/>
          <a:gdLst>
            <a:gd name="connsiteX0" fmla="*/ 0 w 6972300"/>
            <a:gd name="connsiteY0" fmla="*/ 0 h 438150"/>
            <a:gd name="connsiteX1" fmla="*/ 219075 w 6972300"/>
            <a:gd name="connsiteY1" fmla="*/ 219075 h 438150"/>
            <a:gd name="connsiteX2" fmla="*/ 6972300 w 6972300"/>
            <a:gd name="connsiteY2" fmla="*/ 219075 h 438150"/>
            <a:gd name="connsiteX3" fmla="*/ 6972300 w 6972300"/>
            <a:gd name="connsiteY3" fmla="*/ 438150 h 4381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972300" h="438150">
              <a:moveTo>
                <a:pt x="0" y="0"/>
              </a:moveTo>
              <a:lnTo>
                <a:pt x="219075" y="219075"/>
              </a:lnTo>
              <a:lnTo>
                <a:pt x="6972300" y="219075"/>
              </a:lnTo>
              <a:lnTo>
                <a:pt x="6972300" y="438150"/>
              </a:lnTo>
            </a:path>
          </a:pathLst>
        </a:custGeom>
        <a:noFill/>
        <a:ln w="38100">
          <a:solidFill>
            <a:schemeClr val="tx1"/>
          </a:solidFill>
          <a:tailEnd type="arrow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228597</xdr:colOff>
      <xdr:row>31</xdr:row>
      <xdr:rowOff>76201</xdr:rowOff>
    </xdr:from>
    <xdr:to>
      <xdr:col>30</xdr:col>
      <xdr:colOff>10228</xdr:colOff>
      <xdr:row>35</xdr:row>
      <xdr:rowOff>130177</xdr:rowOff>
    </xdr:to>
    <xdr:sp macro="" textlink="">
      <xdr:nvSpPr>
        <xdr:cNvPr id="97" name="화살표: 오각형 96">
          <a:extLst>
            <a:ext uri="{FF2B5EF4-FFF2-40B4-BE49-F238E27FC236}">
              <a16:creationId xmlns:a16="http://schemas.microsoft.com/office/drawing/2014/main" id="{212B7F77-7C67-4385-8DC6-4A33DEE407DC}"/>
            </a:ext>
          </a:extLst>
        </xdr:cNvPr>
        <xdr:cNvSpPr/>
      </xdr:nvSpPr>
      <xdr:spPr>
        <a:xfrm rot="5400000">
          <a:off x="6290025" y="7108473"/>
          <a:ext cx="917576" cy="238831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en-US" altLang="ko-KR" sz="1400" b="1" baseline="0">
              <a:latin typeface="돋움" panose="020B0600000101010101" pitchFamily="50" charset="-127"/>
              <a:ea typeface="돋움" panose="020B0600000101010101" pitchFamily="50" charset="-127"/>
            </a:rPr>
            <a:t>①</a:t>
          </a:r>
          <a:r>
            <a:rPr lang="en-US" altLang="ko-KR" sz="1400" baseline="0">
              <a:latin typeface="돋움" panose="020B0600000101010101" pitchFamily="50" charset="-127"/>
              <a:ea typeface="돋움" panose="020B0600000101010101" pitchFamily="50" charset="-127"/>
            </a:rPr>
            <a:t> </a:t>
          </a:r>
          <a:endParaRPr lang="ko-KR" altLang="en-US" sz="1400"/>
        </a:p>
      </xdr:txBody>
    </xdr:sp>
    <xdr:clientData/>
  </xdr:twoCellAnchor>
  <xdr:twoCellAnchor>
    <xdr:from>
      <xdr:col>31</xdr:col>
      <xdr:colOff>104775</xdr:colOff>
      <xdr:row>45</xdr:row>
      <xdr:rowOff>6351</xdr:rowOff>
    </xdr:from>
    <xdr:to>
      <xdr:col>40</xdr:col>
      <xdr:colOff>190500</xdr:colOff>
      <xdr:row>46</xdr:row>
      <xdr:rowOff>57151</xdr:rowOff>
    </xdr:to>
    <xdr:sp macro="" textlink="">
      <xdr:nvSpPr>
        <xdr:cNvPr id="98" name="화살표: 오각형 97">
          <a:extLst>
            <a:ext uri="{FF2B5EF4-FFF2-40B4-BE49-F238E27FC236}">
              <a16:creationId xmlns:a16="http://schemas.microsoft.com/office/drawing/2014/main" id="{EDB4C6CD-E586-4656-9C1D-443456E3ECEE}"/>
            </a:ext>
          </a:extLst>
        </xdr:cNvPr>
        <xdr:cNvSpPr/>
      </xdr:nvSpPr>
      <xdr:spPr>
        <a:xfrm>
          <a:off x="7191375" y="9721851"/>
          <a:ext cx="2143125" cy="266700"/>
        </a:xfrm>
        <a:prstGeom prst="homePlat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ctr"/>
          <a:r>
            <a:rPr lang="en-US" altLang="ko-KR" sz="1400"/>
            <a:t>to </a:t>
          </a:r>
          <a:r>
            <a:rPr lang="ko-KR" altLang="en-US" sz="1400"/>
            <a:t>승기하수처리장</a:t>
          </a:r>
        </a:p>
      </xdr:txBody>
    </xdr:sp>
    <xdr:clientData/>
  </xdr:twoCellAnchor>
  <xdr:twoCellAnchor>
    <xdr:from>
      <xdr:col>15</xdr:col>
      <xdr:colOff>6350</xdr:colOff>
      <xdr:row>12</xdr:row>
      <xdr:rowOff>6520</xdr:rowOff>
    </xdr:from>
    <xdr:to>
      <xdr:col>21</xdr:col>
      <xdr:colOff>106132</xdr:colOff>
      <xdr:row>25</xdr:row>
      <xdr:rowOff>0</xdr:rowOff>
    </xdr:to>
    <xdr:sp macro="" textlink="">
      <xdr:nvSpPr>
        <xdr:cNvPr id="99" name="자유형: 도형 98">
          <a:extLst>
            <a:ext uri="{FF2B5EF4-FFF2-40B4-BE49-F238E27FC236}">
              <a16:creationId xmlns:a16="http://schemas.microsoft.com/office/drawing/2014/main" id="{A28E89F3-1C46-4C17-B07C-74C770AE1751}"/>
            </a:ext>
          </a:extLst>
        </xdr:cNvPr>
        <xdr:cNvSpPr/>
      </xdr:nvSpPr>
      <xdr:spPr>
        <a:xfrm flipH="1">
          <a:off x="3435350" y="2597320"/>
          <a:ext cx="1471382" cy="2800180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199563</xdr:colOff>
      <xdr:row>24</xdr:row>
      <xdr:rowOff>126707</xdr:rowOff>
    </xdr:from>
    <xdr:to>
      <xdr:col>16</xdr:col>
      <xdr:colOff>216594</xdr:colOff>
      <xdr:row>25</xdr:row>
      <xdr:rowOff>107148</xdr:rowOff>
    </xdr:to>
    <xdr:sp macro="" textlink="">
      <xdr:nvSpPr>
        <xdr:cNvPr id="100" name="순서도: 대조 99">
          <a:extLst>
            <a:ext uri="{FF2B5EF4-FFF2-40B4-BE49-F238E27FC236}">
              <a16:creationId xmlns:a16="http://schemas.microsoft.com/office/drawing/2014/main" id="{EBF26891-D013-49E2-8C7F-165857ACCA42}"/>
            </a:ext>
          </a:extLst>
        </xdr:cNvPr>
        <xdr:cNvSpPr/>
      </xdr:nvSpPr>
      <xdr:spPr>
        <a:xfrm rot="16200000">
          <a:off x="3653208" y="5283662"/>
          <a:ext cx="196341" cy="245631"/>
        </a:xfrm>
        <a:prstGeom prst="flowChartCollat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19049</xdr:colOff>
      <xdr:row>24</xdr:row>
      <xdr:rowOff>64980</xdr:rowOff>
    </xdr:from>
    <xdr:to>
      <xdr:col>15</xdr:col>
      <xdr:colOff>682</xdr:colOff>
      <xdr:row>25</xdr:row>
      <xdr:rowOff>202578</xdr:rowOff>
    </xdr:to>
    <xdr:sp macro="" textlink="">
      <xdr:nvSpPr>
        <xdr:cNvPr id="101" name="화살표: 오각형 100">
          <a:extLst>
            <a:ext uri="{FF2B5EF4-FFF2-40B4-BE49-F238E27FC236}">
              <a16:creationId xmlns:a16="http://schemas.microsoft.com/office/drawing/2014/main" id="{3BE4EEF0-66EE-4CF0-9929-32E045A44957}"/>
            </a:ext>
          </a:extLst>
        </xdr:cNvPr>
        <xdr:cNvSpPr/>
      </xdr:nvSpPr>
      <xdr:spPr>
        <a:xfrm flipH="1">
          <a:off x="1619249" y="5246580"/>
          <a:ext cx="1810433" cy="353498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en-US" altLang="ko-KR" sz="1400"/>
            <a:t>Fuel Cell Make-up</a:t>
          </a:r>
          <a:endParaRPr lang="ko-KR" altLang="en-US" sz="14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XLS\ALL-XLS\ULSAN\PRIC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8;&#50612;&#49892;\My%20Documents\Cashflow\model\01B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8;&#50612;&#49892;\My%20Documents\client\&#45768;&#53944;&#51221;&#48372;\yearend\WINDOWS\Temporary%20Internet%20Files\Content.IE5\2TC1SH01\IIIIIIIIIIIIIIIIKamco_abs\Template\&#49688;&#51221;Template\&#52380;&#44305;&#49328;&#50629;(&#51452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wk\c\5N10\PJT%20Control\Job\5n10\CODE509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8;&#50612;&#49892;\&#49888;&#51221;&#49453;%20&#50629;&#47924;\2016&#45380;\&#49324;&#50629;&#44228;&#54925;\&#50696;&#49328;&#44288;&#47144;\&#51473;&#51109;&#44592;%20&#49688;&#50836;&#44228;&#54925;(2014.10.24)_&#49324;&#50629;&#44060;&#48156;&#54016;_R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wk\c\5N10\PJT%20Control\&#54644;&#50808;&#44204;&#51201;\kuwait\5M99,5N04\cost%20breakdown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wk\c\5N10\PJT%20Control\Job\5n10\Lnx$LPS-A301(Excel)_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8;&#50612;&#49892;\My%20Documents\client\&#45768;&#53944;&#51221;&#48372;\yearend\WINDOWS\Temporary%20Internet%20Files\Content.IE5\2TC1SH01\&#44277;&#50976;\&#49352;%20&#54260;&#45908;\&#49457;&#50629;&#44277;&#49324;-&#49688;&#51221;\&#50864;&#49457;&#47784;&#5164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ATA\COMMON\CTRFORM\CT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wk\c\5N10\PJT%20Control\&#54644;&#50808;&#44204;&#51201;\kuwait\5M99,5N04\NGL4%20COST%20BREAKDOWN%20TMP%20REV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&#49444;&#44228;&#48320;&#44221;\&#54217;&#52492;\VV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8;&#50612;&#49892;\My%20Documents\client\&#45768;&#53944;&#51221;&#48372;\yearend\WINDOWS\Temporary%20Internet%20Files\Content.IE5\2TC1SH01\&#44277;&#50976;\&#49352;%20&#54260;&#45908;\&#49457;&#50629;&#44277;&#49324;-&#49688;&#51221;\&#46041;&#49436;&#44032;&#4439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&#51456;&#44277;\&#51473;&#50521;\1&#52264;&#51221;&#4932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648;&#54984;\C\DATA\EXCELL\&#50868;&#50689;&#49892;&#51201;\WORK\EXOPER\&#50868;&#50689;&#49892;&#51201;\1995\95-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648;&#54984;\C\DATA\EXCELL\&#50868;&#50689;&#49892;&#51201;\WORK\EXOPER\&#50868;&#50689;&#49892;&#51201;\1995\95-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8;&#50612;&#49892;\&#49569;&#46020;&#49888;&#46020;&#49884;&#50676;&#48176;&#44288;\2&#52264;&#49444;&#48320;\&#45236;&#50669;&#49436;\WORK7\5&#52264;&#44592;&#49457;\&#44148;&#52629;\&#44148;&#44592;5-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8;&#50612;&#49892;\&#50980;&#51221;&#49885;\&#51088;&#49328;&#52712;&#46301;\2&#44277;&#44396;\&#51088;&#49328;&#52712;&#46301;(041130).xls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steams_6d3663/Shared%20Documents/General/&#50868;&#50689;&#49892;&#51201;(&#51228;&#50612;&#49892;)/1.%20&#51216;&#44160;&#51068;&#51648;%20(&#49325;&#51228;&#51200;&#51109;&#51452;&#51032;)/&#50868;&#51204;&#48372;&#44256;&#49436;%202025&#45380;/&#50868;&#51204;&#49892;&#51201;/2025&#45380;%20&#50948;&#46300;&#50868;&#51204;&#49892;&#51201;(&#48708;&#48264;356).xlsx" TargetMode="External"/><Relationship Id="rId2" Type="http://schemas.openxmlformats.org/officeDocument/2006/relationships/externalLinkPath" Target="https://withie.sharepoint.com/sites/msteams_6d3663/Shared%20Documents/General/&#50868;&#50689;&#49892;&#51201;(&#51228;&#50612;&#49892;)/1.%20&#51216;&#44160;&#51068;&#51648;%20(&#49325;&#51228;&#51200;&#51109;&#51452;&#51032;)/&#50868;&#51204;&#48372;&#44256;&#49436;%202025&#45380;/&#50868;&#51204;&#49892;&#51201;/2025&#45380;%20&#50948;&#46300;&#50868;&#51204;&#49892;&#51201;(&#48708;&#48264;356).xlsx" TargetMode="External"/><Relationship Id="rId1" Type="http://schemas.openxmlformats.org/officeDocument/2006/relationships/externalLinkPath" Target="/sites/msteams_6d3663/Shared%20Documents/General/&#50868;&#50689;&#49892;&#51201;(&#51228;&#50612;&#49892;)/1.%20&#51216;&#44160;&#51068;&#51648;%20(&#49325;&#51228;&#51200;&#51109;&#51452;&#51032;)/&#50868;&#51204;&#48372;&#44256;&#49436;%202025&#45380;/&#50868;&#51204;&#49892;&#51201;/2025&#45380;%20&#50948;&#46300;&#50868;&#51204;&#49892;&#51201;(&#48708;&#48264;356)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steams_6d3663/Shared%20Documents/General/&#50868;&#50689;&#49892;&#51201;(&#51228;&#50612;&#49892;)/1.%20&#51216;&#44160;&#51068;&#51648;%20(&#49325;&#51228;&#51200;&#51109;&#51452;&#51032;)/&#50868;&#51204;&#48372;&#44256;&#49436;%202026&#45380;/&#50868;&#51204;&#49892;&#51201;/2026&#45380;%20&#50948;&#46300;&#50868;&#51204;&#49892;&#51201;(&#48708;&#48264;356).xlsx" TargetMode="External"/><Relationship Id="rId2" Type="http://schemas.openxmlformats.org/officeDocument/2006/relationships/externalLinkPath" Target="https://withie.sharepoint.com/sites/msteams_6d3663/Shared%20Documents/General/&#50868;&#50689;&#49892;&#51201;(&#51228;&#50612;&#49892;)/1.%20&#51216;&#44160;&#51068;&#51648;%20(&#49325;&#51228;&#51200;&#51109;&#51452;&#51032;)/&#50868;&#51204;&#48372;&#44256;&#49436;%202026&#45380;/&#50868;&#51204;&#49892;&#51201;/2026&#45380;%20&#50948;&#46300;&#50868;&#51204;&#49892;&#51201;(&#48708;&#48264;356).xlsx" TargetMode="External"/><Relationship Id="rId1" Type="http://schemas.openxmlformats.org/officeDocument/2006/relationships/externalLinkPath" Target="/sites/msteams_6d3663/Shared%20Documents/General/&#50868;&#50689;&#49892;&#51201;(&#51228;&#50612;&#49892;)/1.%20&#51216;&#44160;&#51068;&#51648;%20(&#49325;&#51228;&#51200;&#51109;&#51452;&#51032;)/&#50868;&#51204;&#48372;&#44256;&#49436;%202026&#45380;/&#50868;&#51204;&#49892;&#51201;/2026&#45380;%20&#50948;&#46300;&#50868;&#51204;&#49892;&#51201;(&#48708;&#48264;356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CHP%20&#51656;&#49548;&#49328;&#54868;&#47932;%20&#48176;&#52636;&#4704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"/>
      <sheetName val="산출서"/>
      <sheetName val="집계표"/>
      <sheetName val="내역서"/>
      <sheetName val="기자재단가"/>
      <sheetName val="배관단가"/>
      <sheetName val="일위대가목차"/>
      <sheetName val="일위대가표"/>
      <sheetName val="단가표"/>
      <sheetName val="단가구분"/>
      <sheetName val="PCODE"/>
      <sheetName val="원가계산서"/>
      <sheetName val="금액총괄표"/>
      <sheetName val="금액내역서"/>
      <sheetName val="laroux"/>
      <sheetName val="단가조사서"/>
      <sheetName val="장비단가비교표"/>
      <sheetName val="일위대가"/>
      <sheetName val="SUPPORT산출서"/>
      <sheetName val="support집계"/>
      <sheetName val="WALKWAY 집계"/>
      <sheetName val="HOISTRAIL집계"/>
      <sheetName val="2공구관급"/>
      <sheetName val="2공구도급"/>
      <sheetName val="산출내역"/>
      <sheetName val="토목"/>
      <sheetName val="품질관리비"/>
      <sheetName val="건축"/>
      <sheetName val="기계 "/>
      <sheetName val="설치공사"/>
      <sheetName val="XXXXXX"/>
      <sheetName val="년차사용내역"/>
      <sheetName val="전기1과자료"/>
      <sheetName val="각서(교통사고)"/>
      <sheetName val="개별계획서"/>
      <sheetName val="공사내용"/>
      <sheetName val="증설CM보수"/>
      <sheetName val="용접기현황"/>
      <sheetName val="무전기"/>
      <sheetName val="경위서"/>
      <sheetName val="작업일지"/>
      <sheetName val="일지"/>
      <sheetName val="월간공정"/>
      <sheetName val="계측관리(가로)"/>
      <sheetName val="당직표"/>
      <sheetName val="안전관리과일지"/>
      <sheetName val="공사현황보고"/>
      <sheetName val="수량산출서"/>
      <sheetName val="인건비"/>
      <sheetName val="배관자재 단가조사서"/>
      <sheetName val="000000"/>
      <sheetName val="VXXXX"/>
      <sheetName val="사급자재대"/>
      <sheetName val="단가비교"/>
      <sheetName val="4. 배관공사"/>
      <sheetName val="3.시운전비"/>
      <sheetName val="원가계산"/>
      <sheetName val="총괄내역"/>
      <sheetName val="시운전비(계약직)"/>
      <sheetName val="침출배관"/>
      <sheetName val="SEC 1-D850"/>
      <sheetName val="노임단가"/>
      <sheetName val="전기공사"/>
      <sheetName val="건축내역"/>
      <sheetName val="연돌일위집계"/>
      <sheetName val="WORK"/>
      <sheetName val="결과조달"/>
      <sheetName val="9-1차이내역."/>
      <sheetName val="견적서"/>
      <sheetName val="ELECTRIC"/>
      <sheetName val="CTEMCOST"/>
      <sheetName val="SCHEDULE"/>
      <sheetName val="실행철강하도"/>
      <sheetName val="?????"/>
      <sheetName val="정부노임단가"/>
      <sheetName val="설계"/>
      <sheetName val="#REF"/>
      <sheetName val="G2설비도급"/>
      <sheetName val="국내"/>
      <sheetName val="3.공통공사대비"/>
      <sheetName val="2000년1차"/>
      <sheetName val="¿ø°¡°è»ê¼­"/>
      <sheetName val="±Ý¾×ÃÑ°ýÇ¥"/>
      <sheetName val="±Ý¾×³»¿ª¼­"/>
      <sheetName val="´Ü°¡Á¶»ç¼­"/>
      <sheetName val="Àåºñ´Ü°¡ºñ±³Ç¥"/>
      <sheetName val="ÀÏÀ§´ë°¡¸ñÂ÷"/>
      <sheetName val="ÀÏÀ§´ë°¡"/>
      <sheetName val="»êÃâ¼­"/>
      <sheetName val="Áý°èÇ¥"/>
      <sheetName val="SUPPORT»êÃâ¼­"/>
      <sheetName val="supportÁý°è"/>
      <sheetName val="WALKWAY Áý°è"/>
      <sheetName val="HOISTRAILÁý°è"/>
      <sheetName val="2°ø±¸°ü±Þ"/>
      <sheetName val="2°ø±¸µµ±Þ"/>
      <sheetName val="³»¿ª¼­"/>
      <sheetName val="±âÀÚÀç´Ü°¡"/>
      <sheetName val="¹è°ü´Ü°¡"/>
      <sheetName val="ÀÏÀ§´ë°¡Ç¥"/>
      <sheetName val="´Ü°¡Ç¥"/>
      <sheetName val="´Ü°¡±¸ºÐ"/>
      <sheetName val="³âÂ÷»ç¿ë³»¿ª"/>
      <sheetName val="Àü±â1°úÀÚ·á"/>
      <sheetName val="°¢¼­(±³Åë»ç°í)"/>
      <sheetName val="°³º°°èÈ¹¼­"/>
      <sheetName val="°ø»ç³»¿ë"/>
      <sheetName val="Áõ¼³CMº¸¼ö"/>
      <sheetName val="¿ëÁ¢±âÇöÈ²"/>
      <sheetName val="¹«Àü±â"/>
      <sheetName val="°æÀ§¼­"/>
      <sheetName val="ÀÛ¾÷ÀÏÁö"/>
      <sheetName val="ÀÏÁö"/>
      <sheetName val="¿ù°£°øÁ¤"/>
      <sheetName val="°èÃø°ü¸®(°¡·Î)"/>
      <sheetName val="´çÁ÷Ç¥"/>
      <sheetName val="¾ÈÀü°ü¸®°úÀÏÁö"/>
      <sheetName val="°ø»çÇöÈ²º¸°í"/>
      <sheetName val="ÀÎ°Çºñ"/>
      <sheetName val="¹è°üÀÚÀç ´Ü°¡Á¶»ç¼­"/>
      <sheetName val="¼ö·®»êÃâ¼­"/>
      <sheetName val="»êÃâ³»¿ª"/>
      <sheetName val="Åä¸ñ"/>
      <sheetName val="Ç°Áú°ü¸®ºñ"/>
      <sheetName val="°ÇÃà"/>
      <sheetName val="±â°è "/>
      <sheetName val="¼³Ä¡°ø»ç"/>
      <sheetName val="»ç±ÞÀÚÀç´ë"/>
      <sheetName val="´Ü°¡ºñ±³"/>
      <sheetName val="4. ¹è°ü°ø»ç"/>
      <sheetName val="3.½Ã¿îÀüºñ"/>
      <sheetName val="¿ø°¡°è»ê"/>
      <sheetName val="ÃÑ°ý³»¿ª"/>
      <sheetName val="½Ã¿îÀüºñ(°è¾àÁ÷)"/>
      <sheetName val="Ä§Ãâ¹è°ü"/>
      <sheetName val="°á°úÁ¶´Þ"/>
      <sheetName val="½ÇÇàÃ¶°­ÇÏµµ"/>
      <sheetName val="¼³°è"/>
      <sheetName val="°ßÀû¼­"/>
      <sheetName val="¿¬µ¹ÀÏÀ§Áý°è"/>
      <sheetName val="예정(3)"/>
      <sheetName val="동원(3)"/>
      <sheetName val="단가"/>
      <sheetName val="소방"/>
      <sheetName val="약품공급2"/>
      <sheetName val="전기내역서(총계)"/>
      <sheetName val="밸브설치"/>
      <sheetName val="IMP(MAIN)"/>
      <sheetName val="IMP (REACTOR)"/>
      <sheetName val="코드표"/>
      <sheetName val="각종손료"/>
      <sheetName val="일위목록"/>
      <sheetName val="H腏ISTRAIL집계"/>
      <sheetName val="2공구도급_x0007_嘀塘塘塘_x0003_됁᳅ׁĀ기자재단가_x0004_、¼²֬Ā일위대"/>
      <sheetName val="해전배수"/>
      <sheetName val="연습"/>
      <sheetName val="PRICE"/>
      <sheetName val="지수결과표-3"/>
      <sheetName val="CIVIL4"/>
      <sheetName val="내역"/>
      <sheetName val="목표세부명세"/>
      <sheetName val="EQT-ESTN"/>
      <sheetName val="물가자료"/>
      <sheetName val="손익분석"/>
      <sheetName val="기자재비"/>
      <sheetName val="106C0300"/>
      <sheetName val="공량산출서"/>
      <sheetName val="Baby일위대가"/>
      <sheetName val="1단계"/>
      <sheetName val="대림경상68억"/>
      <sheetName val="설계개요"/>
      <sheetName val="철집"/>
      <sheetName val="공사개요(사업승인)"/>
      <sheetName val="식재"/>
      <sheetName val="시설물"/>
      <sheetName val="식재출력용"/>
      <sheetName val="유지관리"/>
      <sheetName val="2000시행총괄"/>
      <sheetName val="청하배수"/>
      <sheetName val="총괄표"/>
      <sheetName val="조내역"/>
      <sheetName val="Sheet1"/>
      <sheetName val="수지계산"/>
      <sheetName val="가스비열"/>
      <sheetName val="CB"/>
      <sheetName val="설계명세서"/>
      <sheetName val="기초자료입력"/>
      <sheetName val="PRICES"/>
      <sheetName val="COVER"/>
      <sheetName val="아울렛박스"/>
      <sheetName val="주소"/>
      <sheetName val="물가대비표"/>
      <sheetName val="cal"/>
      <sheetName val="기성2"/>
      <sheetName val="표지 (2)"/>
      <sheetName val="sheets"/>
      <sheetName val="예가표"/>
      <sheetName val="총괄내역서"/>
      <sheetName val="하수급견적대비"/>
      <sheetName val="조명투자및환수계획"/>
      <sheetName val="제조중간결과"/>
      <sheetName val="예산대비"/>
      <sheetName val="GI_LIST"/>
      <sheetName val="h-013211-2"/>
      <sheetName val="금융비용"/>
      <sheetName val="단가산출"/>
      <sheetName val="품셈"/>
      <sheetName val="TR"/>
      <sheetName val="직재"/>
      <sheetName val="설계예산서"/>
      <sheetName val="산출조서1"/>
      <sheetName val="I一般比"/>
      <sheetName val="조경"/>
      <sheetName val="울산시산표"/>
      <sheetName val="집계"/>
      <sheetName val="데이타"/>
      <sheetName val="식재인부"/>
      <sheetName val="LinerWt"/>
      <sheetName val="산출내역서집계표"/>
      <sheetName val="Detail"/>
      <sheetName val="금융"/>
      <sheetName val="프로젝트"/>
      <sheetName val="오억미만"/>
      <sheetName val="삼원"/>
      <sheetName val="그린"/>
      <sheetName val="한창-을"/>
      <sheetName val="수량산출"/>
      <sheetName val="건축기성"/>
      <sheetName val="SS"/>
      <sheetName val="차액보증"/>
      <sheetName val="J直材4"/>
      <sheetName val="설직재-1"/>
      <sheetName val="N賃率-職"/>
      <sheetName val="일위"/>
      <sheetName val="기본일위"/>
      <sheetName val="내역서2안"/>
      <sheetName val="직노"/>
      <sheetName val="실행내역"/>
      <sheetName val="제직재"/>
      <sheetName val="공사비예산서(토목분)"/>
      <sheetName val="약품설비"/>
      <sheetName val="견적"/>
      <sheetName val="급여조견표"/>
      <sheetName val="배관배선 단가조사"/>
      <sheetName val="일위대가집계"/>
      <sheetName val="배관단가조사서"/>
      <sheetName val="일위_파일"/>
      <sheetName val="BID"/>
      <sheetName val="일반부표"/>
      <sheetName val="4.2유효폭의 계산"/>
      <sheetName val="도면자료제출일정"/>
      <sheetName val="시멘트,모래,자갈 및 골재산출표(총괄)"/>
      <sheetName val="일위대가(여기까지)"/>
      <sheetName val="노임"/>
      <sheetName val="조건표"/>
      <sheetName val="9811"/>
      <sheetName val="DATA"/>
      <sheetName val="Sheet2"/>
      <sheetName val="공사비집계"/>
      <sheetName val="내역서 (2)"/>
      <sheetName val="SG"/>
      <sheetName val="설계내역"/>
      <sheetName val="5.월별목표금액(월시공금액만표시)"/>
      <sheetName val="충돌 내용"/>
      <sheetName val="본선 토공 분배표"/>
      <sheetName val="기기리스트"/>
      <sheetName val="ENE-CAL 1"/>
      <sheetName val="항목별자금청구3"/>
      <sheetName val="장비비청구9"/>
      <sheetName val="_____"/>
      <sheetName val="기준FACTOR"/>
      <sheetName val="2월분"/>
      <sheetName val="공문"/>
      <sheetName val="1995년 섹터별 매출"/>
      <sheetName val="WALKWAY_집계"/>
      <sheetName val="배관자재_단가조사서"/>
      <sheetName val="4__배관공사"/>
      <sheetName val="3_시운전비"/>
      <sheetName val="기계_"/>
      <sheetName val="원본(갑지)"/>
      <sheetName val="업무분장"/>
      <sheetName val="일위(PN)"/>
      <sheetName val="카렌스센터계량기설치공사"/>
      <sheetName val="정공공사"/>
      <sheetName val="2.대외공문"/>
      <sheetName val="Code"/>
      <sheetName val="대공종"/>
      <sheetName val="계정"/>
      <sheetName val="남양시작동자105노65기1.3화1.2"/>
      <sheetName val="남양시작동010313100%"/>
      <sheetName val="조명율"/>
      <sheetName val="경상직원"/>
      <sheetName val="조건"/>
      <sheetName val="입력"/>
      <sheetName val="항목등록"/>
      <sheetName val="TOT"/>
      <sheetName val="견적990322"/>
      <sheetName val="협조전"/>
      <sheetName val="부대대비"/>
      <sheetName val="TEL"/>
      <sheetName val="냉연집계"/>
      <sheetName val="관람석제출"/>
      <sheetName val="96수출"/>
      <sheetName val="소상 &quot;1&quot;"/>
      <sheetName val="98지급계획"/>
      <sheetName val="시험장S자로가로등공사"/>
      <sheetName val="내역(정지)"/>
      <sheetName val="남양구조시험동"/>
      <sheetName val="일위대가(1)"/>
      <sheetName val="6차2회변경내역서"/>
      <sheetName val="COPING"/>
      <sheetName val="단면 (2)"/>
      <sheetName val="교각1"/>
      <sheetName val="참조 (2)"/>
      <sheetName val="참조"/>
      <sheetName val="01"/>
      <sheetName val="6호기"/>
      <sheetName val="제경비산출서"/>
      <sheetName val="초기화면"/>
      <sheetName val="Macro2"/>
      <sheetName val="분석내역(총괄)"/>
      <sheetName val="물집"/>
      <sheetName val="1차증가원가계산"/>
      <sheetName val="입찰안"/>
      <sheetName val="수로단위수량"/>
      <sheetName val="갑지(추정)"/>
      <sheetName val="직재집계"/>
      <sheetName val="직노집계"/>
      <sheetName val="PIPE"/>
      <sheetName val="당초"/>
      <sheetName val="부하계산서"/>
      <sheetName val="WALKWAY_Áý°è"/>
      <sheetName val="¹è°üÀÚÀç_´Ü°¡Á¶»ç¼­"/>
      <sheetName val="±â°è_"/>
      <sheetName val="4__¹è°ü°ø»ç"/>
      <sheetName val="3_½Ã¿îÀüºñ"/>
      <sheetName val="3_공통공사대비"/>
      <sheetName val="IMP_(REACTOR)"/>
      <sheetName val="2공구도급嘀塘塘塘됁᳅ׁĀ기자재단가、¼²֬Ā일위대"/>
      <sheetName val="9-1차이내역_"/>
      <sheetName val="SEC_1-D850"/>
      <sheetName val="도급원가"/>
      <sheetName val="PAD TR보호대기초"/>
      <sheetName val="가로등기초"/>
      <sheetName val="HANDHOLE(2)"/>
      <sheetName val="DATE"/>
      <sheetName val="유림골조"/>
      <sheetName val="유림총괄"/>
      <sheetName val="IT-BAT"/>
      <sheetName val="프랜트면허"/>
      <sheetName val="토목주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y"/>
      <sheetName val="Da"/>
      <sheetName val="Fn"/>
      <sheetName val="WF"/>
      <sheetName val="0W"/>
      <sheetName val="0D"/>
      <sheetName val="1W"/>
      <sheetName val="1D"/>
      <sheetName val="YW"/>
      <sheetName val="YD"/>
      <sheetName val="BS"/>
      <sheetName val="CF"/>
      <sheetName val="Rto"/>
      <sheetName val="EVA1"/>
      <sheetName val="EVA2"/>
      <sheetName val="B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우대금리"/>
      <sheetName val="check"/>
      <sheetName val="확인서"/>
      <sheetName val="별제권_정리담보권"/>
      <sheetName val="화의채권_정리채권"/>
      <sheetName val="전체 통합"/>
      <sheetName val="계약서상Schedul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_5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수요예측"/>
      <sheetName val="실적원단위('08.01~'14.10)"/>
      <sheetName val="사용량 실적('08.01~'14.10) (적용)"/>
      <sheetName val="추세검토('08.01~'13.12)"/>
      <sheetName val="추세검토('08.01~'14.10)"/>
      <sheetName val="열공급예정일"/>
      <sheetName val="상업예정구역 수요예측"/>
      <sheetName val="상업 예정구역"/>
      <sheetName val="사용량 실적('08.01~'14.09) (실적)"/>
      <sheetName val="추세검토('08.01~'14.10)_data"/>
      <sheetName val="중장기 및 2015년 월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Sheets"/>
      <sheetName val="#REF"/>
      <sheetName val="LDPE"/>
      <sheetName val="원료구매"/>
      <sheetName val="Sheet1"/>
      <sheetName val="의왕F사"/>
      <sheetName val="가공사"/>
      <sheetName val="95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10"/>
      <sheetName val="C-11"/>
      <sheetName val="C-12"/>
      <sheetName val="C-13"/>
      <sheetName val="C-14"/>
      <sheetName val="C-15"/>
      <sheetName val="C-16"/>
      <sheetName val="C-17"/>
      <sheetName val="C-18"/>
      <sheetName val="C-19"/>
      <sheetName val="C-20"/>
      <sheetName val="C-30"/>
      <sheetName val="C-40"/>
      <sheetName val="C-50"/>
      <sheetName val="C-60"/>
      <sheetName val="C-70~90"/>
      <sheetName val="COA-11"/>
      <sheetName val="COA-12"/>
      <sheetName val="COA-13"/>
      <sheetName val="COA-14"/>
      <sheetName val="COA-16"/>
      <sheetName val="COA-17"/>
      <sheetName val="COA-18"/>
      <sheetName val="COA-19"/>
      <sheetName val="COA -20's "/>
      <sheetName val="COA -30's  "/>
      <sheetName val="COA -40's"/>
      <sheetName val="COA-50"/>
      <sheetName val="Small Tools"/>
      <sheetName val="Consummables"/>
      <sheetName val="COA-60"/>
      <sheetName val="COA 70~90"/>
      <sheetName val="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우대금리"/>
      <sheetName val="check"/>
      <sheetName val="확인서"/>
      <sheetName val="별제권_정리담보권"/>
      <sheetName val="화의채권_정리채권"/>
      <sheetName val="전체 통합"/>
      <sheetName val="계약서상Schedul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법인세Provision"/>
      <sheetName val="이연법인세"/>
      <sheetName val="21"/>
      <sheetName val="23(갑)"/>
      <sheetName val="23(을)"/>
      <sheetName val="32"/>
      <sheetName val="33"/>
      <sheetName val="퇴직급여충당금"/>
      <sheetName val="대손충당금"/>
      <sheetName val="program"/>
      <sheetName val="총괄표"/>
      <sheetName val="inform"/>
      <sheetName val="BS"/>
      <sheetName val="PL"/>
      <sheetName val="RE"/>
      <sheetName val="COGM"/>
      <sheetName val="T1"/>
      <sheetName val="T1-2"/>
      <sheetName val="T2"/>
      <sheetName val="T2A"/>
      <sheetName val="T3-1(7)"/>
      <sheetName val="T3-3A"/>
      <sheetName val="T3-3B"/>
      <sheetName val="T5"/>
      <sheetName val="T5-2A"/>
      <sheetName val="T5-2B"/>
      <sheetName val="T6"/>
      <sheetName val="T6A"/>
      <sheetName val="T6B"/>
      <sheetName val="T6-1"/>
      <sheetName val="T6-2(1)"/>
      <sheetName val="T6-2(7)"/>
      <sheetName val="T6-2(11)A"/>
      <sheetName val="T6-3(2)"/>
      <sheetName val="T6-3(3)"/>
      <sheetName val="T6-3(4)"/>
      <sheetName val="T6-5A"/>
      <sheetName val="T6-5B"/>
      <sheetName val="T6-6(2)"/>
      <sheetName val="T6-6(3)"/>
      <sheetName val="T6-6(4)"/>
      <sheetName val="T6-6(5)"/>
      <sheetName val="T6-6(6)"/>
      <sheetName val="T6-6(7)"/>
      <sheetName val="T6-6A"/>
      <sheetName val="T6-6B"/>
      <sheetName val="T6-7A"/>
      <sheetName val="T6-7B"/>
      <sheetName val="T6-10"/>
      <sheetName val="T6-11"/>
      <sheetName val="T6-12"/>
      <sheetName val="T6-13"/>
      <sheetName val="T6-14A"/>
      <sheetName val="T6-14B"/>
      <sheetName val="T6-14C"/>
      <sheetName val="T8"/>
      <sheetName val="T9A"/>
      <sheetName val="T9B"/>
      <sheetName val="T10(2)"/>
      <sheetName val="T10(3)"/>
      <sheetName val="T10(3)A"/>
      <sheetName val="T10(4)"/>
      <sheetName val="T11"/>
      <sheetName val="T12"/>
      <sheetName val="T14-1A"/>
      <sheetName val="T14-1B"/>
      <sheetName val="T15A"/>
      <sheetName val="T15B"/>
      <sheetName val="T16"/>
      <sheetName val="T17A"/>
      <sheetName val="제조소득"/>
      <sheetName val="공장면제신청"/>
      <sheetName val="공장감면"/>
      <sheetName val="T27"/>
      <sheetName val="T36"/>
      <sheetName val="T43"/>
      <sheetName val="T56"/>
      <sheetName val="T59"/>
      <sheetName val="T60A"/>
      <sheetName val="T60B"/>
      <sheetName val="CTR"/>
      <sheetName val="#REF"/>
      <sheetName val="확인서"/>
    </sheetNames>
    <definedNames>
      <definedName name="conb121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B COST"/>
      <sheetName val="Summary Sheets"/>
      <sheetName val="원료구매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표지"/>
      <sheetName val="목차"/>
      <sheetName val="월간"/>
      <sheetName val="1-1"/>
      <sheetName val="목차2"/>
      <sheetName val="2-1"/>
      <sheetName val="2-2"/>
      <sheetName val="2-3"/>
      <sheetName val="3"/>
      <sheetName val="4"/>
      <sheetName val="5"/>
      <sheetName val="6"/>
      <sheetName val="공사진도"/>
      <sheetName val="업무추진"/>
      <sheetName val="시공"/>
      <sheetName val="전주금주차주"/>
      <sheetName val="인원장비"/>
      <sheetName val="현안대책"/>
      <sheetName val="7"/>
      <sheetName val="VV1"/>
      <sheetName val="Sheet1"/>
      <sheetName val="토목검측서"/>
      <sheetName val="정부노임단가"/>
      <sheetName val="플랜트 설치"/>
      <sheetName val="JUCK"/>
      <sheetName val="일반공사"/>
      <sheetName val="ELECTRIC"/>
      <sheetName val="SCHEDULE"/>
      <sheetName val="CB"/>
      <sheetName val="재료비단가(VALVE)"/>
      <sheetName val="BID"/>
      <sheetName val="설계예산서"/>
      <sheetName val="절단표"/>
      <sheetName val="별표집계"/>
      <sheetName val="공통(20-91)"/>
      <sheetName val="금액내역서"/>
      <sheetName val="가상data"/>
      <sheetName val="산거각호표"/>
      <sheetName val="공통비"/>
      <sheetName val="토공정보"/>
      <sheetName val="두앙"/>
      <sheetName val="견적총괄표"/>
      <sheetName val="2"/>
      <sheetName val="하중계산"/>
      <sheetName val="설계조건"/>
      <sheetName val="조도계산서 (도서)"/>
      <sheetName val="하수처리장"/>
      <sheetName val="GTG TR PIT"/>
      <sheetName val="#REF"/>
      <sheetName val="ⴭⴭⴭⴭ"/>
      <sheetName val="토공A"/>
      <sheetName val="3련 BOX"/>
      <sheetName val="SS"/>
      <sheetName val="도급양식"/>
      <sheetName val="노임단가"/>
      <sheetName val="수목단가"/>
      <sheetName val="시설수량표"/>
      <sheetName val="식재수량표"/>
      <sheetName val="일위목록"/>
      <sheetName val="자재단가"/>
      <sheetName val="MOTOR"/>
      <sheetName val="실행내역서"/>
      <sheetName val="General Data"/>
      <sheetName val="일보"/>
      <sheetName val="PIPE"/>
      <sheetName val="FLANGE"/>
      <sheetName val="VALVE"/>
      <sheetName val="날개벽수량표"/>
      <sheetName val="실행(1)"/>
      <sheetName val="일위대가(가설)"/>
      <sheetName val="확인서"/>
      <sheetName val="COVER"/>
      <sheetName val="3BL공동구 수량"/>
      <sheetName val="전차선로 물량표"/>
      <sheetName val="부표총괄"/>
      <sheetName val="말뚝지지력산정"/>
      <sheetName val="Macro1"/>
      <sheetName val="차액보증"/>
      <sheetName val="보온자재단가표"/>
      <sheetName val="우편번호"/>
      <sheetName val="BEQ내역"/>
      <sheetName val="LOPCALC"/>
      <sheetName val="철거현황"/>
      <sheetName val="MW-BM"/>
      <sheetName val="대비"/>
      <sheetName val="외 주 비"/>
      <sheetName val="98"/>
      <sheetName val="준검 내역서"/>
      <sheetName val="지급자재"/>
    </sheetNames>
    <definedNames>
      <definedName name="MAIN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우대금리"/>
      <sheetName val="check"/>
      <sheetName val="확인서"/>
      <sheetName val="별제권_정리담보권1"/>
      <sheetName val="별제권_정리담보권2"/>
      <sheetName val="별제권_정리담보권"/>
      <sheetName val="화의채권_정리채권"/>
      <sheetName val="전체 통합"/>
      <sheetName val="계약서상Schedule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차정산"/>
      <sheetName val="토공정보"/>
      <sheetName val="P-산#1-1(WOWA1)"/>
      <sheetName val="DATA"/>
      <sheetName val="내역서"/>
      <sheetName val="1.설계조건"/>
      <sheetName val="UNIT"/>
      <sheetName val="PIPE"/>
      <sheetName val="단중표-ST"/>
      <sheetName val="DATE"/>
      <sheetName val="Factor"/>
      <sheetName val="Piping Design Data"/>
      <sheetName val="#REF"/>
      <sheetName val="현장관리비 산출내역"/>
      <sheetName val="1.외주공사"/>
      <sheetName val="수량산출"/>
      <sheetName val="Sheet1"/>
      <sheetName val="도면자료제출일정"/>
      <sheetName val="X17-TOTAL"/>
      <sheetName val="Vari by Vendor"/>
      <sheetName val="기기리스트"/>
      <sheetName val="수량집계"/>
      <sheetName val="총괄집계표"/>
      <sheetName val="노무비단가"/>
      <sheetName val="HVAC"/>
      <sheetName val="static.cal"/>
      <sheetName val="TOTAL"/>
      <sheetName val="철거현황"/>
      <sheetName val="집수정(600-700)"/>
      <sheetName val="보활"/>
      <sheetName val="DESIGN CRETERIA"/>
      <sheetName val="설계조건"/>
      <sheetName val="combi(wall)"/>
      <sheetName val="별제권_정리담보권1"/>
      <sheetName val="총괄표"/>
      <sheetName val="포장공"/>
      <sheetName val="지장물C"/>
      <sheetName val="수입"/>
      <sheetName val="1.31"/>
      <sheetName val="두앙"/>
      <sheetName val="D-623D"/>
      <sheetName val="말뚝지지력산정"/>
      <sheetName val="토목검측서"/>
      <sheetName val="LinerWt"/>
      <sheetName val="MOTOR"/>
      <sheetName val="내역(한신APT)"/>
      <sheetName val="S0"/>
      <sheetName val="원데이타"/>
      <sheetName val="구조물철거타공정이월"/>
      <sheetName val="2"/>
      <sheetName val="토적표"/>
      <sheetName val="견적조건"/>
      <sheetName val="갑지(추정)"/>
      <sheetName val="J直材4"/>
      <sheetName val="도급VS재"/>
      <sheetName val="노임"/>
      <sheetName val="명세서"/>
      <sheetName val="G.R300경비"/>
      <sheetName val="절단표"/>
      <sheetName val="노임단가"/>
      <sheetName val="수목단가"/>
      <sheetName val="시설수량표"/>
      <sheetName val="식재수량표"/>
      <sheetName val="일위목록"/>
      <sheetName val="자재단가"/>
      <sheetName val="포장"/>
      <sheetName val="충주"/>
      <sheetName val="품의서(TL)"/>
      <sheetName val="품셈표(전기) (2)"/>
      <sheetName val="품셈표(전기)"/>
      <sheetName val="BREAKDOWN"/>
      <sheetName val="추가작업"/>
      <sheetName val="대치판정"/>
      <sheetName val="Vari by Trade"/>
      <sheetName val="ABUT수량-A1"/>
      <sheetName val="보온자재단가표"/>
      <sheetName val="노무"/>
      <sheetName val="산출서"/>
      <sheetName val="steel data sheet"/>
      <sheetName val="수압집계"/>
      <sheetName val="건축전기약전.소방"/>
      <sheetName val="실행철강하도"/>
      <sheetName val="외 주 비"/>
      <sheetName val="VST재료산출"/>
      <sheetName val="계수시트"/>
      <sheetName val="원가계산서"/>
      <sheetName val="교대시점"/>
      <sheetName val="설계명세서"/>
      <sheetName val="준검 내역서"/>
      <sheetName val="가도공"/>
      <sheetName val="기준"/>
      <sheetName val=""/>
      <sheetName val="수량산출서"/>
    </sheetNames>
    <definedNames>
      <definedName name="MA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열생산"/>
      <sheetName val="열공급"/>
      <sheetName val="전력용수연료"/>
      <sheetName val="비용분석"/>
      <sheetName val="도급"/>
      <sheetName val="95-4"/>
      <sheetName val="별제권_정리담보권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중앙"/>
      <sheetName val="강남+일원"/>
      <sheetName val="분당+용인"/>
      <sheetName val="고양"/>
      <sheetName val="안양"/>
      <sheetName val="부천"/>
      <sheetName val="대구"/>
      <sheetName val="수원"/>
      <sheetName val="청주"/>
      <sheetName val="양산"/>
      <sheetName val="김해"/>
      <sheetName val="전사"/>
      <sheetName val="분당"/>
      <sheetName val="용인"/>
      <sheetName val="강남"/>
      <sheetName val="일원"/>
      <sheetName val="6개지사"/>
      <sheetName val="연계지사"/>
      <sheetName val="CHP지사"/>
      <sheetName val="대구생산비"/>
      <sheetName val="수원생산비"/>
      <sheetName val="실적종합"/>
      <sheetName val="대구계획"/>
      <sheetName val="수원계획"/>
      <sheetName val="종합계획"/>
      <sheetName val="대구보정"/>
      <sheetName val="수원보정"/>
      <sheetName val="종합보정"/>
      <sheetName val="배분식"/>
      <sheetName val="연료00"/>
      <sheetName val="기조실송"/>
      <sheetName val="전력용수연료"/>
      <sheetName val="기본데이타"/>
      <sheetName val="HOB"/>
      <sheetName val="CHP"/>
      <sheetName val="효율"/>
      <sheetName val="5월"/>
      <sheetName val="95-8"/>
      <sheetName val="일일운전현황새양식"/>
      <sheetName val="열생산"/>
      <sheetName val="열공급"/>
      <sheetName val="비용분석"/>
      <sheetName val="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기성"/>
      <sheetName val="단가조사"/>
    </sheetNames>
    <sheetDataSet>
      <sheetData sheetId="0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tion"/>
      <sheetName val="집계표"/>
      <sheetName val="간접경비"/>
      <sheetName val="취득세"/>
      <sheetName val=" 자산분류"/>
      <sheetName val="외 주 비"/>
      <sheetName val="재 료 비"/>
      <sheetName val="간접경비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cYohEZfYk-vj0_bHGlYluj3q4mNEctKltvqeGTqUwQAI40ttCHwRJTSoQwLe1Fe" itemId="01GUBSUCZGKN2QD2UBEVGYU62ZV7G3YQWL">
      <xxl21:absoluteUrl r:id="rId2"/>
      <xxl21:relativeUrl r:id="rId3"/>
    </xxl21:alternateUrls>
    <sheetNames>
      <sheetName val="sum"/>
      <sheetName val="OP-DT"/>
      <sheetName val="6월CM누적(X)"/>
      <sheetName val="기여도"/>
      <sheetName val="CM"/>
      <sheetName val="Y"/>
      <sheetName val="D(구)"/>
      <sheetName val="충수량"/>
      <sheetName val="D"/>
      <sheetName val="생산"/>
      <sheetName val="생산(M)"/>
      <sheetName val="판매"/>
      <sheetName val="판매(M)"/>
      <sheetName val="SMP"/>
      <sheetName val="수전량"/>
      <sheetName val="송전량"/>
      <sheetName val="운전시간외"/>
      <sheetName val="용수"/>
      <sheetName val="단가(M)"/>
      <sheetName val="단가(D)"/>
      <sheetName val="단가변수"/>
      <sheetName val="실적"/>
      <sheetName val="전기요금표"/>
      <sheetName val="단가(환경M)"/>
      <sheetName val="CHP열요금표"/>
      <sheetName val="공휴일"/>
      <sheetName val="마감추정"/>
      <sheetName val="경영위원회"/>
      <sheetName val="종합계획"/>
      <sheetName val="일일실적"/>
      <sheetName val="종합계획분포"/>
      <sheetName val="DB"/>
      <sheetName val="key-in(DCO)"/>
      <sheetName val="key-in(LO)"/>
      <sheetName val="계획"/>
      <sheetName val="3월 안산수열량 비중"/>
      <sheetName val="M월별"/>
      <sheetName val="일일운영실적"/>
      <sheetName val="CHP생산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E3">
            <v>56.3</v>
          </cell>
          <cell r="F3"/>
          <cell r="G3"/>
          <cell r="H3"/>
          <cell r="I3">
            <v>0</v>
          </cell>
          <cell r="J3">
            <v>56.3</v>
          </cell>
          <cell r="AV3">
            <v>8660.2999999999993</v>
          </cell>
          <cell r="AW3"/>
          <cell r="AX3"/>
          <cell r="AY3"/>
          <cell r="AZ3"/>
          <cell r="BA3">
            <v>0</v>
          </cell>
        </row>
        <row r="4">
          <cell r="E4">
            <v>0</v>
          </cell>
          <cell r="F4"/>
          <cell r="G4"/>
          <cell r="H4"/>
          <cell r="I4">
            <v>0</v>
          </cell>
          <cell r="J4">
            <v>0</v>
          </cell>
          <cell r="AV4">
            <v>0</v>
          </cell>
          <cell r="AW4"/>
          <cell r="AX4"/>
          <cell r="AY4"/>
          <cell r="AZ4"/>
          <cell r="BA4">
            <v>0</v>
          </cell>
        </row>
        <row r="5">
          <cell r="E5">
            <v>0</v>
          </cell>
          <cell r="F5"/>
          <cell r="G5"/>
          <cell r="H5"/>
          <cell r="I5">
            <v>0</v>
          </cell>
          <cell r="J5">
            <v>0</v>
          </cell>
          <cell r="AV5">
            <v>0</v>
          </cell>
          <cell r="AW5"/>
          <cell r="AX5"/>
          <cell r="AY5"/>
          <cell r="AZ5"/>
          <cell r="BA5">
            <v>0</v>
          </cell>
        </row>
        <row r="6">
          <cell r="E6">
            <v>465</v>
          </cell>
          <cell r="F6"/>
          <cell r="G6"/>
          <cell r="H6"/>
          <cell r="I6">
            <v>0</v>
          </cell>
          <cell r="J6">
            <v>465</v>
          </cell>
          <cell r="AV6">
            <v>74419.7</v>
          </cell>
          <cell r="AW6"/>
          <cell r="AX6"/>
          <cell r="AY6"/>
          <cell r="AZ6"/>
          <cell r="BA6">
            <v>0</v>
          </cell>
        </row>
        <row r="7">
          <cell r="E7">
            <v>0</v>
          </cell>
          <cell r="F7"/>
          <cell r="G7"/>
          <cell r="H7">
            <v>805</v>
          </cell>
          <cell r="I7">
            <v>805</v>
          </cell>
          <cell r="J7">
            <v>805</v>
          </cell>
          <cell r="AV7">
            <v>0</v>
          </cell>
          <cell r="AW7"/>
          <cell r="AX7"/>
          <cell r="AY7">
            <v>90259.6</v>
          </cell>
          <cell r="AZ7"/>
          <cell r="BA7">
            <v>90259.6</v>
          </cell>
        </row>
        <row r="8">
          <cell r="E8">
            <v>0</v>
          </cell>
          <cell r="F8"/>
          <cell r="G8"/>
          <cell r="H8"/>
          <cell r="I8">
            <v>0</v>
          </cell>
          <cell r="J8">
            <v>0</v>
          </cell>
          <cell r="AV8">
            <v>0</v>
          </cell>
          <cell r="AW8"/>
          <cell r="AX8"/>
          <cell r="AY8"/>
          <cell r="AZ8"/>
          <cell r="BA8">
            <v>0</v>
          </cell>
        </row>
        <row r="9">
          <cell r="E9">
            <v>1020</v>
          </cell>
          <cell r="F9"/>
          <cell r="G9"/>
          <cell r="H9"/>
          <cell r="I9">
            <v>0</v>
          </cell>
          <cell r="J9">
            <v>1020</v>
          </cell>
          <cell r="AV9">
            <v>160135.40000000224</v>
          </cell>
          <cell r="AW9"/>
          <cell r="AX9"/>
          <cell r="AY9"/>
          <cell r="AZ9"/>
          <cell r="BA9">
            <v>0</v>
          </cell>
        </row>
        <row r="10">
          <cell r="E10">
            <v>651</v>
          </cell>
          <cell r="F10"/>
          <cell r="G10"/>
          <cell r="H10"/>
          <cell r="I10">
            <v>0</v>
          </cell>
          <cell r="J10">
            <v>651</v>
          </cell>
          <cell r="AV10">
            <v>99420.9</v>
          </cell>
          <cell r="AW10"/>
          <cell r="AX10"/>
          <cell r="AY10"/>
          <cell r="AZ10"/>
          <cell r="BA10">
            <v>0</v>
          </cell>
        </row>
        <row r="11">
          <cell r="E11">
            <v>1246.2</v>
          </cell>
          <cell r="F11"/>
          <cell r="G11"/>
          <cell r="H11">
            <v>281</v>
          </cell>
          <cell r="I11">
            <v>281</v>
          </cell>
          <cell r="J11">
            <v>1527.2</v>
          </cell>
          <cell r="AV11">
            <v>195590.1</v>
          </cell>
          <cell r="AW11"/>
          <cell r="AX11"/>
          <cell r="AY11">
            <v>31637.4</v>
          </cell>
          <cell r="AZ11"/>
          <cell r="BA11">
            <v>31637.4</v>
          </cell>
        </row>
        <row r="12">
          <cell r="E12">
            <v>1236.8</v>
          </cell>
          <cell r="F12"/>
          <cell r="G12"/>
          <cell r="H12"/>
          <cell r="I12">
            <v>0</v>
          </cell>
          <cell r="J12">
            <v>1236.8</v>
          </cell>
          <cell r="AV12">
            <v>194758.9</v>
          </cell>
          <cell r="AW12"/>
          <cell r="AX12"/>
          <cell r="AY12"/>
          <cell r="AZ12"/>
          <cell r="BA12">
            <v>0</v>
          </cell>
        </row>
        <row r="13">
          <cell r="E13">
            <v>613</v>
          </cell>
          <cell r="F13"/>
          <cell r="G13"/>
          <cell r="H13"/>
          <cell r="I13">
            <v>0</v>
          </cell>
          <cell r="J13">
            <v>613</v>
          </cell>
          <cell r="AV13">
            <v>95717</v>
          </cell>
          <cell r="AW13"/>
          <cell r="AX13"/>
          <cell r="AY13"/>
          <cell r="AZ13"/>
          <cell r="BA13">
            <v>0</v>
          </cell>
        </row>
        <row r="14">
          <cell r="E14">
            <v>0</v>
          </cell>
          <cell r="F14"/>
          <cell r="G14"/>
          <cell r="H14"/>
          <cell r="I14">
            <v>0</v>
          </cell>
          <cell r="J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</row>
        <row r="15">
          <cell r="E15">
            <v>833</v>
          </cell>
          <cell r="F15"/>
          <cell r="G15"/>
          <cell r="H15"/>
          <cell r="I15">
            <v>0</v>
          </cell>
          <cell r="J15">
            <v>833</v>
          </cell>
          <cell r="AV15">
            <v>129103.1</v>
          </cell>
          <cell r="AW15"/>
          <cell r="AX15"/>
          <cell r="AY15"/>
          <cell r="AZ15"/>
          <cell r="BA15">
            <v>0</v>
          </cell>
        </row>
        <row r="16">
          <cell r="E16">
            <v>1170</v>
          </cell>
          <cell r="F16"/>
          <cell r="G16"/>
          <cell r="H16"/>
          <cell r="I16">
            <v>0</v>
          </cell>
          <cell r="J16">
            <v>1170</v>
          </cell>
          <cell r="AV16">
            <v>182837.6</v>
          </cell>
          <cell r="AW16"/>
          <cell r="AX16"/>
          <cell r="AY16"/>
          <cell r="AZ16"/>
          <cell r="BA16">
            <v>0</v>
          </cell>
        </row>
        <row r="17">
          <cell r="E17">
            <v>0</v>
          </cell>
          <cell r="F17"/>
          <cell r="G17"/>
          <cell r="H17"/>
          <cell r="I17">
            <v>0</v>
          </cell>
          <cell r="J17">
            <v>0</v>
          </cell>
          <cell r="AV17">
            <v>0</v>
          </cell>
          <cell r="AW17"/>
          <cell r="AX17"/>
          <cell r="AY17"/>
          <cell r="AZ17"/>
          <cell r="BA17">
            <v>0</v>
          </cell>
        </row>
        <row r="18">
          <cell r="E18">
            <v>681.2</v>
          </cell>
          <cell r="F18"/>
          <cell r="G18"/>
          <cell r="H18"/>
          <cell r="I18">
            <v>0</v>
          </cell>
          <cell r="J18">
            <v>681.2</v>
          </cell>
          <cell r="AV18">
            <v>107031.9</v>
          </cell>
          <cell r="AW18"/>
          <cell r="AX18"/>
          <cell r="AY18"/>
          <cell r="AZ18"/>
          <cell r="BA18">
            <v>0</v>
          </cell>
        </row>
        <row r="19">
          <cell r="E19">
            <v>794.8</v>
          </cell>
          <cell r="F19"/>
          <cell r="G19"/>
          <cell r="H19"/>
          <cell r="I19">
            <v>0</v>
          </cell>
          <cell r="J19">
            <v>794.8</v>
          </cell>
          <cell r="AV19">
            <v>121892</v>
          </cell>
          <cell r="AW19"/>
          <cell r="AX19"/>
          <cell r="AY19"/>
          <cell r="AZ19"/>
          <cell r="BA19">
            <v>0</v>
          </cell>
        </row>
        <row r="20">
          <cell r="E20">
            <v>0</v>
          </cell>
          <cell r="F20"/>
          <cell r="G20"/>
          <cell r="H20"/>
          <cell r="I20">
            <v>0</v>
          </cell>
          <cell r="J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</row>
        <row r="21">
          <cell r="E21">
            <v>0</v>
          </cell>
          <cell r="F21"/>
          <cell r="G21"/>
          <cell r="H21"/>
          <cell r="I21">
            <v>0</v>
          </cell>
          <cell r="J21">
            <v>0</v>
          </cell>
          <cell r="AV21">
            <v>0</v>
          </cell>
          <cell r="AW21"/>
          <cell r="AX21"/>
          <cell r="AY21"/>
          <cell r="AZ21"/>
          <cell r="BA21">
            <v>0</v>
          </cell>
        </row>
        <row r="22">
          <cell r="E22">
            <v>0</v>
          </cell>
          <cell r="F22"/>
          <cell r="G22"/>
          <cell r="H22"/>
          <cell r="I22">
            <v>0</v>
          </cell>
          <cell r="J22">
            <v>0</v>
          </cell>
          <cell r="AV22">
            <v>0</v>
          </cell>
          <cell r="AW22"/>
          <cell r="AX22"/>
          <cell r="AY22"/>
          <cell r="BA22">
            <v>0</v>
          </cell>
        </row>
        <row r="23">
          <cell r="E23">
            <v>0</v>
          </cell>
          <cell r="F23"/>
          <cell r="G23"/>
          <cell r="H23"/>
          <cell r="I23">
            <v>0</v>
          </cell>
          <cell r="J23">
            <v>0</v>
          </cell>
          <cell r="AV23">
            <v>0</v>
          </cell>
          <cell r="AW23"/>
          <cell r="AX23"/>
          <cell r="AY23"/>
          <cell r="BA23">
            <v>0</v>
          </cell>
        </row>
        <row r="24">
          <cell r="E24">
            <v>0</v>
          </cell>
          <cell r="F24"/>
          <cell r="G24"/>
          <cell r="H24"/>
          <cell r="I24">
            <v>0</v>
          </cell>
          <cell r="J24">
            <v>0</v>
          </cell>
          <cell r="AV24">
            <v>0</v>
          </cell>
          <cell r="AW24"/>
          <cell r="AX24"/>
          <cell r="AY24"/>
          <cell r="BA24">
            <v>0</v>
          </cell>
        </row>
        <row r="25">
          <cell r="E25">
            <v>0</v>
          </cell>
          <cell r="F25"/>
          <cell r="G25"/>
          <cell r="H25"/>
          <cell r="I25">
            <v>0</v>
          </cell>
          <cell r="J25">
            <v>0</v>
          </cell>
          <cell r="AV25">
            <v>0</v>
          </cell>
          <cell r="AW25"/>
          <cell r="AX25"/>
          <cell r="AY25"/>
          <cell r="BA25">
            <v>0</v>
          </cell>
        </row>
        <row r="26">
          <cell r="E26">
            <v>0</v>
          </cell>
          <cell r="F26"/>
          <cell r="G26"/>
          <cell r="H26"/>
          <cell r="I26">
            <v>0</v>
          </cell>
          <cell r="J26">
            <v>0</v>
          </cell>
          <cell r="AV26">
            <v>0</v>
          </cell>
          <cell r="AW26"/>
          <cell r="AX26"/>
          <cell r="AY26"/>
          <cell r="BA26">
            <v>0</v>
          </cell>
        </row>
        <row r="27">
          <cell r="E27">
            <v>0</v>
          </cell>
          <cell r="F27"/>
          <cell r="G27"/>
          <cell r="H27"/>
          <cell r="I27">
            <v>0</v>
          </cell>
          <cell r="J27">
            <v>0</v>
          </cell>
          <cell r="AV27">
            <v>0</v>
          </cell>
          <cell r="AW27"/>
          <cell r="AX27"/>
          <cell r="AY27"/>
          <cell r="BA27">
            <v>0</v>
          </cell>
        </row>
        <row r="28">
          <cell r="E28">
            <v>0</v>
          </cell>
          <cell r="F28"/>
          <cell r="G28"/>
          <cell r="H28"/>
          <cell r="I28">
            <v>0</v>
          </cell>
          <cell r="J28">
            <v>0</v>
          </cell>
          <cell r="AV28">
            <v>0</v>
          </cell>
          <cell r="AW28"/>
          <cell r="AX28"/>
          <cell r="AY28"/>
          <cell r="BA28">
            <v>0</v>
          </cell>
        </row>
        <row r="29">
          <cell r="E29">
            <v>0</v>
          </cell>
          <cell r="F29"/>
          <cell r="G29"/>
          <cell r="H29"/>
          <cell r="I29">
            <v>0</v>
          </cell>
          <cell r="J29">
            <v>0</v>
          </cell>
          <cell r="AV29">
            <v>601.9</v>
          </cell>
          <cell r="AW29"/>
          <cell r="AX29"/>
          <cell r="AY29"/>
          <cell r="BA29">
            <v>0</v>
          </cell>
        </row>
        <row r="30">
          <cell r="E30">
            <v>1009</v>
          </cell>
          <cell r="F30"/>
          <cell r="G30"/>
          <cell r="H30"/>
          <cell r="I30">
            <v>0</v>
          </cell>
          <cell r="J30">
            <v>1009</v>
          </cell>
          <cell r="AV30">
            <v>160186.6</v>
          </cell>
          <cell r="AW30"/>
          <cell r="AX30"/>
          <cell r="AY30"/>
          <cell r="BA30">
            <v>0</v>
          </cell>
        </row>
        <row r="31">
          <cell r="E31">
            <v>909</v>
          </cell>
          <cell r="F31"/>
          <cell r="G31"/>
          <cell r="H31">
            <v>159</v>
          </cell>
          <cell r="I31">
            <v>159</v>
          </cell>
          <cell r="J31">
            <v>1068</v>
          </cell>
          <cell r="AV31">
            <v>141605.9</v>
          </cell>
          <cell r="AW31"/>
          <cell r="AX31"/>
          <cell r="AY31">
            <v>18380</v>
          </cell>
          <cell r="BA31">
            <v>18380</v>
          </cell>
        </row>
        <row r="32">
          <cell r="E32">
            <v>131</v>
          </cell>
          <cell r="F32"/>
          <cell r="G32"/>
          <cell r="H32"/>
          <cell r="I32">
            <v>0</v>
          </cell>
          <cell r="J32">
            <v>131</v>
          </cell>
          <cell r="AV32">
            <v>20610</v>
          </cell>
          <cell r="AW32"/>
          <cell r="AX32"/>
          <cell r="AY32"/>
          <cell r="BA32">
            <v>0</v>
          </cell>
        </row>
        <row r="33">
          <cell r="E33">
            <v>2</v>
          </cell>
          <cell r="F33"/>
          <cell r="G33"/>
          <cell r="H33"/>
          <cell r="I33">
            <v>0</v>
          </cell>
          <cell r="J33">
            <v>2</v>
          </cell>
          <cell r="AV33">
            <v>94.699999999999989</v>
          </cell>
          <cell r="AW33"/>
          <cell r="AX33"/>
          <cell r="AY33"/>
          <cell r="BA33">
            <v>0</v>
          </cell>
        </row>
        <row r="34">
          <cell r="E34">
            <v>842</v>
          </cell>
          <cell r="F34"/>
          <cell r="G34"/>
          <cell r="H34"/>
          <cell r="I34">
            <v>0</v>
          </cell>
          <cell r="J34">
            <v>842</v>
          </cell>
          <cell r="AV34">
            <v>131640</v>
          </cell>
          <cell r="AW34"/>
          <cell r="AX34"/>
          <cell r="AY34"/>
          <cell r="BA34">
            <v>0</v>
          </cell>
        </row>
        <row r="35">
          <cell r="E35">
            <v>1244</v>
          </cell>
          <cell r="F35"/>
          <cell r="G35"/>
          <cell r="H35"/>
          <cell r="I35">
            <v>0</v>
          </cell>
          <cell r="J35">
            <v>1244</v>
          </cell>
          <cell r="AV35">
            <v>194825.4</v>
          </cell>
          <cell r="AW35"/>
          <cell r="AX35"/>
          <cell r="AY35"/>
          <cell r="BA35">
            <v>0</v>
          </cell>
        </row>
        <row r="36">
          <cell r="E36">
            <v>1252</v>
          </cell>
          <cell r="F36"/>
          <cell r="G36"/>
          <cell r="H36"/>
          <cell r="I36">
            <v>0</v>
          </cell>
          <cell r="J36">
            <v>1252</v>
          </cell>
          <cell r="AV36">
            <v>198278.39999999851</v>
          </cell>
          <cell r="AW36"/>
          <cell r="AX36"/>
          <cell r="AY36"/>
          <cell r="BA36">
            <v>0</v>
          </cell>
        </row>
        <row r="37">
          <cell r="E37">
            <v>1252</v>
          </cell>
          <cell r="F37"/>
          <cell r="G37"/>
          <cell r="H37"/>
          <cell r="I37">
            <v>0</v>
          </cell>
          <cell r="J37">
            <v>1252</v>
          </cell>
          <cell r="AV37">
            <v>195706.80000000075</v>
          </cell>
          <cell r="AW37"/>
          <cell r="AX37"/>
          <cell r="AY37"/>
          <cell r="BA37">
            <v>0</v>
          </cell>
        </row>
        <row r="38">
          <cell r="E38">
            <v>1245.7</v>
          </cell>
          <cell r="F38"/>
          <cell r="G38"/>
          <cell r="H38"/>
          <cell r="I38">
            <v>0</v>
          </cell>
          <cell r="J38">
            <v>1245.7</v>
          </cell>
          <cell r="AV38">
            <v>194700.7</v>
          </cell>
          <cell r="AW38"/>
          <cell r="AX38"/>
          <cell r="AY38"/>
          <cell r="BA38">
            <v>0</v>
          </cell>
        </row>
        <row r="39">
          <cell r="E39">
            <v>1248.5999999999999</v>
          </cell>
          <cell r="F39"/>
          <cell r="G39"/>
          <cell r="H39"/>
          <cell r="I39">
            <v>0</v>
          </cell>
          <cell r="J39">
            <v>1248.5999999999999</v>
          </cell>
          <cell r="AV39">
            <v>197196.4</v>
          </cell>
          <cell r="AW39"/>
          <cell r="AX39"/>
          <cell r="AY39"/>
          <cell r="BA39">
            <v>0</v>
          </cell>
        </row>
        <row r="40">
          <cell r="E40">
            <v>1254.7</v>
          </cell>
          <cell r="F40"/>
          <cell r="G40"/>
          <cell r="H40"/>
          <cell r="I40">
            <v>0</v>
          </cell>
          <cell r="J40">
            <v>1254.7</v>
          </cell>
          <cell r="AV40">
            <v>196723.20000000001</v>
          </cell>
          <cell r="AW40"/>
          <cell r="AX40"/>
          <cell r="AY40"/>
          <cell r="BA40">
            <v>0</v>
          </cell>
        </row>
        <row r="41">
          <cell r="E41">
            <v>1258</v>
          </cell>
          <cell r="F41"/>
          <cell r="G41"/>
          <cell r="H41"/>
          <cell r="I41">
            <v>0</v>
          </cell>
          <cell r="J41">
            <v>1258</v>
          </cell>
          <cell r="AV41">
            <v>196860</v>
          </cell>
          <cell r="AW41"/>
          <cell r="AX41"/>
          <cell r="AY41"/>
          <cell r="BA41">
            <v>0</v>
          </cell>
        </row>
        <row r="42">
          <cell r="E42">
            <v>1252</v>
          </cell>
          <cell r="F42"/>
          <cell r="G42"/>
          <cell r="H42"/>
          <cell r="I42">
            <v>0</v>
          </cell>
          <cell r="J42">
            <v>1252</v>
          </cell>
          <cell r="AV42">
            <v>194725.6</v>
          </cell>
          <cell r="AW42"/>
          <cell r="AX42"/>
          <cell r="AY42"/>
          <cell r="BA42">
            <v>0</v>
          </cell>
        </row>
        <row r="43">
          <cell r="E43">
            <v>1248</v>
          </cell>
          <cell r="F43"/>
          <cell r="G43"/>
          <cell r="H43"/>
          <cell r="I43">
            <v>0</v>
          </cell>
          <cell r="J43">
            <v>1248</v>
          </cell>
          <cell r="AV43">
            <v>195627.4</v>
          </cell>
          <cell r="AW43"/>
          <cell r="AX43"/>
          <cell r="AY43"/>
          <cell r="BA43">
            <v>0</v>
          </cell>
        </row>
        <row r="44">
          <cell r="E44">
            <v>1127</v>
          </cell>
          <cell r="F44"/>
          <cell r="G44"/>
          <cell r="H44"/>
          <cell r="I44">
            <v>0</v>
          </cell>
          <cell r="J44">
            <v>1127</v>
          </cell>
          <cell r="AV44">
            <v>178529</v>
          </cell>
          <cell r="AW44"/>
          <cell r="AX44"/>
          <cell r="AY44"/>
          <cell r="BA44">
            <v>0</v>
          </cell>
        </row>
        <row r="45">
          <cell r="E45">
            <v>834</v>
          </cell>
          <cell r="F45"/>
          <cell r="G45"/>
          <cell r="H45"/>
          <cell r="I45">
            <v>0</v>
          </cell>
          <cell r="J45">
            <v>834</v>
          </cell>
          <cell r="AV45">
            <v>131754.30000000075</v>
          </cell>
          <cell r="AW45"/>
          <cell r="AX45"/>
          <cell r="AY45"/>
          <cell r="BA45">
            <v>0</v>
          </cell>
        </row>
        <row r="46">
          <cell r="E46">
            <v>1178</v>
          </cell>
          <cell r="F46"/>
          <cell r="G46"/>
          <cell r="H46"/>
          <cell r="I46">
            <v>0</v>
          </cell>
          <cell r="J46">
            <v>1178</v>
          </cell>
          <cell r="AV46">
            <v>183181.89999999851</v>
          </cell>
          <cell r="AW46"/>
          <cell r="AX46"/>
          <cell r="AY46"/>
          <cell r="BA46">
            <v>0</v>
          </cell>
        </row>
        <row r="47">
          <cell r="E47">
            <v>753.5</v>
          </cell>
          <cell r="F47"/>
          <cell r="G47"/>
          <cell r="H47"/>
          <cell r="I47">
            <v>0</v>
          </cell>
          <cell r="J47">
            <v>753.5</v>
          </cell>
          <cell r="AV47">
            <v>118169.1</v>
          </cell>
          <cell r="AW47"/>
          <cell r="AX47"/>
          <cell r="AY47"/>
          <cell r="BA47">
            <v>0</v>
          </cell>
        </row>
        <row r="48">
          <cell r="E48">
            <v>0</v>
          </cell>
          <cell r="F48"/>
          <cell r="G48"/>
          <cell r="H48"/>
          <cell r="I48">
            <v>0</v>
          </cell>
          <cell r="J48">
            <v>0</v>
          </cell>
          <cell r="AV48">
            <v>0</v>
          </cell>
          <cell r="AW48"/>
          <cell r="AX48"/>
          <cell r="AY48"/>
          <cell r="BA48">
            <v>0</v>
          </cell>
        </row>
        <row r="49">
          <cell r="E49">
            <v>0</v>
          </cell>
          <cell r="F49"/>
          <cell r="G49"/>
          <cell r="H49"/>
          <cell r="I49">
            <v>0</v>
          </cell>
          <cell r="J49">
            <v>0</v>
          </cell>
          <cell r="AV49">
            <v>0</v>
          </cell>
          <cell r="AW49"/>
          <cell r="AX49"/>
          <cell r="AY49"/>
          <cell r="BA49">
            <v>0</v>
          </cell>
        </row>
        <row r="50">
          <cell r="E50">
            <v>902.5</v>
          </cell>
          <cell r="F50"/>
          <cell r="G50"/>
          <cell r="H50"/>
          <cell r="I50">
            <v>0</v>
          </cell>
          <cell r="J50">
            <v>902.5</v>
          </cell>
          <cell r="AV50">
            <v>139122</v>
          </cell>
          <cell r="AW50"/>
          <cell r="AX50"/>
          <cell r="AY50"/>
          <cell r="BA50">
            <v>0</v>
          </cell>
        </row>
        <row r="51">
          <cell r="E51">
            <v>944</v>
          </cell>
          <cell r="F51"/>
          <cell r="G51"/>
          <cell r="H51"/>
          <cell r="I51">
            <v>0</v>
          </cell>
          <cell r="J51">
            <v>944</v>
          </cell>
          <cell r="AV51">
            <v>150568</v>
          </cell>
          <cell r="AW51"/>
          <cell r="AX51"/>
          <cell r="AY51"/>
          <cell r="BA51">
            <v>0</v>
          </cell>
        </row>
        <row r="52">
          <cell r="E52">
            <v>855</v>
          </cell>
          <cell r="F52"/>
          <cell r="G52"/>
          <cell r="H52"/>
          <cell r="I52">
            <v>0</v>
          </cell>
          <cell r="J52">
            <v>855</v>
          </cell>
          <cell r="AV52">
            <v>133461.9</v>
          </cell>
          <cell r="AW52"/>
          <cell r="AX52"/>
          <cell r="AY52"/>
          <cell r="BA52">
            <v>0</v>
          </cell>
        </row>
        <row r="53">
          <cell r="E53">
            <v>859</v>
          </cell>
          <cell r="F53"/>
          <cell r="G53"/>
          <cell r="H53"/>
          <cell r="I53">
            <v>0</v>
          </cell>
          <cell r="J53">
            <v>859</v>
          </cell>
          <cell r="AV53">
            <v>134333.1</v>
          </cell>
          <cell r="AW53"/>
          <cell r="AX53"/>
          <cell r="AY53"/>
          <cell r="BA53">
            <v>0</v>
          </cell>
        </row>
        <row r="54">
          <cell r="E54">
            <v>859</v>
          </cell>
          <cell r="F54"/>
          <cell r="G54"/>
          <cell r="H54"/>
          <cell r="I54">
            <v>0</v>
          </cell>
          <cell r="J54">
            <v>859</v>
          </cell>
          <cell r="AV54">
            <v>134422.40000000596</v>
          </cell>
          <cell r="AW54"/>
          <cell r="AX54"/>
          <cell r="AY54"/>
          <cell r="BA54">
            <v>0</v>
          </cell>
        </row>
        <row r="55">
          <cell r="E55">
            <v>160</v>
          </cell>
          <cell r="F55"/>
          <cell r="G55"/>
          <cell r="H55"/>
          <cell r="I55">
            <v>0</v>
          </cell>
          <cell r="J55">
            <v>160</v>
          </cell>
          <cell r="AV55">
            <v>26710.79999999702</v>
          </cell>
          <cell r="AW55"/>
          <cell r="AX55"/>
          <cell r="AY55"/>
          <cell r="BA55">
            <v>0</v>
          </cell>
        </row>
        <row r="56">
          <cell r="E56">
            <v>274</v>
          </cell>
          <cell r="F56"/>
          <cell r="G56"/>
          <cell r="H56"/>
          <cell r="I56">
            <v>0</v>
          </cell>
          <cell r="J56">
            <v>274</v>
          </cell>
          <cell r="AV56">
            <v>44511.29999999702</v>
          </cell>
          <cell r="AW56"/>
          <cell r="AX56"/>
          <cell r="AY56"/>
          <cell r="BA56">
            <v>0</v>
          </cell>
        </row>
        <row r="57">
          <cell r="E57">
            <v>1194.8</v>
          </cell>
          <cell r="F57"/>
          <cell r="G57"/>
          <cell r="H57"/>
          <cell r="I57">
            <v>0</v>
          </cell>
          <cell r="J57">
            <v>1194.8</v>
          </cell>
          <cell r="AV57">
            <v>184632.9</v>
          </cell>
          <cell r="AW57"/>
          <cell r="AX57"/>
          <cell r="AY57"/>
          <cell r="BA57">
            <v>0</v>
          </cell>
        </row>
        <row r="58">
          <cell r="E58">
            <v>658</v>
          </cell>
          <cell r="F58"/>
          <cell r="G58"/>
          <cell r="H58"/>
          <cell r="I58">
            <v>0</v>
          </cell>
          <cell r="J58">
            <v>658</v>
          </cell>
          <cell r="AV58">
            <v>102889.4</v>
          </cell>
          <cell r="AW58">
            <v>188</v>
          </cell>
          <cell r="AX58"/>
          <cell r="AY58"/>
          <cell r="BA58">
            <v>188</v>
          </cell>
        </row>
        <row r="59">
          <cell r="E59">
            <v>0</v>
          </cell>
          <cell r="F59"/>
          <cell r="G59"/>
          <cell r="H59"/>
          <cell r="I59">
            <v>0</v>
          </cell>
          <cell r="J59">
            <v>0</v>
          </cell>
          <cell r="AV59">
            <v>0</v>
          </cell>
          <cell r="AW59"/>
          <cell r="AX59"/>
          <cell r="AY59"/>
          <cell r="BA59">
            <v>0</v>
          </cell>
        </row>
        <row r="60">
          <cell r="E60">
            <v>0</v>
          </cell>
          <cell r="F60"/>
          <cell r="G60"/>
          <cell r="H60"/>
          <cell r="I60">
            <v>0</v>
          </cell>
          <cell r="J60">
            <v>0</v>
          </cell>
          <cell r="AV60">
            <v>0</v>
          </cell>
          <cell r="AW60"/>
          <cell r="AX60"/>
          <cell r="AY60"/>
          <cell r="BA60">
            <v>0</v>
          </cell>
        </row>
        <row r="61">
          <cell r="E61">
            <v>0</v>
          </cell>
          <cell r="F61"/>
          <cell r="G61"/>
          <cell r="H61"/>
          <cell r="I61">
            <v>0</v>
          </cell>
          <cell r="J61">
            <v>0</v>
          </cell>
          <cell r="AV61">
            <v>0</v>
          </cell>
          <cell r="AW61"/>
          <cell r="AX61"/>
          <cell r="AY61"/>
          <cell r="BA61">
            <v>0</v>
          </cell>
        </row>
        <row r="62">
          <cell r="E62">
            <v>0</v>
          </cell>
          <cell r="F62"/>
          <cell r="G62"/>
          <cell r="H62"/>
          <cell r="I62">
            <v>0</v>
          </cell>
          <cell r="J62">
            <v>0</v>
          </cell>
          <cell r="AV62">
            <v>0</v>
          </cell>
          <cell r="AW62"/>
          <cell r="AX62"/>
          <cell r="AY62"/>
          <cell r="BA62">
            <v>0</v>
          </cell>
        </row>
        <row r="63">
          <cell r="E63">
            <v>0</v>
          </cell>
          <cell r="F63"/>
          <cell r="G63"/>
          <cell r="H63"/>
          <cell r="I63">
            <v>0</v>
          </cell>
          <cell r="J63">
            <v>0</v>
          </cell>
          <cell r="AV63">
            <v>0</v>
          </cell>
          <cell r="AW63"/>
          <cell r="AX63"/>
          <cell r="AY63"/>
          <cell r="BA63">
            <v>0</v>
          </cell>
        </row>
        <row r="64">
          <cell r="E64">
            <v>806.29999999998836</v>
          </cell>
          <cell r="F64"/>
          <cell r="G64"/>
          <cell r="H64"/>
          <cell r="I64">
            <v>0</v>
          </cell>
          <cell r="J64">
            <v>806.29999999998836</v>
          </cell>
          <cell r="AV64">
            <v>129212.39999999851</v>
          </cell>
          <cell r="AW64"/>
          <cell r="AX64"/>
          <cell r="AY64"/>
          <cell r="BA64">
            <v>0</v>
          </cell>
        </row>
        <row r="65">
          <cell r="E65">
            <v>766</v>
          </cell>
          <cell r="F65"/>
          <cell r="G65"/>
          <cell r="H65"/>
          <cell r="I65">
            <v>0</v>
          </cell>
          <cell r="J65">
            <v>766</v>
          </cell>
          <cell r="AV65">
            <v>120437.60000000149</v>
          </cell>
          <cell r="AW65"/>
          <cell r="AX65"/>
          <cell r="AY65"/>
          <cell r="BA65">
            <v>0</v>
          </cell>
        </row>
        <row r="66">
          <cell r="E66">
            <v>864</v>
          </cell>
          <cell r="F66"/>
          <cell r="G66"/>
          <cell r="H66"/>
          <cell r="I66">
            <v>0</v>
          </cell>
          <cell r="J66">
            <v>864</v>
          </cell>
          <cell r="AV66">
            <v>136409.20000000001</v>
          </cell>
          <cell r="AW66"/>
          <cell r="AX66"/>
          <cell r="AY66"/>
          <cell r="BA66">
            <v>0</v>
          </cell>
        </row>
        <row r="67">
          <cell r="E67">
            <v>704</v>
          </cell>
          <cell r="F67"/>
          <cell r="G67"/>
          <cell r="H67"/>
          <cell r="I67">
            <v>0</v>
          </cell>
          <cell r="J67">
            <v>704</v>
          </cell>
          <cell r="AV67">
            <v>111981</v>
          </cell>
          <cell r="AW67"/>
          <cell r="AX67"/>
          <cell r="AY67"/>
          <cell r="BA67">
            <v>0</v>
          </cell>
        </row>
        <row r="68">
          <cell r="E68">
            <v>837</v>
          </cell>
          <cell r="F68"/>
          <cell r="G68"/>
          <cell r="H68"/>
          <cell r="I68">
            <v>0</v>
          </cell>
          <cell r="J68">
            <v>837</v>
          </cell>
          <cell r="AV68">
            <v>132489.4</v>
          </cell>
          <cell r="AW68"/>
          <cell r="AX68"/>
          <cell r="AY68"/>
          <cell r="BA68">
            <v>0</v>
          </cell>
        </row>
        <row r="69">
          <cell r="E69">
            <v>448</v>
          </cell>
          <cell r="F69"/>
          <cell r="G69"/>
          <cell r="H69"/>
          <cell r="I69">
            <v>0</v>
          </cell>
          <cell r="J69">
            <v>448</v>
          </cell>
          <cell r="AV69">
            <v>76359</v>
          </cell>
          <cell r="AW69"/>
          <cell r="AX69"/>
          <cell r="AY69"/>
          <cell r="BA69">
            <v>0</v>
          </cell>
        </row>
        <row r="70">
          <cell r="E70">
            <v>387</v>
          </cell>
          <cell r="F70"/>
          <cell r="G70"/>
          <cell r="H70"/>
          <cell r="I70">
            <v>0</v>
          </cell>
          <cell r="J70">
            <v>387</v>
          </cell>
          <cell r="AV70">
            <v>63376</v>
          </cell>
          <cell r="AW70"/>
          <cell r="AX70"/>
          <cell r="AY70"/>
          <cell r="BA70">
            <v>0</v>
          </cell>
        </row>
        <row r="71">
          <cell r="E71">
            <v>537</v>
          </cell>
          <cell r="F71"/>
          <cell r="G71"/>
          <cell r="H71"/>
          <cell r="I71">
            <v>0</v>
          </cell>
          <cell r="J71">
            <v>537</v>
          </cell>
          <cell r="AV71">
            <v>85234.8</v>
          </cell>
          <cell r="AW71"/>
          <cell r="AX71"/>
          <cell r="AY71"/>
          <cell r="BA71">
            <v>0</v>
          </cell>
        </row>
        <row r="72">
          <cell r="E72">
            <v>532</v>
          </cell>
          <cell r="F72"/>
          <cell r="G72"/>
          <cell r="H72"/>
          <cell r="I72">
            <v>0</v>
          </cell>
          <cell r="J72">
            <v>532</v>
          </cell>
          <cell r="AV72">
            <v>84595.5</v>
          </cell>
          <cell r="AW72"/>
          <cell r="AX72"/>
          <cell r="AY72"/>
          <cell r="BA72">
            <v>0</v>
          </cell>
        </row>
        <row r="73">
          <cell r="E73">
            <v>587</v>
          </cell>
          <cell r="F73"/>
          <cell r="G73"/>
          <cell r="H73"/>
          <cell r="I73">
            <v>0</v>
          </cell>
          <cell r="J73">
            <v>587</v>
          </cell>
          <cell r="AV73">
            <v>92979.40000000596</v>
          </cell>
          <cell r="AW73"/>
          <cell r="AX73"/>
          <cell r="AY73"/>
          <cell r="BA73">
            <v>0</v>
          </cell>
        </row>
        <row r="74">
          <cell r="E74">
            <v>0</v>
          </cell>
          <cell r="F74"/>
          <cell r="G74"/>
          <cell r="H74"/>
          <cell r="I74">
            <v>0</v>
          </cell>
          <cell r="J74">
            <v>0</v>
          </cell>
          <cell r="AV74">
            <v>0</v>
          </cell>
          <cell r="AW74"/>
          <cell r="AX74"/>
          <cell r="AY74"/>
          <cell r="BA74">
            <v>0</v>
          </cell>
        </row>
        <row r="75">
          <cell r="E75">
            <v>0</v>
          </cell>
          <cell r="F75"/>
          <cell r="G75"/>
          <cell r="H75"/>
          <cell r="I75">
            <v>0</v>
          </cell>
          <cell r="J75">
            <v>0</v>
          </cell>
          <cell r="AV75">
            <v>0</v>
          </cell>
          <cell r="AW75"/>
          <cell r="AX75"/>
          <cell r="AY75"/>
          <cell r="BA75">
            <v>0</v>
          </cell>
        </row>
        <row r="76">
          <cell r="E76">
            <v>0</v>
          </cell>
          <cell r="F76"/>
          <cell r="G76"/>
          <cell r="H76"/>
          <cell r="I76">
            <v>0</v>
          </cell>
          <cell r="J76">
            <v>0</v>
          </cell>
          <cell r="AV76">
            <v>0</v>
          </cell>
          <cell r="AW76"/>
          <cell r="AX76"/>
          <cell r="AY76"/>
          <cell r="BA76">
            <v>0</v>
          </cell>
        </row>
        <row r="77">
          <cell r="E77">
            <v>0</v>
          </cell>
          <cell r="F77"/>
          <cell r="G77"/>
          <cell r="H77"/>
          <cell r="I77">
            <v>0</v>
          </cell>
          <cell r="J77">
            <v>0</v>
          </cell>
          <cell r="AV77">
            <v>0</v>
          </cell>
          <cell r="AW77"/>
          <cell r="AX77"/>
          <cell r="AY77"/>
          <cell r="BA77">
            <v>0</v>
          </cell>
        </row>
        <row r="78">
          <cell r="E78">
            <v>563</v>
          </cell>
          <cell r="F78"/>
          <cell r="G78"/>
          <cell r="H78"/>
          <cell r="I78">
            <v>0</v>
          </cell>
          <cell r="J78">
            <v>563</v>
          </cell>
          <cell r="AV78">
            <v>90464.3</v>
          </cell>
          <cell r="AW78"/>
          <cell r="AX78"/>
          <cell r="AY78"/>
          <cell r="BA78">
            <v>0</v>
          </cell>
        </row>
        <row r="79">
          <cell r="E79">
            <v>822</v>
          </cell>
          <cell r="F79"/>
          <cell r="G79"/>
          <cell r="H79"/>
          <cell r="I79">
            <v>0</v>
          </cell>
          <cell r="J79">
            <v>822</v>
          </cell>
          <cell r="AV79">
            <v>128108</v>
          </cell>
          <cell r="AW79"/>
          <cell r="AX79"/>
          <cell r="AY79"/>
          <cell r="BA79">
            <v>0</v>
          </cell>
        </row>
        <row r="80">
          <cell r="E80">
            <v>805</v>
          </cell>
          <cell r="F80"/>
          <cell r="G80"/>
          <cell r="H80"/>
          <cell r="I80">
            <v>0</v>
          </cell>
          <cell r="J80">
            <v>805</v>
          </cell>
          <cell r="AV80">
            <v>126694.9</v>
          </cell>
          <cell r="AW80"/>
          <cell r="AX80"/>
          <cell r="AY80"/>
          <cell r="BA80">
            <v>0</v>
          </cell>
        </row>
        <row r="81">
          <cell r="E81">
            <v>811</v>
          </cell>
          <cell r="F81"/>
          <cell r="G81"/>
          <cell r="H81"/>
          <cell r="I81">
            <v>0</v>
          </cell>
          <cell r="J81">
            <v>811</v>
          </cell>
          <cell r="AV81">
            <v>127317.5</v>
          </cell>
          <cell r="AW81"/>
          <cell r="AX81"/>
          <cell r="AY81"/>
          <cell r="BA81">
            <v>0</v>
          </cell>
        </row>
        <row r="82">
          <cell r="E82">
            <v>286</v>
          </cell>
          <cell r="F82"/>
          <cell r="G82"/>
          <cell r="H82"/>
          <cell r="I82">
            <v>0</v>
          </cell>
          <cell r="J82">
            <v>286</v>
          </cell>
          <cell r="AV82">
            <v>44985.70000000298</v>
          </cell>
          <cell r="AW82"/>
          <cell r="AX82"/>
          <cell r="AY82"/>
          <cell r="BA82">
            <v>0</v>
          </cell>
        </row>
        <row r="83">
          <cell r="E83">
            <v>0</v>
          </cell>
          <cell r="F83"/>
          <cell r="G83"/>
          <cell r="H83"/>
          <cell r="I83">
            <v>0</v>
          </cell>
          <cell r="J83">
            <v>0</v>
          </cell>
          <cell r="AV83">
            <v>0</v>
          </cell>
          <cell r="AW83"/>
          <cell r="AX83"/>
          <cell r="AY83"/>
          <cell r="BA83">
            <v>0</v>
          </cell>
        </row>
        <row r="84">
          <cell r="E84">
            <v>0</v>
          </cell>
          <cell r="F84"/>
          <cell r="G84"/>
          <cell r="H84"/>
          <cell r="I84">
            <v>0</v>
          </cell>
          <cell r="J84">
            <v>0</v>
          </cell>
          <cell r="AV84">
            <v>0</v>
          </cell>
          <cell r="AW84"/>
          <cell r="AX84"/>
          <cell r="AY84"/>
          <cell r="BA84">
            <v>0</v>
          </cell>
        </row>
        <row r="85">
          <cell r="E85">
            <v>0</v>
          </cell>
          <cell r="F85"/>
          <cell r="G85"/>
          <cell r="H85"/>
          <cell r="I85">
            <v>0</v>
          </cell>
          <cell r="J85">
            <v>0</v>
          </cell>
          <cell r="AV85">
            <v>0</v>
          </cell>
          <cell r="AW85"/>
          <cell r="AX85"/>
          <cell r="AY85"/>
          <cell r="BA85">
            <v>0</v>
          </cell>
        </row>
        <row r="86">
          <cell r="E86">
            <v>0</v>
          </cell>
          <cell r="F86"/>
          <cell r="G86"/>
          <cell r="H86"/>
          <cell r="I86">
            <v>0</v>
          </cell>
          <cell r="J86">
            <v>0</v>
          </cell>
          <cell r="AV86">
            <v>0</v>
          </cell>
          <cell r="AW86"/>
          <cell r="AX86"/>
          <cell r="AY86"/>
          <cell r="BA86">
            <v>0</v>
          </cell>
        </row>
        <row r="87">
          <cell r="E87">
            <v>0</v>
          </cell>
          <cell r="F87"/>
          <cell r="G87"/>
          <cell r="H87"/>
          <cell r="I87">
            <v>0</v>
          </cell>
          <cell r="J87">
            <v>0</v>
          </cell>
          <cell r="AV87">
            <v>0</v>
          </cell>
          <cell r="AW87"/>
          <cell r="AX87"/>
          <cell r="AY87"/>
          <cell r="BA87">
            <v>0</v>
          </cell>
        </row>
        <row r="88">
          <cell r="E88">
            <v>0</v>
          </cell>
          <cell r="F88"/>
          <cell r="G88"/>
          <cell r="H88"/>
          <cell r="I88">
            <v>0</v>
          </cell>
          <cell r="J88">
            <v>0</v>
          </cell>
          <cell r="AV88">
            <v>0</v>
          </cell>
          <cell r="AW88"/>
          <cell r="AX88"/>
          <cell r="AY88"/>
          <cell r="BA88">
            <v>0</v>
          </cell>
        </row>
        <row r="89">
          <cell r="E89">
            <v>545</v>
          </cell>
          <cell r="F89"/>
          <cell r="G89"/>
          <cell r="H89"/>
          <cell r="I89">
            <v>0</v>
          </cell>
          <cell r="J89">
            <v>545</v>
          </cell>
          <cell r="AV89">
            <v>87925.3</v>
          </cell>
          <cell r="AW89"/>
          <cell r="AX89"/>
          <cell r="AY89"/>
          <cell r="BA89">
            <v>0</v>
          </cell>
        </row>
        <row r="90">
          <cell r="E90">
            <v>264</v>
          </cell>
          <cell r="F90"/>
          <cell r="G90"/>
          <cell r="H90"/>
          <cell r="I90">
            <v>0</v>
          </cell>
          <cell r="J90">
            <v>264</v>
          </cell>
          <cell r="AV90">
            <v>41914</v>
          </cell>
          <cell r="AW90"/>
          <cell r="AX90"/>
          <cell r="AY90"/>
          <cell r="BA90">
            <v>0</v>
          </cell>
        </row>
        <row r="91">
          <cell r="E91">
            <v>387</v>
          </cell>
          <cell r="F91"/>
          <cell r="G91"/>
          <cell r="H91"/>
          <cell r="I91">
            <v>0</v>
          </cell>
          <cell r="J91">
            <v>387</v>
          </cell>
          <cell r="AV91">
            <v>62345.9</v>
          </cell>
          <cell r="AW91"/>
          <cell r="AX91"/>
          <cell r="AY91"/>
          <cell r="BA91">
            <v>0</v>
          </cell>
        </row>
        <row r="92">
          <cell r="E92">
            <v>779</v>
          </cell>
          <cell r="F92"/>
          <cell r="G92"/>
          <cell r="H92"/>
          <cell r="I92">
            <v>0</v>
          </cell>
          <cell r="J92">
            <v>779</v>
          </cell>
          <cell r="AV92">
            <v>122980.100000006</v>
          </cell>
          <cell r="AW92">
            <v>403</v>
          </cell>
          <cell r="AX92"/>
          <cell r="AY92"/>
          <cell r="BA92">
            <v>403</v>
          </cell>
        </row>
        <row r="93">
          <cell r="E93">
            <v>670</v>
          </cell>
          <cell r="F93"/>
          <cell r="G93"/>
          <cell r="H93"/>
          <cell r="I93">
            <v>0</v>
          </cell>
          <cell r="J93">
            <v>670</v>
          </cell>
          <cell r="AV93">
            <v>106486</v>
          </cell>
          <cell r="AW93"/>
          <cell r="AX93"/>
          <cell r="AY93"/>
          <cell r="BA93">
            <v>0</v>
          </cell>
        </row>
        <row r="94">
          <cell r="E94">
            <v>0</v>
          </cell>
          <cell r="F94"/>
          <cell r="G94"/>
          <cell r="H94"/>
          <cell r="I94">
            <v>0</v>
          </cell>
          <cell r="J94">
            <v>0</v>
          </cell>
          <cell r="AV94">
            <v>0</v>
          </cell>
          <cell r="AW94"/>
          <cell r="AX94"/>
          <cell r="AY94"/>
          <cell r="BA94">
            <v>0</v>
          </cell>
        </row>
        <row r="95">
          <cell r="E95">
            <v>633</v>
          </cell>
          <cell r="F95"/>
          <cell r="G95"/>
          <cell r="H95"/>
          <cell r="I95">
            <v>0</v>
          </cell>
          <cell r="J95">
            <v>633</v>
          </cell>
          <cell r="AV95">
            <v>100816.7</v>
          </cell>
          <cell r="AW95"/>
          <cell r="AX95"/>
          <cell r="AY95"/>
          <cell r="BA95">
            <v>0</v>
          </cell>
        </row>
        <row r="96">
          <cell r="E96">
            <v>397</v>
          </cell>
          <cell r="F96"/>
          <cell r="G96"/>
          <cell r="H96"/>
          <cell r="I96">
            <v>0</v>
          </cell>
          <cell r="J96">
            <v>397</v>
          </cell>
          <cell r="AV96">
            <v>62704.6</v>
          </cell>
          <cell r="AW96"/>
          <cell r="AX96"/>
          <cell r="AY96"/>
          <cell r="BA96">
            <v>0</v>
          </cell>
        </row>
        <row r="97">
          <cell r="E97">
            <v>0</v>
          </cell>
          <cell r="F97"/>
          <cell r="G97"/>
          <cell r="H97"/>
          <cell r="I97">
            <v>0</v>
          </cell>
          <cell r="J97">
            <v>0</v>
          </cell>
          <cell r="AV97">
            <v>0</v>
          </cell>
          <cell r="AW97"/>
          <cell r="AX97"/>
          <cell r="AY97"/>
          <cell r="BA97">
            <v>0</v>
          </cell>
        </row>
        <row r="98">
          <cell r="E98">
            <v>0</v>
          </cell>
          <cell r="F98"/>
          <cell r="G98"/>
          <cell r="H98"/>
          <cell r="I98">
            <v>0</v>
          </cell>
          <cell r="J98">
            <v>0</v>
          </cell>
          <cell r="AV98">
            <v>0</v>
          </cell>
          <cell r="AW98"/>
          <cell r="AX98"/>
          <cell r="AY98"/>
          <cell r="BA98">
            <v>0</v>
          </cell>
        </row>
        <row r="99">
          <cell r="E99">
            <v>415</v>
          </cell>
          <cell r="F99"/>
          <cell r="G99"/>
          <cell r="H99"/>
          <cell r="I99">
            <v>0</v>
          </cell>
          <cell r="J99">
            <v>415</v>
          </cell>
          <cell r="AV99">
            <v>67258.100000000006</v>
          </cell>
          <cell r="AW99"/>
          <cell r="AX99"/>
          <cell r="AY99"/>
          <cell r="BA99">
            <v>0</v>
          </cell>
        </row>
        <row r="100">
          <cell r="E100">
            <v>399</v>
          </cell>
          <cell r="F100"/>
          <cell r="G100"/>
          <cell r="H100"/>
          <cell r="I100">
            <v>0</v>
          </cell>
          <cell r="J100">
            <v>399</v>
          </cell>
          <cell r="AV100">
            <v>63527.4</v>
          </cell>
          <cell r="AW100"/>
          <cell r="AX100"/>
          <cell r="AY100"/>
          <cell r="BA100">
            <v>0</v>
          </cell>
        </row>
        <row r="101">
          <cell r="E101">
            <v>406</v>
          </cell>
          <cell r="F101"/>
          <cell r="G101"/>
          <cell r="H101"/>
          <cell r="I101">
            <v>0</v>
          </cell>
          <cell r="J101">
            <v>406</v>
          </cell>
          <cell r="AV101">
            <v>63922</v>
          </cell>
          <cell r="AW101"/>
          <cell r="AX101"/>
          <cell r="AY101"/>
          <cell r="BA101">
            <v>0</v>
          </cell>
        </row>
        <row r="102">
          <cell r="E102">
            <v>0</v>
          </cell>
          <cell r="F102"/>
          <cell r="G102"/>
          <cell r="H102"/>
          <cell r="I102">
            <v>0</v>
          </cell>
          <cell r="J102">
            <v>0</v>
          </cell>
          <cell r="AV102">
            <v>0</v>
          </cell>
          <cell r="AW102"/>
          <cell r="AX102"/>
          <cell r="AY102"/>
          <cell r="BA102">
            <v>0</v>
          </cell>
        </row>
        <row r="103">
          <cell r="E103">
            <v>311</v>
          </cell>
          <cell r="F103"/>
          <cell r="G103"/>
          <cell r="H103"/>
          <cell r="I103">
            <v>0</v>
          </cell>
          <cell r="J103">
            <v>311</v>
          </cell>
          <cell r="AV103">
            <v>50080.7</v>
          </cell>
          <cell r="AW103"/>
          <cell r="AX103"/>
          <cell r="AY103"/>
          <cell r="BA103">
            <v>0</v>
          </cell>
        </row>
        <row r="104">
          <cell r="E104">
            <v>0</v>
          </cell>
          <cell r="F104"/>
          <cell r="G104"/>
          <cell r="H104"/>
          <cell r="I104">
            <v>0</v>
          </cell>
          <cell r="J104">
            <v>0</v>
          </cell>
          <cell r="AV104">
            <v>0</v>
          </cell>
          <cell r="AW104"/>
          <cell r="AX104"/>
          <cell r="AY104"/>
          <cell r="BA104">
            <v>0</v>
          </cell>
        </row>
        <row r="105">
          <cell r="E105">
            <v>0</v>
          </cell>
          <cell r="F105"/>
          <cell r="G105"/>
          <cell r="H105"/>
          <cell r="I105">
            <v>0</v>
          </cell>
          <cell r="J105">
            <v>0</v>
          </cell>
          <cell r="AV105">
            <v>0</v>
          </cell>
          <cell r="AW105"/>
          <cell r="AX105"/>
          <cell r="AY105"/>
          <cell r="BA105">
            <v>0</v>
          </cell>
        </row>
        <row r="106">
          <cell r="E106">
            <v>839</v>
          </cell>
          <cell r="F106"/>
          <cell r="G106"/>
          <cell r="H106"/>
          <cell r="I106">
            <v>0</v>
          </cell>
          <cell r="J106">
            <v>839</v>
          </cell>
          <cell r="AV106">
            <v>134488.79999999999</v>
          </cell>
          <cell r="AW106"/>
          <cell r="AX106"/>
          <cell r="AY106"/>
          <cell r="BA106">
            <v>0</v>
          </cell>
        </row>
        <row r="107">
          <cell r="E107">
            <v>830</v>
          </cell>
          <cell r="F107"/>
          <cell r="G107"/>
          <cell r="H107"/>
          <cell r="I107">
            <v>0</v>
          </cell>
          <cell r="J107">
            <v>830</v>
          </cell>
          <cell r="AV107">
            <v>130276</v>
          </cell>
          <cell r="AW107"/>
          <cell r="AX107"/>
          <cell r="AY107"/>
          <cell r="BA107">
            <v>0</v>
          </cell>
        </row>
        <row r="108">
          <cell r="E108">
            <v>651</v>
          </cell>
          <cell r="F108"/>
          <cell r="G108"/>
          <cell r="H108"/>
          <cell r="I108">
            <v>0</v>
          </cell>
          <cell r="J108">
            <v>651</v>
          </cell>
          <cell r="AV108">
            <v>102348.3</v>
          </cell>
          <cell r="AW108"/>
          <cell r="AX108"/>
          <cell r="AY108"/>
          <cell r="BA108">
            <v>0</v>
          </cell>
        </row>
        <row r="109">
          <cell r="E109">
            <v>0</v>
          </cell>
          <cell r="F109"/>
          <cell r="G109"/>
          <cell r="H109"/>
          <cell r="I109">
            <v>0</v>
          </cell>
          <cell r="J109">
            <v>0</v>
          </cell>
          <cell r="AV109">
            <v>0</v>
          </cell>
          <cell r="AW109"/>
          <cell r="AX109"/>
          <cell r="AY109"/>
          <cell r="BA109">
            <v>0</v>
          </cell>
        </row>
        <row r="110">
          <cell r="E110">
            <v>315</v>
          </cell>
          <cell r="F110"/>
          <cell r="G110"/>
          <cell r="H110"/>
          <cell r="I110">
            <v>0</v>
          </cell>
          <cell r="J110">
            <v>315</v>
          </cell>
          <cell r="AV110">
            <v>50552.10000000149</v>
          </cell>
          <cell r="AW110"/>
          <cell r="AX110"/>
          <cell r="AY110"/>
          <cell r="BA110">
            <v>0</v>
          </cell>
        </row>
        <row r="111">
          <cell r="E111">
            <v>0</v>
          </cell>
          <cell r="F111"/>
          <cell r="G111"/>
          <cell r="H111"/>
          <cell r="I111">
            <v>0</v>
          </cell>
          <cell r="J111">
            <v>0</v>
          </cell>
          <cell r="AV111">
            <v>0</v>
          </cell>
          <cell r="AW111"/>
          <cell r="AX111"/>
          <cell r="AY111"/>
          <cell r="BA111">
            <v>0</v>
          </cell>
        </row>
        <row r="112">
          <cell r="E112">
            <v>0</v>
          </cell>
          <cell r="F112"/>
          <cell r="G112"/>
          <cell r="H112"/>
          <cell r="I112">
            <v>0</v>
          </cell>
          <cell r="J112">
            <v>0</v>
          </cell>
          <cell r="AV112">
            <v>0</v>
          </cell>
          <cell r="AW112"/>
          <cell r="AX112"/>
          <cell r="AY112"/>
          <cell r="BA112">
            <v>0</v>
          </cell>
        </row>
        <row r="113">
          <cell r="E113">
            <v>362</v>
          </cell>
          <cell r="F113"/>
          <cell r="G113"/>
          <cell r="H113"/>
          <cell r="I113">
            <v>0</v>
          </cell>
          <cell r="J113">
            <v>362</v>
          </cell>
          <cell r="AV113">
            <v>57879.9</v>
          </cell>
          <cell r="AW113"/>
          <cell r="AX113"/>
          <cell r="AY113"/>
          <cell r="BA113">
            <v>0</v>
          </cell>
        </row>
        <row r="114">
          <cell r="E114">
            <v>0</v>
          </cell>
          <cell r="F114"/>
          <cell r="G114"/>
          <cell r="H114"/>
          <cell r="I114">
            <v>0</v>
          </cell>
          <cell r="J114">
            <v>0</v>
          </cell>
          <cell r="AV114">
            <v>0</v>
          </cell>
          <cell r="AW114"/>
          <cell r="AX114"/>
          <cell r="AY114"/>
          <cell r="BA114">
            <v>0</v>
          </cell>
        </row>
        <row r="115">
          <cell r="E115">
            <v>0</v>
          </cell>
          <cell r="F115"/>
          <cell r="G115"/>
          <cell r="H115"/>
          <cell r="I115">
            <v>0</v>
          </cell>
          <cell r="J115">
            <v>0</v>
          </cell>
          <cell r="AV115">
            <v>0</v>
          </cell>
          <cell r="AW115"/>
          <cell r="AX115"/>
          <cell r="AY115"/>
          <cell r="BA115">
            <v>0</v>
          </cell>
        </row>
        <row r="116">
          <cell r="E116">
            <v>0</v>
          </cell>
          <cell r="F116"/>
          <cell r="G116"/>
          <cell r="H116"/>
          <cell r="I116">
            <v>0</v>
          </cell>
          <cell r="J116">
            <v>0</v>
          </cell>
          <cell r="AV116">
            <v>0</v>
          </cell>
          <cell r="AW116"/>
          <cell r="AX116"/>
          <cell r="AY116"/>
          <cell r="BA116">
            <v>0</v>
          </cell>
        </row>
        <row r="117">
          <cell r="E117">
            <v>521</v>
          </cell>
          <cell r="F117"/>
          <cell r="G117"/>
          <cell r="H117"/>
          <cell r="I117">
            <v>0</v>
          </cell>
          <cell r="J117">
            <v>521</v>
          </cell>
          <cell r="AV117">
            <v>84523.6</v>
          </cell>
          <cell r="AW117"/>
          <cell r="AX117"/>
          <cell r="AY117"/>
          <cell r="BA117">
            <v>0</v>
          </cell>
        </row>
        <row r="118">
          <cell r="E118">
            <v>0</v>
          </cell>
          <cell r="F118"/>
          <cell r="G118"/>
          <cell r="H118"/>
          <cell r="I118">
            <v>0</v>
          </cell>
          <cell r="J118">
            <v>0</v>
          </cell>
          <cell r="AV118">
            <v>0</v>
          </cell>
          <cell r="AW118"/>
          <cell r="AX118"/>
          <cell r="AY118"/>
          <cell r="BA118">
            <v>0</v>
          </cell>
        </row>
        <row r="119">
          <cell r="E119">
            <v>0</v>
          </cell>
          <cell r="F119"/>
          <cell r="G119"/>
          <cell r="H119"/>
          <cell r="I119">
            <v>0</v>
          </cell>
          <cell r="J119">
            <v>0</v>
          </cell>
          <cell r="AV119">
            <v>0</v>
          </cell>
          <cell r="AW119"/>
          <cell r="AX119"/>
          <cell r="AY119"/>
          <cell r="BA119">
            <v>0</v>
          </cell>
        </row>
        <row r="120">
          <cell r="E120">
            <v>348</v>
          </cell>
          <cell r="F120"/>
          <cell r="G120"/>
          <cell r="H120"/>
          <cell r="I120">
            <v>0</v>
          </cell>
          <cell r="J120">
            <v>348</v>
          </cell>
          <cell r="AV120">
            <v>56089</v>
          </cell>
          <cell r="AW120"/>
          <cell r="AX120"/>
          <cell r="AY120"/>
          <cell r="BA120">
            <v>0</v>
          </cell>
        </row>
        <row r="121">
          <cell r="E121">
            <v>0</v>
          </cell>
          <cell r="F121"/>
          <cell r="G121"/>
          <cell r="H121"/>
          <cell r="I121">
            <v>0</v>
          </cell>
          <cell r="J121">
            <v>0</v>
          </cell>
          <cell r="AV121">
            <v>0</v>
          </cell>
          <cell r="AW121"/>
          <cell r="AX121"/>
          <cell r="AY121"/>
          <cell r="BA121">
            <v>0</v>
          </cell>
        </row>
        <row r="122">
          <cell r="E122">
            <v>878</v>
          </cell>
          <cell r="F122"/>
          <cell r="G122"/>
          <cell r="H122"/>
          <cell r="I122">
            <v>0</v>
          </cell>
          <cell r="J122">
            <v>878</v>
          </cell>
          <cell r="AV122">
            <v>137634.79999999999</v>
          </cell>
          <cell r="AW122"/>
          <cell r="AX122"/>
          <cell r="AY122"/>
          <cell r="BA122">
            <v>0</v>
          </cell>
        </row>
        <row r="123">
          <cell r="E123">
            <v>0</v>
          </cell>
          <cell r="F123"/>
          <cell r="G123"/>
          <cell r="H123"/>
          <cell r="I123">
            <v>0</v>
          </cell>
          <cell r="J123">
            <v>0</v>
          </cell>
          <cell r="AV123">
            <v>0</v>
          </cell>
          <cell r="AW123"/>
          <cell r="AX123"/>
          <cell r="AY123"/>
          <cell r="BA123">
            <v>0</v>
          </cell>
        </row>
        <row r="124">
          <cell r="E124">
            <v>147</v>
          </cell>
          <cell r="F124"/>
          <cell r="G124"/>
          <cell r="H124"/>
          <cell r="I124">
            <v>0</v>
          </cell>
          <cell r="J124">
            <v>147</v>
          </cell>
          <cell r="AV124">
            <v>23220.799999999999</v>
          </cell>
          <cell r="AW124"/>
          <cell r="AX124"/>
          <cell r="AY124"/>
          <cell r="BA124">
            <v>0</v>
          </cell>
        </row>
        <row r="125">
          <cell r="E125">
            <v>0</v>
          </cell>
          <cell r="F125"/>
          <cell r="G125"/>
          <cell r="H125"/>
          <cell r="I125">
            <v>0</v>
          </cell>
          <cell r="J125">
            <v>0</v>
          </cell>
          <cell r="AV125">
            <v>0</v>
          </cell>
          <cell r="AW125"/>
          <cell r="AX125"/>
          <cell r="AY125"/>
          <cell r="BA125">
            <v>0</v>
          </cell>
        </row>
        <row r="126">
          <cell r="E126">
            <v>0</v>
          </cell>
          <cell r="F126"/>
          <cell r="G126"/>
          <cell r="H126"/>
          <cell r="I126">
            <v>0</v>
          </cell>
          <cell r="J126">
            <v>0</v>
          </cell>
          <cell r="AV126">
            <v>0</v>
          </cell>
          <cell r="AW126"/>
          <cell r="AX126"/>
          <cell r="AY126"/>
          <cell r="BA126">
            <v>0</v>
          </cell>
        </row>
        <row r="127">
          <cell r="E127">
            <v>0</v>
          </cell>
          <cell r="F127"/>
          <cell r="G127"/>
          <cell r="H127"/>
          <cell r="I127">
            <v>0</v>
          </cell>
          <cell r="J127">
            <v>0</v>
          </cell>
          <cell r="AV127">
            <v>0</v>
          </cell>
          <cell r="AW127"/>
          <cell r="AX127"/>
          <cell r="AY127"/>
          <cell r="BA127">
            <v>0</v>
          </cell>
        </row>
        <row r="128">
          <cell r="E128">
            <v>0</v>
          </cell>
          <cell r="F128"/>
          <cell r="G128"/>
          <cell r="H128"/>
          <cell r="I128">
            <v>0</v>
          </cell>
          <cell r="J128">
            <v>0</v>
          </cell>
          <cell r="AV128">
            <v>0</v>
          </cell>
          <cell r="AW128"/>
          <cell r="AX128"/>
          <cell r="AY128"/>
          <cell r="BA128">
            <v>0</v>
          </cell>
        </row>
        <row r="129">
          <cell r="E129">
            <v>747</v>
          </cell>
          <cell r="F129"/>
          <cell r="G129"/>
          <cell r="H129"/>
          <cell r="I129">
            <v>0</v>
          </cell>
          <cell r="J129">
            <v>747</v>
          </cell>
          <cell r="AV129">
            <v>118660.10000000149</v>
          </cell>
          <cell r="AW129"/>
          <cell r="AX129"/>
          <cell r="AY129"/>
          <cell r="BA129">
            <v>0</v>
          </cell>
        </row>
        <row r="130">
          <cell r="E130">
            <v>0</v>
          </cell>
          <cell r="F130"/>
          <cell r="G130"/>
          <cell r="H130"/>
          <cell r="I130">
            <v>0</v>
          </cell>
          <cell r="J130">
            <v>0</v>
          </cell>
          <cell r="AV130">
            <v>30.100000001490116</v>
          </cell>
          <cell r="AW130"/>
          <cell r="AX130"/>
          <cell r="AY130"/>
          <cell r="BA130">
            <v>0</v>
          </cell>
        </row>
        <row r="131">
          <cell r="E131">
            <v>477</v>
          </cell>
          <cell r="F131"/>
          <cell r="G131"/>
          <cell r="H131"/>
          <cell r="I131">
            <v>0</v>
          </cell>
          <cell r="J131">
            <v>477</v>
          </cell>
          <cell r="AV131">
            <v>76244.100000000006</v>
          </cell>
          <cell r="AW131"/>
          <cell r="AX131"/>
          <cell r="AY131"/>
          <cell r="BA131">
            <v>0</v>
          </cell>
        </row>
        <row r="132">
          <cell r="E132">
            <v>1039</v>
          </cell>
          <cell r="F132"/>
          <cell r="G132"/>
          <cell r="H132"/>
          <cell r="I132">
            <v>0</v>
          </cell>
          <cell r="J132">
            <v>1039</v>
          </cell>
          <cell r="AV132">
            <v>163115.79999999999</v>
          </cell>
          <cell r="AW132"/>
          <cell r="AX132"/>
          <cell r="AY132"/>
          <cell r="BA132">
            <v>0</v>
          </cell>
        </row>
        <row r="133">
          <cell r="E133">
            <v>176</v>
          </cell>
          <cell r="F133"/>
          <cell r="G133"/>
          <cell r="H133"/>
          <cell r="I133">
            <v>0</v>
          </cell>
          <cell r="J133">
            <v>176</v>
          </cell>
          <cell r="AV133">
            <v>28127.7</v>
          </cell>
          <cell r="AW133"/>
          <cell r="AX133"/>
          <cell r="AY133"/>
          <cell r="BA133">
            <v>0</v>
          </cell>
        </row>
        <row r="134">
          <cell r="E134">
            <v>105</v>
          </cell>
          <cell r="F134"/>
          <cell r="G134"/>
          <cell r="H134"/>
          <cell r="I134">
            <v>0</v>
          </cell>
          <cell r="J134">
            <v>105</v>
          </cell>
          <cell r="AV134">
            <v>16896.2</v>
          </cell>
          <cell r="AW134"/>
          <cell r="AX134"/>
          <cell r="AY134"/>
          <cell r="BA134">
            <v>0</v>
          </cell>
        </row>
        <row r="135">
          <cell r="E135">
            <v>110</v>
          </cell>
          <cell r="F135"/>
          <cell r="G135"/>
          <cell r="H135"/>
          <cell r="I135">
            <v>0</v>
          </cell>
          <cell r="J135">
            <v>110</v>
          </cell>
          <cell r="AV135">
            <v>17395</v>
          </cell>
          <cell r="AW135"/>
          <cell r="AX135"/>
          <cell r="AY135"/>
          <cell r="BA135">
            <v>0</v>
          </cell>
        </row>
        <row r="136">
          <cell r="E136">
            <v>123</v>
          </cell>
          <cell r="F136"/>
          <cell r="G136"/>
          <cell r="H136"/>
          <cell r="I136">
            <v>0</v>
          </cell>
          <cell r="J136">
            <v>123</v>
          </cell>
          <cell r="AV136">
            <v>19381.900000000001</v>
          </cell>
          <cell r="AW136"/>
          <cell r="AX136"/>
          <cell r="AY136"/>
          <cell r="BA136">
            <v>0</v>
          </cell>
        </row>
        <row r="137">
          <cell r="E137">
            <v>0</v>
          </cell>
          <cell r="F137"/>
          <cell r="G137"/>
          <cell r="H137"/>
          <cell r="I137">
            <v>0</v>
          </cell>
          <cell r="J137">
            <v>0</v>
          </cell>
          <cell r="AV137">
            <v>0</v>
          </cell>
          <cell r="AW137"/>
          <cell r="AX137"/>
          <cell r="AY137"/>
          <cell r="BA137">
            <v>0</v>
          </cell>
        </row>
        <row r="138">
          <cell r="E138">
            <v>0</v>
          </cell>
          <cell r="F138"/>
          <cell r="G138"/>
          <cell r="H138"/>
          <cell r="I138">
            <v>0</v>
          </cell>
          <cell r="J138">
            <v>0</v>
          </cell>
          <cell r="AV138">
            <v>0</v>
          </cell>
          <cell r="AW138"/>
          <cell r="AX138"/>
          <cell r="AY138"/>
          <cell r="BA138">
            <v>0</v>
          </cell>
        </row>
        <row r="139">
          <cell r="E139">
            <v>0</v>
          </cell>
          <cell r="F139"/>
          <cell r="G139"/>
          <cell r="H139"/>
          <cell r="I139">
            <v>0</v>
          </cell>
          <cell r="J139">
            <v>0</v>
          </cell>
          <cell r="AV139">
            <v>0</v>
          </cell>
          <cell r="AW139"/>
          <cell r="AX139"/>
          <cell r="AY139"/>
          <cell r="BA139">
            <v>0</v>
          </cell>
        </row>
        <row r="140">
          <cell r="E140">
            <v>0</v>
          </cell>
          <cell r="F140"/>
          <cell r="G140"/>
          <cell r="H140"/>
          <cell r="I140">
            <v>0</v>
          </cell>
          <cell r="J140">
            <v>0</v>
          </cell>
          <cell r="AV140">
            <v>0</v>
          </cell>
          <cell r="AW140"/>
          <cell r="AX140"/>
          <cell r="AY140"/>
          <cell r="BA140">
            <v>0</v>
          </cell>
        </row>
        <row r="141">
          <cell r="E141">
            <v>0</v>
          </cell>
          <cell r="F141"/>
          <cell r="G141"/>
          <cell r="H141"/>
          <cell r="I141">
            <v>0</v>
          </cell>
          <cell r="J141">
            <v>0</v>
          </cell>
          <cell r="AV141">
            <v>0</v>
          </cell>
          <cell r="AW141"/>
          <cell r="AX141"/>
          <cell r="AY141"/>
          <cell r="BA141">
            <v>0</v>
          </cell>
        </row>
        <row r="142">
          <cell r="E142">
            <v>0</v>
          </cell>
          <cell r="F142"/>
          <cell r="G142"/>
          <cell r="H142"/>
          <cell r="I142">
            <v>0</v>
          </cell>
          <cell r="J142">
            <v>0</v>
          </cell>
          <cell r="AV142">
            <v>0</v>
          </cell>
          <cell r="AW142"/>
          <cell r="AX142"/>
          <cell r="AY142"/>
          <cell r="BA142">
            <v>0</v>
          </cell>
        </row>
        <row r="143">
          <cell r="E143">
            <v>0</v>
          </cell>
          <cell r="F143"/>
          <cell r="G143"/>
          <cell r="H143"/>
          <cell r="I143">
            <v>0</v>
          </cell>
          <cell r="J143">
            <v>0</v>
          </cell>
          <cell r="AV143">
            <v>0</v>
          </cell>
          <cell r="AW143"/>
          <cell r="AX143"/>
          <cell r="AY143"/>
          <cell r="BA143">
            <v>0</v>
          </cell>
        </row>
        <row r="144">
          <cell r="E144">
            <v>0</v>
          </cell>
          <cell r="F144"/>
          <cell r="G144"/>
          <cell r="H144"/>
          <cell r="I144">
            <v>0</v>
          </cell>
          <cell r="J144">
            <v>0</v>
          </cell>
          <cell r="AV144">
            <v>0</v>
          </cell>
          <cell r="AW144"/>
          <cell r="AX144"/>
          <cell r="AY144"/>
          <cell r="BA144">
            <v>0</v>
          </cell>
        </row>
        <row r="145">
          <cell r="E145">
            <v>0</v>
          </cell>
          <cell r="F145"/>
          <cell r="G145"/>
          <cell r="H145"/>
          <cell r="I145">
            <v>0</v>
          </cell>
          <cell r="J145">
            <v>0</v>
          </cell>
          <cell r="AV145">
            <v>0</v>
          </cell>
          <cell r="AW145"/>
          <cell r="AX145"/>
          <cell r="AY145"/>
          <cell r="BA145">
            <v>0</v>
          </cell>
        </row>
        <row r="146">
          <cell r="E146">
            <v>0</v>
          </cell>
          <cell r="F146"/>
          <cell r="G146"/>
          <cell r="H146"/>
          <cell r="I146">
            <v>0</v>
          </cell>
          <cell r="J146">
            <v>0</v>
          </cell>
          <cell r="AV146">
            <v>0</v>
          </cell>
          <cell r="AW146"/>
          <cell r="AX146"/>
          <cell r="AY146"/>
          <cell r="BA146">
            <v>0</v>
          </cell>
        </row>
        <row r="147">
          <cell r="E147">
            <v>0</v>
          </cell>
          <cell r="F147"/>
          <cell r="G147"/>
          <cell r="H147"/>
          <cell r="I147">
            <v>0</v>
          </cell>
          <cell r="J147">
            <v>0</v>
          </cell>
          <cell r="AV147">
            <v>0</v>
          </cell>
          <cell r="AW147"/>
          <cell r="AX147"/>
          <cell r="AY147"/>
          <cell r="BA147">
            <v>0</v>
          </cell>
        </row>
        <row r="148">
          <cell r="E148">
            <v>0</v>
          </cell>
          <cell r="F148"/>
          <cell r="G148"/>
          <cell r="H148"/>
          <cell r="I148">
            <v>0</v>
          </cell>
          <cell r="J148">
            <v>0</v>
          </cell>
          <cell r="AV148">
            <v>0</v>
          </cell>
          <cell r="AW148"/>
          <cell r="AX148"/>
          <cell r="AY148"/>
          <cell r="BA148">
            <v>0</v>
          </cell>
        </row>
        <row r="149">
          <cell r="E149">
            <v>0</v>
          </cell>
          <cell r="F149"/>
          <cell r="G149"/>
          <cell r="H149"/>
          <cell r="I149">
            <v>0</v>
          </cell>
          <cell r="J149">
            <v>0</v>
          </cell>
          <cell r="AV149">
            <v>0</v>
          </cell>
          <cell r="AW149"/>
          <cell r="AX149"/>
          <cell r="AY149"/>
          <cell r="BA149">
            <v>0</v>
          </cell>
        </row>
        <row r="150">
          <cell r="E150">
            <v>0</v>
          </cell>
          <cell r="F150"/>
          <cell r="G150"/>
          <cell r="H150"/>
          <cell r="I150">
            <v>0</v>
          </cell>
          <cell r="J150">
            <v>0</v>
          </cell>
          <cell r="AV150">
            <v>0</v>
          </cell>
          <cell r="AW150"/>
          <cell r="AX150"/>
          <cell r="AY150"/>
          <cell r="BA150">
            <v>0</v>
          </cell>
        </row>
        <row r="151">
          <cell r="E151">
            <v>0</v>
          </cell>
          <cell r="F151"/>
          <cell r="G151"/>
          <cell r="H151"/>
          <cell r="I151">
            <v>0</v>
          </cell>
          <cell r="J151">
            <v>0</v>
          </cell>
          <cell r="AV151">
            <v>30.2</v>
          </cell>
          <cell r="AW151"/>
          <cell r="AX151"/>
          <cell r="AY151"/>
          <cell r="BA151">
            <v>0</v>
          </cell>
        </row>
        <row r="152">
          <cell r="E152">
            <v>80</v>
          </cell>
          <cell r="F152"/>
          <cell r="G152"/>
          <cell r="H152"/>
          <cell r="I152">
            <v>0</v>
          </cell>
          <cell r="J152">
            <v>80</v>
          </cell>
          <cell r="AV152">
            <v>14826.1</v>
          </cell>
          <cell r="AW152"/>
          <cell r="AX152"/>
          <cell r="AY152"/>
          <cell r="BA152">
            <v>0</v>
          </cell>
        </row>
        <row r="153">
          <cell r="E153">
            <v>0</v>
          </cell>
          <cell r="F153"/>
          <cell r="G153"/>
          <cell r="H153"/>
          <cell r="I153">
            <v>0</v>
          </cell>
          <cell r="J153">
            <v>0</v>
          </cell>
          <cell r="AV153">
            <v>0</v>
          </cell>
          <cell r="AW153"/>
          <cell r="AX153"/>
          <cell r="AY153"/>
          <cell r="BA153">
            <v>0</v>
          </cell>
        </row>
        <row r="154">
          <cell r="E154">
            <v>0</v>
          </cell>
          <cell r="F154"/>
          <cell r="G154"/>
          <cell r="H154"/>
          <cell r="I154">
            <v>0</v>
          </cell>
          <cell r="J154">
            <v>0</v>
          </cell>
          <cell r="AV154">
            <v>0</v>
          </cell>
          <cell r="AW154"/>
          <cell r="AX154"/>
          <cell r="AY154"/>
          <cell r="BA154">
            <v>0</v>
          </cell>
        </row>
        <row r="155">
          <cell r="E155">
            <v>0</v>
          </cell>
          <cell r="F155"/>
          <cell r="G155"/>
          <cell r="H155"/>
          <cell r="I155">
            <v>0</v>
          </cell>
          <cell r="J155">
            <v>0</v>
          </cell>
          <cell r="AV155">
            <v>0</v>
          </cell>
          <cell r="AW155"/>
          <cell r="AX155"/>
          <cell r="AY155"/>
          <cell r="BA155">
            <v>0</v>
          </cell>
        </row>
        <row r="156">
          <cell r="E156">
            <v>0</v>
          </cell>
          <cell r="F156"/>
          <cell r="G156"/>
          <cell r="H156"/>
          <cell r="I156">
            <v>0</v>
          </cell>
          <cell r="J156">
            <v>0</v>
          </cell>
          <cell r="AV156">
            <v>0</v>
          </cell>
          <cell r="AW156"/>
          <cell r="AX156"/>
          <cell r="AY156"/>
          <cell r="BA156">
            <v>0</v>
          </cell>
        </row>
        <row r="157">
          <cell r="E157">
            <v>0</v>
          </cell>
          <cell r="F157"/>
          <cell r="G157"/>
          <cell r="H157"/>
          <cell r="I157">
            <v>0</v>
          </cell>
          <cell r="J157">
            <v>0</v>
          </cell>
          <cell r="AV157">
            <v>0</v>
          </cell>
          <cell r="AW157"/>
          <cell r="AX157"/>
          <cell r="AY157"/>
          <cell r="BA157">
            <v>0</v>
          </cell>
        </row>
        <row r="158">
          <cell r="E158">
            <v>0</v>
          </cell>
          <cell r="F158"/>
          <cell r="G158"/>
          <cell r="H158"/>
          <cell r="I158">
            <v>0</v>
          </cell>
          <cell r="J158">
            <v>0</v>
          </cell>
          <cell r="AV158">
            <v>0</v>
          </cell>
          <cell r="AW158"/>
          <cell r="AX158"/>
          <cell r="AY158"/>
          <cell r="BA158">
            <v>0</v>
          </cell>
        </row>
        <row r="159">
          <cell r="E159">
            <v>0</v>
          </cell>
          <cell r="F159"/>
          <cell r="G159"/>
          <cell r="H159"/>
          <cell r="I159">
            <v>0</v>
          </cell>
          <cell r="J159">
            <v>0</v>
          </cell>
          <cell r="AV159">
            <v>0</v>
          </cell>
          <cell r="AW159"/>
          <cell r="AX159"/>
          <cell r="AY159"/>
          <cell r="BA159">
            <v>0</v>
          </cell>
        </row>
        <row r="160">
          <cell r="E160">
            <v>0</v>
          </cell>
          <cell r="F160"/>
          <cell r="G160"/>
          <cell r="H160"/>
          <cell r="I160">
            <v>0</v>
          </cell>
          <cell r="J160">
            <v>0</v>
          </cell>
          <cell r="AV160">
            <v>0</v>
          </cell>
          <cell r="AW160"/>
          <cell r="AX160"/>
          <cell r="AY160"/>
          <cell r="BA160">
            <v>0</v>
          </cell>
        </row>
        <row r="161">
          <cell r="E161">
            <v>0</v>
          </cell>
          <cell r="F161"/>
          <cell r="G161"/>
          <cell r="H161"/>
          <cell r="I161">
            <v>0</v>
          </cell>
          <cell r="J161">
            <v>0</v>
          </cell>
          <cell r="AV161">
            <v>0</v>
          </cell>
          <cell r="AW161"/>
          <cell r="AX161"/>
          <cell r="AY161"/>
          <cell r="BA161">
            <v>0</v>
          </cell>
        </row>
        <row r="162">
          <cell r="E162">
            <v>0</v>
          </cell>
          <cell r="F162"/>
          <cell r="G162"/>
          <cell r="H162"/>
          <cell r="I162">
            <v>0</v>
          </cell>
          <cell r="J162">
            <v>0</v>
          </cell>
          <cell r="AV162">
            <v>0</v>
          </cell>
          <cell r="AW162"/>
          <cell r="AX162"/>
          <cell r="AY162"/>
          <cell r="BA162">
            <v>0</v>
          </cell>
        </row>
        <row r="163">
          <cell r="E163">
            <v>0</v>
          </cell>
          <cell r="F163"/>
          <cell r="G163"/>
          <cell r="H163"/>
          <cell r="I163">
            <v>0</v>
          </cell>
          <cell r="J163">
            <v>0</v>
          </cell>
          <cell r="AV163">
            <v>0</v>
          </cell>
          <cell r="AW163"/>
          <cell r="AX163"/>
          <cell r="AY163"/>
          <cell r="BA163">
            <v>0</v>
          </cell>
        </row>
        <row r="164">
          <cell r="E164">
            <v>0</v>
          </cell>
          <cell r="F164"/>
          <cell r="G164"/>
          <cell r="H164"/>
          <cell r="I164">
            <v>0</v>
          </cell>
          <cell r="J164">
            <v>0</v>
          </cell>
          <cell r="AV164">
            <v>0</v>
          </cell>
          <cell r="AW164"/>
          <cell r="AX164"/>
          <cell r="AY164"/>
          <cell r="BA164">
            <v>0</v>
          </cell>
        </row>
        <row r="165">
          <cell r="E165">
            <v>0</v>
          </cell>
          <cell r="F165"/>
          <cell r="G165"/>
          <cell r="H165"/>
          <cell r="I165">
            <v>0</v>
          </cell>
          <cell r="J165">
            <v>0</v>
          </cell>
          <cell r="AV165">
            <v>0</v>
          </cell>
          <cell r="AW165"/>
          <cell r="AX165"/>
          <cell r="AY165"/>
          <cell r="BA165">
            <v>0</v>
          </cell>
        </row>
        <row r="166">
          <cell r="E166">
            <v>0</v>
          </cell>
          <cell r="F166"/>
          <cell r="G166"/>
          <cell r="H166"/>
          <cell r="I166">
            <v>0</v>
          </cell>
          <cell r="J166">
            <v>0</v>
          </cell>
          <cell r="AV166">
            <v>0</v>
          </cell>
          <cell r="AW166"/>
          <cell r="AX166"/>
          <cell r="AY166"/>
          <cell r="BA166">
            <v>0</v>
          </cell>
        </row>
        <row r="167">
          <cell r="E167">
            <v>0</v>
          </cell>
          <cell r="F167"/>
          <cell r="G167"/>
          <cell r="H167"/>
          <cell r="I167">
            <v>0</v>
          </cell>
          <cell r="J167">
            <v>0</v>
          </cell>
          <cell r="AV167">
            <v>0</v>
          </cell>
          <cell r="AW167"/>
          <cell r="AX167"/>
          <cell r="AY167"/>
          <cell r="BA167">
            <v>0</v>
          </cell>
        </row>
        <row r="168">
          <cell r="E168">
            <v>0</v>
          </cell>
          <cell r="F168"/>
          <cell r="G168"/>
          <cell r="H168"/>
          <cell r="I168">
            <v>0</v>
          </cell>
          <cell r="J168">
            <v>0</v>
          </cell>
          <cell r="AV168">
            <v>0</v>
          </cell>
          <cell r="AW168"/>
          <cell r="AX168"/>
          <cell r="AY168"/>
          <cell r="BA168">
            <v>0</v>
          </cell>
        </row>
        <row r="169">
          <cell r="E169">
            <v>0</v>
          </cell>
          <cell r="F169"/>
          <cell r="G169"/>
          <cell r="H169"/>
          <cell r="I169">
            <v>0</v>
          </cell>
          <cell r="J169">
            <v>0</v>
          </cell>
          <cell r="AV169">
            <v>0</v>
          </cell>
          <cell r="AW169"/>
          <cell r="AX169"/>
          <cell r="AY169"/>
          <cell r="BA169">
            <v>0</v>
          </cell>
        </row>
        <row r="170">
          <cell r="E170">
            <v>0</v>
          </cell>
          <cell r="F170"/>
          <cell r="G170"/>
          <cell r="H170"/>
          <cell r="I170">
            <v>0</v>
          </cell>
          <cell r="J170">
            <v>0</v>
          </cell>
          <cell r="AV170">
            <v>0</v>
          </cell>
          <cell r="AW170"/>
          <cell r="AX170"/>
          <cell r="AY170"/>
          <cell r="BA170">
            <v>0</v>
          </cell>
        </row>
        <row r="171">
          <cell r="E171">
            <v>0</v>
          </cell>
          <cell r="F171"/>
          <cell r="G171"/>
          <cell r="H171"/>
          <cell r="I171">
            <v>0</v>
          </cell>
          <cell r="J171">
            <v>0</v>
          </cell>
          <cell r="AV171">
            <v>0</v>
          </cell>
          <cell r="AW171"/>
          <cell r="AX171"/>
          <cell r="AY171"/>
          <cell r="BA171">
            <v>0</v>
          </cell>
        </row>
        <row r="172">
          <cell r="E172">
            <v>0</v>
          </cell>
          <cell r="F172"/>
          <cell r="G172"/>
          <cell r="H172"/>
          <cell r="I172">
            <v>0</v>
          </cell>
          <cell r="J172">
            <v>0</v>
          </cell>
          <cell r="AV172">
            <v>0</v>
          </cell>
          <cell r="AW172"/>
          <cell r="AX172"/>
          <cell r="AY172"/>
          <cell r="BA172">
            <v>0</v>
          </cell>
        </row>
        <row r="173">
          <cell r="E173">
            <v>0</v>
          </cell>
          <cell r="F173"/>
          <cell r="G173"/>
          <cell r="H173"/>
          <cell r="I173">
            <v>0</v>
          </cell>
          <cell r="J173">
            <v>0</v>
          </cell>
          <cell r="AV173">
            <v>0</v>
          </cell>
          <cell r="AW173"/>
          <cell r="AX173"/>
          <cell r="AY173"/>
          <cell r="BA173">
            <v>0</v>
          </cell>
        </row>
        <row r="174">
          <cell r="E174">
            <v>0</v>
          </cell>
          <cell r="F174"/>
          <cell r="G174"/>
          <cell r="H174"/>
          <cell r="I174">
            <v>0</v>
          </cell>
          <cell r="J174">
            <v>0</v>
          </cell>
          <cell r="AV174">
            <v>0</v>
          </cell>
          <cell r="AW174"/>
          <cell r="AX174"/>
          <cell r="AY174"/>
          <cell r="BA174">
            <v>0</v>
          </cell>
        </row>
        <row r="175"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BA175">
            <v>0</v>
          </cell>
        </row>
        <row r="176"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BA176">
            <v>0</v>
          </cell>
        </row>
        <row r="177"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BA177">
            <v>0</v>
          </cell>
        </row>
        <row r="178"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BA178">
            <v>0</v>
          </cell>
        </row>
        <row r="179"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BA179">
            <v>0</v>
          </cell>
        </row>
        <row r="180"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BA180">
            <v>0</v>
          </cell>
        </row>
        <row r="181"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BA181">
            <v>0</v>
          </cell>
        </row>
        <row r="182"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BA182">
            <v>0</v>
          </cell>
        </row>
        <row r="183"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BA183">
            <v>0</v>
          </cell>
        </row>
        <row r="184"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BA184">
            <v>0</v>
          </cell>
        </row>
        <row r="185"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BA185">
            <v>0</v>
          </cell>
        </row>
        <row r="186">
          <cell r="E186">
            <v>97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97</v>
          </cell>
          <cell r="AV186">
            <v>18276.70000000298</v>
          </cell>
          <cell r="AW186">
            <v>0</v>
          </cell>
          <cell r="AX186">
            <v>0</v>
          </cell>
          <cell r="AY186">
            <v>0</v>
          </cell>
          <cell r="BA186">
            <v>0</v>
          </cell>
        </row>
        <row r="187"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BA187">
            <v>0</v>
          </cell>
        </row>
        <row r="188"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BA188">
            <v>0</v>
          </cell>
        </row>
        <row r="189"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BA189">
            <v>0</v>
          </cell>
        </row>
        <row r="190">
          <cell r="E190">
            <v>270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270</v>
          </cell>
          <cell r="AV190">
            <v>42185.98</v>
          </cell>
          <cell r="AW190">
            <v>0</v>
          </cell>
          <cell r="AX190">
            <v>0</v>
          </cell>
          <cell r="AY190">
            <v>0</v>
          </cell>
          <cell r="BA190">
            <v>0</v>
          </cell>
        </row>
        <row r="191">
          <cell r="E191">
            <v>270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270</v>
          </cell>
          <cell r="AV191">
            <v>40229.730000000003</v>
          </cell>
          <cell r="AW191">
            <v>0</v>
          </cell>
          <cell r="AX191">
            <v>0</v>
          </cell>
          <cell r="AY191">
            <v>0</v>
          </cell>
          <cell r="BA191">
            <v>0</v>
          </cell>
        </row>
        <row r="192">
          <cell r="E192">
            <v>227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227</v>
          </cell>
          <cell r="AV192">
            <v>34156.6</v>
          </cell>
          <cell r="AW192">
            <v>0</v>
          </cell>
          <cell r="AX192">
            <v>0</v>
          </cell>
          <cell r="AY192">
            <v>0</v>
          </cell>
          <cell r="BA192">
            <v>0</v>
          </cell>
        </row>
        <row r="193"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BA193">
            <v>0</v>
          </cell>
        </row>
        <row r="194"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BA194">
            <v>0</v>
          </cell>
        </row>
        <row r="195"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BA195">
            <v>0</v>
          </cell>
        </row>
        <row r="196"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BA196">
            <v>0</v>
          </cell>
        </row>
        <row r="197"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BA197">
            <v>0</v>
          </cell>
        </row>
        <row r="198"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BA198">
            <v>0</v>
          </cell>
        </row>
        <row r="199"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BA199">
            <v>0</v>
          </cell>
        </row>
        <row r="200"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BA200">
            <v>0</v>
          </cell>
        </row>
        <row r="201"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BA201">
            <v>0</v>
          </cell>
        </row>
        <row r="202"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BA202">
            <v>0</v>
          </cell>
        </row>
        <row r="203"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BA203">
            <v>0</v>
          </cell>
        </row>
        <row r="204"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BA204">
            <v>0</v>
          </cell>
        </row>
        <row r="205"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BA205">
            <v>0</v>
          </cell>
        </row>
        <row r="206"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BA206">
            <v>0</v>
          </cell>
        </row>
        <row r="207"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BA207">
            <v>0</v>
          </cell>
        </row>
        <row r="208"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BA208">
            <v>0</v>
          </cell>
        </row>
        <row r="209"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BA209">
            <v>0</v>
          </cell>
        </row>
        <row r="210"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BA210">
            <v>0</v>
          </cell>
        </row>
        <row r="211">
          <cell r="E211">
            <v>98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98</v>
          </cell>
          <cell r="AV211">
            <v>18060.5</v>
          </cell>
          <cell r="AW211">
            <v>0</v>
          </cell>
          <cell r="AX211">
            <v>0</v>
          </cell>
          <cell r="AY211">
            <v>0</v>
          </cell>
          <cell r="BA211">
            <v>0</v>
          </cell>
        </row>
        <row r="212">
          <cell r="E212">
            <v>101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101</v>
          </cell>
          <cell r="AV212">
            <v>15691.7</v>
          </cell>
          <cell r="AW212">
            <v>0</v>
          </cell>
          <cell r="AX212">
            <v>0</v>
          </cell>
          <cell r="AY212">
            <v>0</v>
          </cell>
          <cell r="BA212">
            <v>0</v>
          </cell>
        </row>
        <row r="213"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BA213">
            <v>0</v>
          </cell>
        </row>
        <row r="214"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AV214">
            <v>0.5</v>
          </cell>
          <cell r="AW214">
            <v>0</v>
          </cell>
          <cell r="AX214">
            <v>0</v>
          </cell>
          <cell r="AY214">
            <v>0</v>
          </cell>
          <cell r="BA214">
            <v>0</v>
          </cell>
        </row>
        <row r="215"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BA215">
            <v>0</v>
          </cell>
        </row>
        <row r="216"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BA216">
            <v>0</v>
          </cell>
        </row>
        <row r="217"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BA217">
            <v>0</v>
          </cell>
        </row>
        <row r="218"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BA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BA219">
            <v>0</v>
          </cell>
        </row>
        <row r="220"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BA220">
            <v>0</v>
          </cell>
        </row>
        <row r="221"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BA221">
            <v>0</v>
          </cell>
        </row>
        <row r="222"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BA222">
            <v>0</v>
          </cell>
        </row>
        <row r="223"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BA223">
            <v>0</v>
          </cell>
        </row>
        <row r="224"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BA224">
            <v>0</v>
          </cell>
        </row>
        <row r="225"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BA225">
            <v>0</v>
          </cell>
        </row>
        <row r="226"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BA226">
            <v>0</v>
          </cell>
        </row>
        <row r="227"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BA227">
            <v>0</v>
          </cell>
        </row>
        <row r="228"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BA228">
            <v>0</v>
          </cell>
        </row>
        <row r="229"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BA229">
            <v>0</v>
          </cell>
        </row>
        <row r="230"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BA230">
            <v>0</v>
          </cell>
        </row>
        <row r="231"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BA231">
            <v>0</v>
          </cell>
        </row>
        <row r="232">
          <cell r="E232">
            <v>99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99</v>
          </cell>
          <cell r="AV232">
            <v>18765.69999999553</v>
          </cell>
          <cell r="AW232">
            <v>0</v>
          </cell>
          <cell r="AX232">
            <v>0</v>
          </cell>
          <cell r="AY232">
            <v>0</v>
          </cell>
          <cell r="BA232">
            <v>0</v>
          </cell>
        </row>
        <row r="233">
          <cell r="E233">
            <v>97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97</v>
          </cell>
          <cell r="AV233">
            <v>15166.10000000149</v>
          </cell>
          <cell r="AW233">
            <v>0</v>
          </cell>
          <cell r="AX233">
            <v>0</v>
          </cell>
          <cell r="AY233">
            <v>0</v>
          </cell>
          <cell r="BA233">
            <v>0</v>
          </cell>
        </row>
        <row r="234"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BA234">
            <v>0</v>
          </cell>
        </row>
        <row r="235">
          <cell r="E235">
            <v>149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149</v>
          </cell>
          <cell r="AV235">
            <v>23492.880000002682</v>
          </cell>
          <cell r="AW235">
            <v>0</v>
          </cell>
          <cell r="AX235">
            <v>0</v>
          </cell>
          <cell r="AY235">
            <v>0</v>
          </cell>
          <cell r="BA235">
            <v>0</v>
          </cell>
        </row>
        <row r="236">
          <cell r="E236">
            <v>137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137</v>
          </cell>
          <cell r="AV236">
            <v>21211.789999999106</v>
          </cell>
          <cell r="AW236">
            <v>0</v>
          </cell>
          <cell r="AX236">
            <v>0</v>
          </cell>
          <cell r="AY236">
            <v>0</v>
          </cell>
          <cell r="BA236">
            <v>0</v>
          </cell>
        </row>
        <row r="237"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BA237">
            <v>0</v>
          </cell>
        </row>
        <row r="238"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BA238">
            <v>0</v>
          </cell>
        </row>
        <row r="239">
          <cell r="E239">
            <v>139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139</v>
          </cell>
          <cell r="AV239">
            <v>22622.929999999702</v>
          </cell>
          <cell r="AW239">
            <v>0</v>
          </cell>
          <cell r="AX239">
            <v>0</v>
          </cell>
          <cell r="AY239">
            <v>0</v>
          </cell>
          <cell r="BA239">
            <v>0</v>
          </cell>
        </row>
        <row r="240">
          <cell r="E240">
            <v>219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219</v>
          </cell>
          <cell r="AV240">
            <v>33332.19999999553</v>
          </cell>
          <cell r="AW240">
            <v>0</v>
          </cell>
          <cell r="AX240">
            <v>0</v>
          </cell>
          <cell r="AY240">
            <v>0</v>
          </cell>
          <cell r="BA240">
            <v>0</v>
          </cell>
        </row>
        <row r="241"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BA241">
            <v>0</v>
          </cell>
        </row>
        <row r="242"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BA242">
            <v>0</v>
          </cell>
        </row>
        <row r="243"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BA243">
            <v>0</v>
          </cell>
        </row>
        <row r="244"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BA244">
            <v>0</v>
          </cell>
        </row>
        <row r="245"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BA245">
            <v>0</v>
          </cell>
        </row>
        <row r="246">
          <cell r="E246">
            <v>115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115</v>
          </cell>
          <cell r="AV246">
            <v>20142.370000004768</v>
          </cell>
          <cell r="AW246">
            <v>0</v>
          </cell>
          <cell r="AX246">
            <v>0</v>
          </cell>
          <cell r="AY246">
            <v>0</v>
          </cell>
          <cell r="BA246">
            <v>0</v>
          </cell>
        </row>
        <row r="247"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BA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BA248">
            <v>0</v>
          </cell>
        </row>
        <row r="249"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BA249">
            <v>0</v>
          </cell>
        </row>
        <row r="250"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BA250">
            <v>0</v>
          </cell>
        </row>
        <row r="251"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BA251">
            <v>0</v>
          </cell>
        </row>
        <row r="252"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BA252">
            <v>0</v>
          </cell>
        </row>
        <row r="253"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BA253">
            <v>0</v>
          </cell>
        </row>
        <row r="254"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BA254">
            <v>0</v>
          </cell>
        </row>
        <row r="255"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BA255">
            <v>0</v>
          </cell>
        </row>
        <row r="256"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BA256">
            <v>0</v>
          </cell>
        </row>
        <row r="257"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BA257">
            <v>0</v>
          </cell>
        </row>
        <row r="258"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BA258">
            <v>0</v>
          </cell>
        </row>
        <row r="259"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BA259">
            <v>0</v>
          </cell>
        </row>
        <row r="260"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BA260">
            <v>0</v>
          </cell>
        </row>
        <row r="261"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BA261">
            <v>0</v>
          </cell>
        </row>
        <row r="262"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BA262">
            <v>0</v>
          </cell>
        </row>
        <row r="263"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BA263">
            <v>0</v>
          </cell>
        </row>
        <row r="264"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BA264">
            <v>0</v>
          </cell>
        </row>
        <row r="265"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BA265">
            <v>0</v>
          </cell>
        </row>
        <row r="266"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BA266">
            <v>0</v>
          </cell>
        </row>
        <row r="267"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BA267">
            <v>0</v>
          </cell>
        </row>
        <row r="268"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BA268">
            <v>0</v>
          </cell>
        </row>
        <row r="269"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BA269">
            <v>0</v>
          </cell>
        </row>
        <row r="270"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BA270">
            <v>0</v>
          </cell>
        </row>
        <row r="271"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BA271">
            <v>0</v>
          </cell>
        </row>
        <row r="272"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BA272">
            <v>0</v>
          </cell>
        </row>
        <row r="273"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BA273">
            <v>0</v>
          </cell>
        </row>
        <row r="274"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BA274">
            <v>0</v>
          </cell>
        </row>
        <row r="275"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BA275">
            <v>0</v>
          </cell>
        </row>
        <row r="276"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BA276">
            <v>0</v>
          </cell>
        </row>
        <row r="277"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BA277">
            <v>0</v>
          </cell>
        </row>
        <row r="278"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BA278">
            <v>0</v>
          </cell>
        </row>
        <row r="279"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BA279">
            <v>0</v>
          </cell>
        </row>
        <row r="280"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BA280">
            <v>0</v>
          </cell>
        </row>
        <row r="281"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BA281">
            <v>0</v>
          </cell>
        </row>
        <row r="282"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BA282">
            <v>0</v>
          </cell>
        </row>
        <row r="283"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BA283">
            <v>0</v>
          </cell>
        </row>
        <row r="284"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BA284">
            <v>0</v>
          </cell>
        </row>
        <row r="285"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BA285">
            <v>0</v>
          </cell>
        </row>
        <row r="286"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BA286">
            <v>0</v>
          </cell>
        </row>
        <row r="287"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BA287">
            <v>0</v>
          </cell>
        </row>
        <row r="288"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BA288">
            <v>0</v>
          </cell>
        </row>
        <row r="289"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BA289">
            <v>0</v>
          </cell>
        </row>
        <row r="290"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BA290">
            <v>0</v>
          </cell>
        </row>
        <row r="291"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BA291">
            <v>0</v>
          </cell>
        </row>
        <row r="292"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BA292">
            <v>0</v>
          </cell>
        </row>
        <row r="293"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BA293">
            <v>0</v>
          </cell>
        </row>
        <row r="294"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BA294">
            <v>0</v>
          </cell>
        </row>
        <row r="295">
          <cell r="E295">
            <v>313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313</v>
          </cell>
          <cell r="AV295">
            <v>53261.559999994934</v>
          </cell>
          <cell r="AW295">
            <v>0</v>
          </cell>
          <cell r="AX295">
            <v>0</v>
          </cell>
          <cell r="AY295">
            <v>0</v>
          </cell>
          <cell r="BA295">
            <v>0</v>
          </cell>
        </row>
        <row r="296"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BA296">
            <v>0</v>
          </cell>
        </row>
        <row r="297"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BA297">
            <v>0</v>
          </cell>
        </row>
        <row r="298"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BA298">
            <v>0</v>
          </cell>
        </row>
        <row r="299"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BA299">
            <v>0</v>
          </cell>
        </row>
        <row r="300"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BA300">
            <v>0</v>
          </cell>
        </row>
        <row r="301"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BA301">
            <v>0</v>
          </cell>
        </row>
        <row r="302"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BA302">
            <v>0</v>
          </cell>
        </row>
        <row r="303"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BA303">
            <v>0</v>
          </cell>
        </row>
        <row r="304"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BA304">
            <v>0</v>
          </cell>
        </row>
        <row r="305"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BA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BA306">
            <v>0</v>
          </cell>
        </row>
        <row r="307"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BA307">
            <v>0</v>
          </cell>
        </row>
        <row r="308"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BA308">
            <v>0</v>
          </cell>
        </row>
        <row r="309"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BA309">
            <v>0</v>
          </cell>
        </row>
        <row r="310">
          <cell r="E310">
            <v>95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95</v>
          </cell>
          <cell r="AV310">
            <v>18151</v>
          </cell>
          <cell r="AW310">
            <v>0</v>
          </cell>
          <cell r="AX310">
            <v>0</v>
          </cell>
          <cell r="AY310">
            <v>0</v>
          </cell>
          <cell r="BA310">
            <v>0</v>
          </cell>
        </row>
        <row r="311"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BA311">
            <v>0</v>
          </cell>
        </row>
        <row r="312"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BA312">
            <v>0</v>
          </cell>
        </row>
        <row r="313"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BA313">
            <v>0</v>
          </cell>
        </row>
        <row r="314"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BA314">
            <v>0</v>
          </cell>
        </row>
        <row r="315"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BA315">
            <v>0</v>
          </cell>
        </row>
        <row r="316"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AV316">
            <v>31.119999997317791</v>
          </cell>
          <cell r="AW316">
            <v>0</v>
          </cell>
          <cell r="AX316">
            <v>0</v>
          </cell>
          <cell r="AY316">
            <v>0</v>
          </cell>
          <cell r="BA316">
            <v>0</v>
          </cell>
        </row>
        <row r="317"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BA317">
            <v>0</v>
          </cell>
        </row>
        <row r="318"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BA318">
            <v>0</v>
          </cell>
        </row>
        <row r="319"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BA319">
            <v>0</v>
          </cell>
        </row>
        <row r="320"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BA320">
            <v>0</v>
          </cell>
        </row>
        <row r="321"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BA321">
            <v>0</v>
          </cell>
        </row>
        <row r="322"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BA322">
            <v>0</v>
          </cell>
        </row>
        <row r="323">
          <cell r="E323">
            <v>573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573</v>
          </cell>
          <cell r="AV323">
            <v>94613.740000002086</v>
          </cell>
          <cell r="AW323">
            <v>0</v>
          </cell>
          <cell r="AX323">
            <v>0</v>
          </cell>
          <cell r="AY323">
            <v>0</v>
          </cell>
          <cell r="BA323">
            <v>0</v>
          </cell>
        </row>
        <row r="324">
          <cell r="E324">
            <v>1165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1165</v>
          </cell>
          <cell r="AV324">
            <v>185693.47999999672</v>
          </cell>
          <cell r="AW324">
            <v>0</v>
          </cell>
          <cell r="AX324">
            <v>0</v>
          </cell>
          <cell r="AY324">
            <v>0</v>
          </cell>
          <cell r="BA324">
            <v>0</v>
          </cell>
        </row>
        <row r="325">
          <cell r="E325">
            <v>774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774</v>
          </cell>
          <cell r="AV325">
            <v>122856.78000000119</v>
          </cell>
          <cell r="AW325">
            <v>0</v>
          </cell>
          <cell r="AX325">
            <v>0</v>
          </cell>
          <cell r="AY325">
            <v>0</v>
          </cell>
          <cell r="BA325">
            <v>0</v>
          </cell>
        </row>
        <row r="326">
          <cell r="E326">
            <v>540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540</v>
          </cell>
          <cell r="AV326">
            <v>84943.5</v>
          </cell>
          <cell r="AW326">
            <v>0</v>
          </cell>
          <cell r="AX326">
            <v>0</v>
          </cell>
          <cell r="AY326">
            <v>0</v>
          </cell>
          <cell r="BA326">
            <v>0</v>
          </cell>
        </row>
        <row r="327">
          <cell r="E327">
            <v>768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768</v>
          </cell>
          <cell r="AV327">
            <v>120596.89999999851</v>
          </cell>
          <cell r="AW327">
            <v>0</v>
          </cell>
          <cell r="AX327">
            <v>0</v>
          </cell>
          <cell r="AY327">
            <v>0</v>
          </cell>
          <cell r="BA327">
            <v>0</v>
          </cell>
        </row>
        <row r="328">
          <cell r="E328">
            <v>379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379</v>
          </cell>
          <cell r="AV328">
            <v>61794.1</v>
          </cell>
          <cell r="AW328">
            <v>0</v>
          </cell>
          <cell r="AX328">
            <v>0</v>
          </cell>
          <cell r="AY328">
            <v>0</v>
          </cell>
          <cell r="BA328">
            <v>0</v>
          </cell>
        </row>
        <row r="329"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BA329">
            <v>0</v>
          </cell>
        </row>
        <row r="330">
          <cell r="E330">
            <v>674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674</v>
          </cell>
          <cell r="AV330">
            <v>108039.94000000507</v>
          </cell>
          <cell r="AW330">
            <v>0</v>
          </cell>
          <cell r="AX330">
            <v>0</v>
          </cell>
          <cell r="AY330">
            <v>0</v>
          </cell>
          <cell r="BA330">
            <v>0</v>
          </cell>
        </row>
        <row r="331">
          <cell r="E331">
            <v>686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686</v>
          </cell>
          <cell r="AV331">
            <v>108252.71999999881</v>
          </cell>
          <cell r="AW331">
            <v>0</v>
          </cell>
          <cell r="AX331">
            <v>0</v>
          </cell>
          <cell r="AY331">
            <v>0</v>
          </cell>
          <cell r="BA331">
            <v>0</v>
          </cell>
        </row>
        <row r="332">
          <cell r="E332">
            <v>658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658</v>
          </cell>
          <cell r="AV332">
            <v>104215.21999999881</v>
          </cell>
          <cell r="AW332">
            <v>0</v>
          </cell>
          <cell r="AX332">
            <v>0</v>
          </cell>
          <cell r="AY332">
            <v>0</v>
          </cell>
          <cell r="BA332">
            <v>0</v>
          </cell>
        </row>
        <row r="333">
          <cell r="E333">
            <v>679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679</v>
          </cell>
          <cell r="AV333">
            <v>106953.59000000358</v>
          </cell>
          <cell r="AW333">
            <v>0</v>
          </cell>
          <cell r="AX333">
            <v>0</v>
          </cell>
          <cell r="AY333">
            <v>0</v>
          </cell>
          <cell r="BA333">
            <v>0</v>
          </cell>
        </row>
        <row r="334">
          <cell r="E334">
            <v>836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836</v>
          </cell>
          <cell r="AV334">
            <v>131915.64999999851</v>
          </cell>
          <cell r="AW334">
            <v>0</v>
          </cell>
          <cell r="AX334">
            <v>0</v>
          </cell>
          <cell r="AY334">
            <v>0</v>
          </cell>
          <cell r="BA334">
            <v>0</v>
          </cell>
        </row>
        <row r="335">
          <cell r="E335">
            <v>38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38</v>
          </cell>
          <cell r="AV335">
            <v>5113.1999999955297</v>
          </cell>
          <cell r="AW335">
            <v>0</v>
          </cell>
          <cell r="AX335">
            <v>0</v>
          </cell>
          <cell r="AY335">
            <v>0</v>
          </cell>
          <cell r="BA335">
            <v>0</v>
          </cell>
        </row>
        <row r="336"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BA336">
            <v>0</v>
          </cell>
        </row>
        <row r="337">
          <cell r="E337">
            <v>667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667</v>
          </cell>
          <cell r="AV337">
            <v>107252.7</v>
          </cell>
          <cell r="AW337">
            <v>0</v>
          </cell>
          <cell r="AX337">
            <v>0</v>
          </cell>
          <cell r="AY337">
            <v>0</v>
          </cell>
          <cell r="BA337">
            <v>0</v>
          </cell>
        </row>
        <row r="338">
          <cell r="E338">
            <v>814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814</v>
          </cell>
          <cell r="AV338">
            <v>128560.22000000626</v>
          </cell>
          <cell r="AW338">
            <v>0</v>
          </cell>
          <cell r="AX338">
            <v>0</v>
          </cell>
          <cell r="AY338">
            <v>0</v>
          </cell>
          <cell r="BA338">
            <v>0</v>
          </cell>
        </row>
        <row r="339">
          <cell r="E339">
            <v>1123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1123</v>
          </cell>
          <cell r="AV339">
            <v>175848.48999999464</v>
          </cell>
          <cell r="AW339">
            <v>0</v>
          </cell>
          <cell r="AX339">
            <v>0</v>
          </cell>
          <cell r="AY339">
            <v>0</v>
          </cell>
          <cell r="BA339">
            <v>0</v>
          </cell>
        </row>
        <row r="340">
          <cell r="E340">
            <v>1164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1164</v>
          </cell>
          <cell r="AV340">
            <v>185569.09000000358</v>
          </cell>
          <cell r="AW340">
            <v>0</v>
          </cell>
          <cell r="AX340">
            <v>0</v>
          </cell>
          <cell r="AY340">
            <v>0</v>
          </cell>
          <cell r="BA340">
            <v>0</v>
          </cell>
        </row>
        <row r="341">
          <cell r="E341">
            <v>1189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1189</v>
          </cell>
          <cell r="AV341">
            <v>189215.46999999881</v>
          </cell>
          <cell r="AW341">
            <v>0</v>
          </cell>
          <cell r="AX341">
            <v>0</v>
          </cell>
          <cell r="AY341">
            <v>0</v>
          </cell>
          <cell r="BA341">
            <v>0</v>
          </cell>
        </row>
        <row r="342">
          <cell r="E342">
            <v>931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931</v>
          </cell>
          <cell r="AV342">
            <v>147299.88000000268</v>
          </cell>
          <cell r="AW342">
            <v>0</v>
          </cell>
          <cell r="AX342">
            <v>0</v>
          </cell>
          <cell r="AY342">
            <v>0</v>
          </cell>
          <cell r="BA342">
            <v>0</v>
          </cell>
        </row>
        <row r="343">
          <cell r="E343">
            <v>57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57</v>
          </cell>
          <cell r="AV343">
            <v>7724.6199999973178</v>
          </cell>
          <cell r="AW343">
            <v>0</v>
          </cell>
          <cell r="AX343">
            <v>0</v>
          </cell>
          <cell r="AY343">
            <v>0</v>
          </cell>
          <cell r="BA343">
            <v>0</v>
          </cell>
        </row>
        <row r="344">
          <cell r="E344">
            <v>837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837</v>
          </cell>
          <cell r="AV344">
            <v>134413.45000000298</v>
          </cell>
          <cell r="AW344">
            <v>0</v>
          </cell>
          <cell r="AX344">
            <v>0</v>
          </cell>
          <cell r="AY344">
            <v>0</v>
          </cell>
          <cell r="BA344">
            <v>0</v>
          </cell>
        </row>
        <row r="345">
          <cell r="E345">
            <v>619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619</v>
          </cell>
          <cell r="AV345">
            <v>98792.29999999702</v>
          </cell>
          <cell r="AW345">
            <v>0</v>
          </cell>
          <cell r="AX345">
            <v>0</v>
          </cell>
          <cell r="AY345">
            <v>0</v>
          </cell>
          <cell r="BA345">
            <v>0</v>
          </cell>
        </row>
        <row r="346">
          <cell r="E346">
            <v>847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847</v>
          </cell>
          <cell r="AV346">
            <v>131662.54999999702</v>
          </cell>
          <cell r="AW346">
            <v>0</v>
          </cell>
          <cell r="AX346">
            <v>0</v>
          </cell>
          <cell r="AY346">
            <v>0</v>
          </cell>
          <cell r="BA346">
            <v>0</v>
          </cell>
        </row>
        <row r="347">
          <cell r="E347">
            <v>991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991</v>
          </cell>
          <cell r="AV347">
            <v>160763.66000000387</v>
          </cell>
          <cell r="AW347">
            <v>0</v>
          </cell>
          <cell r="AX347">
            <v>0</v>
          </cell>
          <cell r="AY347">
            <v>0</v>
          </cell>
          <cell r="BA347">
            <v>0</v>
          </cell>
        </row>
        <row r="348">
          <cell r="E348">
            <v>907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907</v>
          </cell>
          <cell r="AV348">
            <v>143627.8599999994</v>
          </cell>
          <cell r="AW348">
            <v>0</v>
          </cell>
          <cell r="AX348">
            <v>0</v>
          </cell>
          <cell r="AY348">
            <v>0</v>
          </cell>
          <cell r="BA348">
            <v>0</v>
          </cell>
        </row>
        <row r="349">
          <cell r="E349">
            <v>446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446</v>
          </cell>
          <cell r="AV349">
            <v>69954.85000000149</v>
          </cell>
          <cell r="AW349">
            <v>0</v>
          </cell>
          <cell r="AX349">
            <v>0</v>
          </cell>
          <cell r="AY349">
            <v>0</v>
          </cell>
          <cell r="BA349">
            <v>0</v>
          </cell>
        </row>
        <row r="350">
          <cell r="E350">
            <v>448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448</v>
          </cell>
          <cell r="AV350">
            <v>70998.609999999404</v>
          </cell>
          <cell r="AW350">
            <v>0</v>
          </cell>
          <cell r="AX350">
            <v>0</v>
          </cell>
          <cell r="AY350">
            <v>0</v>
          </cell>
          <cell r="BA350">
            <v>0</v>
          </cell>
        </row>
        <row r="351">
          <cell r="E351">
            <v>887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887</v>
          </cell>
          <cell r="AV351">
            <v>140383.18999999762</v>
          </cell>
          <cell r="AW351">
            <v>0</v>
          </cell>
          <cell r="AX351">
            <v>0</v>
          </cell>
          <cell r="AY351">
            <v>0</v>
          </cell>
          <cell r="BA351">
            <v>0</v>
          </cell>
        </row>
        <row r="352">
          <cell r="E352">
            <v>1135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1135</v>
          </cell>
          <cell r="AV352">
            <v>178242.17000000179</v>
          </cell>
          <cell r="AW352">
            <v>0</v>
          </cell>
          <cell r="AX352">
            <v>0</v>
          </cell>
          <cell r="AY352">
            <v>0</v>
          </cell>
          <cell r="BA352">
            <v>0</v>
          </cell>
        </row>
        <row r="353">
          <cell r="E353">
            <v>894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894</v>
          </cell>
          <cell r="AV353">
            <v>139779.90999999642</v>
          </cell>
          <cell r="AW353">
            <v>0</v>
          </cell>
          <cell r="AX353">
            <v>0</v>
          </cell>
          <cell r="AY353">
            <v>0</v>
          </cell>
          <cell r="BA353">
            <v>0</v>
          </cell>
        </row>
        <row r="354">
          <cell r="E354">
            <v>905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905</v>
          </cell>
          <cell r="AV354">
            <v>141729.70000000298</v>
          </cell>
          <cell r="AW354">
            <v>0</v>
          </cell>
          <cell r="AX354">
            <v>0</v>
          </cell>
          <cell r="AY354">
            <v>0</v>
          </cell>
          <cell r="BA354">
            <v>0</v>
          </cell>
        </row>
        <row r="355">
          <cell r="E355">
            <v>880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880</v>
          </cell>
          <cell r="AV355">
            <v>138293.6099999994</v>
          </cell>
          <cell r="AW355">
            <v>0</v>
          </cell>
          <cell r="AX355">
            <v>0</v>
          </cell>
          <cell r="AY355">
            <v>0</v>
          </cell>
          <cell r="BA355">
            <v>0</v>
          </cell>
        </row>
        <row r="356">
          <cell r="E356">
            <v>271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271</v>
          </cell>
          <cell r="AV356">
            <v>43357.329999998212</v>
          </cell>
          <cell r="AW356">
            <v>0</v>
          </cell>
          <cell r="AX356">
            <v>0</v>
          </cell>
          <cell r="AY356">
            <v>0</v>
          </cell>
          <cell r="BA356">
            <v>0</v>
          </cell>
        </row>
        <row r="357">
          <cell r="E357">
            <v>367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367</v>
          </cell>
          <cell r="AV357">
            <v>58833.840000003576</v>
          </cell>
          <cell r="AW357">
            <v>0</v>
          </cell>
          <cell r="AX357">
            <v>0</v>
          </cell>
          <cell r="AY357">
            <v>0</v>
          </cell>
          <cell r="BA357">
            <v>0</v>
          </cell>
        </row>
        <row r="358">
          <cell r="E358">
            <v>1138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1138</v>
          </cell>
          <cell r="AV358">
            <v>180382.43999999762</v>
          </cell>
          <cell r="AW358">
            <v>0</v>
          </cell>
          <cell r="AX358">
            <v>0</v>
          </cell>
          <cell r="AY358">
            <v>0</v>
          </cell>
          <cell r="BA358">
            <v>0</v>
          </cell>
        </row>
        <row r="359">
          <cell r="E359">
            <v>1035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1035</v>
          </cell>
          <cell r="AV359">
            <v>161707</v>
          </cell>
          <cell r="AW359">
            <v>0</v>
          </cell>
          <cell r="AX359">
            <v>0</v>
          </cell>
          <cell r="AY359">
            <v>0</v>
          </cell>
          <cell r="BA359">
            <v>0</v>
          </cell>
        </row>
        <row r="360">
          <cell r="E360">
            <v>846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846</v>
          </cell>
          <cell r="AV360">
            <v>133724.37000000477</v>
          </cell>
          <cell r="AW360">
            <v>0</v>
          </cell>
          <cell r="AX360">
            <v>0</v>
          </cell>
          <cell r="AY360">
            <v>0</v>
          </cell>
          <cell r="BA360">
            <v>0</v>
          </cell>
        </row>
        <row r="361">
          <cell r="E361">
            <v>1236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1236</v>
          </cell>
          <cell r="AV361">
            <v>197988.26999999583</v>
          </cell>
          <cell r="AW361">
            <v>0</v>
          </cell>
          <cell r="AX361">
            <v>0</v>
          </cell>
          <cell r="AY361">
            <v>0</v>
          </cell>
          <cell r="BA361">
            <v>0</v>
          </cell>
        </row>
        <row r="362">
          <cell r="E362">
            <v>1243</v>
          </cell>
          <cell r="F362">
            <v>0</v>
          </cell>
          <cell r="G362">
            <v>0</v>
          </cell>
          <cell r="H362">
            <v>475</v>
          </cell>
          <cell r="I362">
            <v>475</v>
          </cell>
          <cell r="J362">
            <v>1718</v>
          </cell>
          <cell r="AV362">
            <v>195624.1400000006</v>
          </cell>
          <cell r="AW362">
            <v>0</v>
          </cell>
          <cell r="AX362">
            <v>0</v>
          </cell>
          <cell r="AY362">
            <v>53820</v>
          </cell>
          <cell r="BA362">
            <v>53820</v>
          </cell>
        </row>
        <row r="363">
          <cell r="E363">
            <v>1250</v>
          </cell>
          <cell r="F363">
            <v>0</v>
          </cell>
          <cell r="G363">
            <v>0</v>
          </cell>
          <cell r="H363">
            <v>225</v>
          </cell>
          <cell r="I363">
            <v>225</v>
          </cell>
          <cell r="J363">
            <v>1475</v>
          </cell>
          <cell r="AV363">
            <v>198232.20000000298</v>
          </cell>
          <cell r="AW363">
            <v>0</v>
          </cell>
          <cell r="AX363">
            <v>0</v>
          </cell>
          <cell r="AY363">
            <v>25426.799999999814</v>
          </cell>
          <cell r="BA363">
            <v>25426.799999999814</v>
          </cell>
        </row>
        <row r="364">
          <cell r="E364">
            <v>1251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1251</v>
          </cell>
          <cell r="AV364">
            <v>197996.89999999851</v>
          </cell>
          <cell r="AW364">
            <v>0</v>
          </cell>
          <cell r="AX364">
            <v>0</v>
          </cell>
          <cell r="AY364">
            <v>0</v>
          </cell>
          <cell r="BA364">
            <v>0</v>
          </cell>
        </row>
        <row r="365">
          <cell r="E365">
            <v>1098.098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1098.098</v>
          </cell>
          <cell r="AV365">
            <v>170835.87999999523</v>
          </cell>
          <cell r="AW365">
            <v>0</v>
          </cell>
          <cell r="AX365">
            <v>0</v>
          </cell>
          <cell r="AY365">
            <v>0</v>
          </cell>
          <cell r="BA365">
            <v>0</v>
          </cell>
        </row>
        <row r="366">
          <cell r="E366">
            <v>1238.2479999999996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1238.2479999999996</v>
          </cell>
          <cell r="AV366">
            <v>193992.22000000626</v>
          </cell>
          <cell r="AW366">
            <v>0</v>
          </cell>
          <cell r="AX366">
            <v>0</v>
          </cell>
          <cell r="AY366">
            <v>0</v>
          </cell>
          <cell r="BA366">
            <v>0</v>
          </cell>
        </row>
        <row r="367">
          <cell r="E367">
            <v>1248.6540000000005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1248.6540000000005</v>
          </cell>
          <cell r="AV367">
            <v>198795.29999999702</v>
          </cell>
          <cell r="AW367">
            <v>0</v>
          </cell>
          <cell r="AX367">
            <v>0</v>
          </cell>
          <cell r="AY367">
            <v>0</v>
          </cell>
          <cell r="BA367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">
          <cell r="C3">
            <v>2</v>
          </cell>
          <cell r="D3"/>
          <cell r="E3"/>
          <cell r="F3"/>
        </row>
        <row r="4">
          <cell r="C4"/>
          <cell r="D4"/>
          <cell r="E4"/>
          <cell r="F4"/>
        </row>
        <row r="5">
          <cell r="C5"/>
          <cell r="D5"/>
          <cell r="E5"/>
          <cell r="F5"/>
        </row>
        <row r="6">
          <cell r="C6">
            <v>14</v>
          </cell>
          <cell r="D6"/>
          <cell r="E6"/>
          <cell r="F6"/>
        </row>
        <row r="7">
          <cell r="C7"/>
          <cell r="D7"/>
          <cell r="E7"/>
          <cell r="F7">
            <v>14</v>
          </cell>
        </row>
        <row r="8">
          <cell r="C8"/>
          <cell r="D8"/>
          <cell r="E8"/>
          <cell r="F8"/>
        </row>
        <row r="9">
          <cell r="C9">
            <v>23</v>
          </cell>
          <cell r="D9"/>
          <cell r="E9"/>
          <cell r="F9"/>
        </row>
        <row r="10">
          <cell r="C10">
            <v>16</v>
          </cell>
          <cell r="D10"/>
          <cell r="E10"/>
          <cell r="F10"/>
        </row>
        <row r="11">
          <cell r="C11">
            <v>24</v>
          </cell>
          <cell r="D11"/>
          <cell r="E11"/>
          <cell r="F11">
            <v>8.5</v>
          </cell>
        </row>
        <row r="12">
          <cell r="C12">
            <v>24</v>
          </cell>
          <cell r="D12"/>
          <cell r="E12"/>
          <cell r="F12"/>
        </row>
        <row r="13">
          <cell r="C13">
            <v>12</v>
          </cell>
          <cell r="D13"/>
          <cell r="E13"/>
          <cell r="F13"/>
        </row>
        <row r="14">
          <cell r="C14"/>
          <cell r="D14"/>
          <cell r="E14"/>
          <cell r="F14"/>
        </row>
        <row r="15">
          <cell r="C15">
            <v>16</v>
          </cell>
          <cell r="D15"/>
          <cell r="E15"/>
          <cell r="F15"/>
        </row>
        <row r="16">
          <cell r="C16">
            <v>23</v>
          </cell>
          <cell r="D16"/>
          <cell r="E16"/>
          <cell r="F16"/>
        </row>
        <row r="17">
          <cell r="C17"/>
          <cell r="D17"/>
          <cell r="E17"/>
          <cell r="F17"/>
        </row>
        <row r="18">
          <cell r="C18">
            <v>17</v>
          </cell>
          <cell r="D18"/>
          <cell r="E18"/>
          <cell r="F18"/>
        </row>
        <row r="19">
          <cell r="C19">
            <v>21</v>
          </cell>
          <cell r="D19"/>
          <cell r="E19"/>
          <cell r="F19"/>
        </row>
        <row r="20">
          <cell r="C20"/>
          <cell r="D20"/>
          <cell r="E20"/>
          <cell r="F20"/>
        </row>
        <row r="21">
          <cell r="C21"/>
          <cell r="D21"/>
          <cell r="E21"/>
          <cell r="F21"/>
        </row>
        <row r="22">
          <cell r="C22"/>
          <cell r="D22"/>
          <cell r="E22"/>
          <cell r="F22"/>
        </row>
        <row r="23">
          <cell r="C23"/>
          <cell r="D23"/>
          <cell r="E23"/>
          <cell r="F23"/>
        </row>
        <row r="24">
          <cell r="C24"/>
          <cell r="D24"/>
          <cell r="E24"/>
          <cell r="F24"/>
        </row>
        <row r="25">
          <cell r="C25"/>
          <cell r="D25"/>
          <cell r="E25"/>
          <cell r="F25"/>
        </row>
        <row r="26">
          <cell r="C26"/>
          <cell r="D26"/>
          <cell r="E26"/>
          <cell r="F26"/>
        </row>
        <row r="27">
          <cell r="C27"/>
          <cell r="D27"/>
          <cell r="E27"/>
          <cell r="F27"/>
        </row>
        <row r="28">
          <cell r="C28"/>
          <cell r="D28"/>
          <cell r="E28"/>
          <cell r="F28"/>
        </row>
        <row r="29">
          <cell r="C29">
            <v>1</v>
          </cell>
          <cell r="D29"/>
          <cell r="E29"/>
          <cell r="F29"/>
        </row>
        <row r="30">
          <cell r="C30">
            <v>24</v>
          </cell>
          <cell r="D30"/>
          <cell r="E30"/>
          <cell r="F30"/>
        </row>
        <row r="31">
          <cell r="C31">
            <v>19</v>
          </cell>
          <cell r="D31"/>
          <cell r="E31"/>
          <cell r="F31">
            <v>3</v>
          </cell>
        </row>
        <row r="32">
          <cell r="C32">
            <v>4</v>
          </cell>
          <cell r="D32"/>
          <cell r="E32"/>
          <cell r="F32"/>
        </row>
        <row r="33">
          <cell r="C33">
            <v>1</v>
          </cell>
          <cell r="D33"/>
          <cell r="E33"/>
          <cell r="F33"/>
        </row>
        <row r="34">
          <cell r="C34">
            <v>18</v>
          </cell>
          <cell r="D34"/>
          <cell r="E34"/>
          <cell r="F34"/>
        </row>
        <row r="35">
          <cell r="C35">
            <v>24</v>
          </cell>
          <cell r="D35"/>
          <cell r="E35"/>
          <cell r="F35"/>
        </row>
        <row r="36">
          <cell r="C36">
            <v>24</v>
          </cell>
          <cell r="D36"/>
          <cell r="E36"/>
          <cell r="F36"/>
        </row>
        <row r="37">
          <cell r="C37">
            <v>24</v>
          </cell>
          <cell r="D37"/>
          <cell r="E37"/>
          <cell r="F37"/>
        </row>
        <row r="38">
          <cell r="C38">
            <v>24</v>
          </cell>
          <cell r="D38"/>
          <cell r="E38"/>
          <cell r="F38"/>
        </row>
        <row r="39">
          <cell r="C39">
            <v>24</v>
          </cell>
          <cell r="D39"/>
          <cell r="E39"/>
          <cell r="F39"/>
        </row>
        <row r="40">
          <cell r="C40">
            <v>24</v>
          </cell>
          <cell r="D40"/>
          <cell r="E40"/>
          <cell r="F40"/>
        </row>
        <row r="41">
          <cell r="C41">
            <v>24</v>
          </cell>
          <cell r="D41"/>
          <cell r="E41"/>
          <cell r="F41"/>
        </row>
        <row r="42">
          <cell r="C42">
            <v>24</v>
          </cell>
          <cell r="D42"/>
          <cell r="E42"/>
          <cell r="F42"/>
        </row>
        <row r="43">
          <cell r="C43">
            <v>24</v>
          </cell>
          <cell r="D43"/>
          <cell r="E43"/>
          <cell r="F43"/>
        </row>
        <row r="44">
          <cell r="C44">
            <v>22</v>
          </cell>
          <cell r="D44"/>
          <cell r="E44"/>
          <cell r="F44"/>
        </row>
        <row r="45">
          <cell r="C45">
            <v>18</v>
          </cell>
          <cell r="D45"/>
          <cell r="E45"/>
          <cell r="F45"/>
        </row>
        <row r="46">
          <cell r="C46">
            <v>23</v>
          </cell>
          <cell r="D46"/>
          <cell r="E46"/>
          <cell r="F46"/>
        </row>
        <row r="47">
          <cell r="C47">
            <v>14</v>
          </cell>
          <cell r="D47"/>
          <cell r="E47"/>
          <cell r="F47"/>
        </row>
        <row r="48">
          <cell r="C48"/>
          <cell r="D48"/>
          <cell r="E48"/>
          <cell r="F48"/>
        </row>
        <row r="49">
          <cell r="C49"/>
          <cell r="D49"/>
          <cell r="E49"/>
          <cell r="F49"/>
        </row>
        <row r="50">
          <cell r="C50">
            <v>21</v>
          </cell>
          <cell r="D50"/>
          <cell r="E50"/>
          <cell r="F50"/>
        </row>
        <row r="51">
          <cell r="C51">
            <v>18</v>
          </cell>
          <cell r="D51"/>
          <cell r="E51"/>
          <cell r="F51"/>
        </row>
        <row r="52">
          <cell r="C52">
            <v>18</v>
          </cell>
          <cell r="D52"/>
          <cell r="E52"/>
          <cell r="F52"/>
        </row>
        <row r="53">
          <cell r="C53">
            <v>18</v>
          </cell>
          <cell r="D53"/>
          <cell r="E53"/>
          <cell r="F53"/>
        </row>
        <row r="54">
          <cell r="C54">
            <v>18</v>
          </cell>
          <cell r="D54"/>
          <cell r="E54"/>
          <cell r="F54"/>
        </row>
        <row r="55">
          <cell r="C55">
            <v>5</v>
          </cell>
          <cell r="D55"/>
          <cell r="E55"/>
          <cell r="F55"/>
        </row>
        <row r="56">
          <cell r="C56">
            <v>7</v>
          </cell>
          <cell r="D56"/>
          <cell r="E56"/>
          <cell r="F56"/>
        </row>
        <row r="57">
          <cell r="C57">
            <v>24</v>
          </cell>
          <cell r="D57"/>
          <cell r="E57"/>
          <cell r="F57"/>
        </row>
        <row r="58">
          <cell r="C58">
            <v>14</v>
          </cell>
          <cell r="D58"/>
          <cell r="E58"/>
          <cell r="F58"/>
        </row>
        <row r="59">
          <cell r="C59"/>
          <cell r="D59"/>
          <cell r="E59"/>
          <cell r="F59"/>
        </row>
        <row r="60">
          <cell r="C60"/>
          <cell r="D60"/>
          <cell r="E60"/>
          <cell r="F60"/>
        </row>
        <row r="61">
          <cell r="C61"/>
          <cell r="D61"/>
          <cell r="E61"/>
          <cell r="F61"/>
        </row>
        <row r="62">
          <cell r="C62"/>
          <cell r="D62"/>
          <cell r="E62"/>
          <cell r="F62"/>
        </row>
        <row r="63">
          <cell r="C63"/>
          <cell r="D63"/>
          <cell r="E63"/>
          <cell r="F63"/>
        </row>
        <row r="64">
          <cell r="C64">
            <v>22</v>
          </cell>
          <cell r="D64"/>
          <cell r="E64"/>
          <cell r="F64"/>
        </row>
        <row r="65">
          <cell r="C65">
            <v>16</v>
          </cell>
          <cell r="D65"/>
          <cell r="E65"/>
          <cell r="F65"/>
        </row>
        <row r="66">
          <cell r="C66">
            <v>18</v>
          </cell>
          <cell r="D66"/>
          <cell r="E66"/>
          <cell r="F66"/>
        </row>
        <row r="67">
          <cell r="C67">
            <v>15</v>
          </cell>
          <cell r="D67"/>
          <cell r="E67"/>
          <cell r="F67"/>
        </row>
        <row r="68">
          <cell r="C68">
            <v>17</v>
          </cell>
          <cell r="D68"/>
          <cell r="E68"/>
          <cell r="F68"/>
        </row>
        <row r="69">
          <cell r="C69">
            <v>13</v>
          </cell>
          <cell r="D69"/>
          <cell r="E69"/>
          <cell r="F69"/>
        </row>
        <row r="70">
          <cell r="C70">
            <v>7</v>
          </cell>
          <cell r="D70"/>
          <cell r="E70"/>
          <cell r="F70"/>
        </row>
        <row r="71">
          <cell r="C71">
            <v>13</v>
          </cell>
          <cell r="D71"/>
          <cell r="E71"/>
          <cell r="F71"/>
        </row>
        <row r="72">
          <cell r="C72">
            <v>13</v>
          </cell>
          <cell r="D72"/>
          <cell r="E72"/>
          <cell r="F72"/>
        </row>
        <row r="73">
          <cell r="C73">
            <v>14</v>
          </cell>
          <cell r="D73"/>
          <cell r="E73"/>
          <cell r="F73"/>
        </row>
        <row r="74">
          <cell r="C74"/>
          <cell r="D74"/>
          <cell r="E74"/>
          <cell r="F74"/>
        </row>
        <row r="75">
          <cell r="C75"/>
          <cell r="D75"/>
          <cell r="E75"/>
          <cell r="F75"/>
        </row>
        <row r="76">
          <cell r="C76"/>
          <cell r="D76"/>
          <cell r="E76"/>
          <cell r="F76"/>
        </row>
        <row r="77">
          <cell r="C77"/>
          <cell r="D77"/>
          <cell r="E77"/>
          <cell r="F77"/>
        </row>
        <row r="78">
          <cell r="C78">
            <v>18</v>
          </cell>
          <cell r="D78"/>
          <cell r="E78"/>
          <cell r="F78"/>
        </row>
        <row r="79">
          <cell r="C79">
            <v>17</v>
          </cell>
          <cell r="D79"/>
          <cell r="E79"/>
          <cell r="F79"/>
        </row>
        <row r="80">
          <cell r="C80">
            <v>17</v>
          </cell>
          <cell r="D80"/>
          <cell r="E80"/>
          <cell r="F80"/>
        </row>
        <row r="81">
          <cell r="C81">
            <v>17</v>
          </cell>
          <cell r="D81"/>
          <cell r="E81"/>
          <cell r="F81"/>
        </row>
        <row r="82">
          <cell r="C82">
            <v>9</v>
          </cell>
          <cell r="D82"/>
          <cell r="E82"/>
          <cell r="F82"/>
        </row>
        <row r="83">
          <cell r="C83"/>
          <cell r="D83"/>
          <cell r="E83"/>
          <cell r="F83"/>
        </row>
        <row r="84">
          <cell r="C84"/>
          <cell r="D84"/>
          <cell r="E84"/>
          <cell r="F84"/>
        </row>
        <row r="85">
          <cell r="C85"/>
          <cell r="D85"/>
          <cell r="E85"/>
          <cell r="F85"/>
        </row>
        <row r="86">
          <cell r="C86"/>
          <cell r="D86"/>
          <cell r="E86"/>
          <cell r="F86"/>
        </row>
        <row r="87">
          <cell r="C87"/>
          <cell r="D87"/>
          <cell r="E87"/>
          <cell r="F87"/>
        </row>
        <row r="88">
          <cell r="C88"/>
          <cell r="D88"/>
          <cell r="E88"/>
          <cell r="F88"/>
        </row>
        <row r="89">
          <cell r="C89">
            <v>21</v>
          </cell>
          <cell r="D89"/>
          <cell r="E89"/>
          <cell r="F89"/>
        </row>
        <row r="90">
          <cell r="C90">
            <v>7</v>
          </cell>
          <cell r="D90"/>
          <cell r="E90"/>
          <cell r="F90"/>
        </row>
        <row r="91">
          <cell r="C91">
            <v>8</v>
          </cell>
          <cell r="D91"/>
          <cell r="E91"/>
          <cell r="F91"/>
        </row>
        <row r="92">
          <cell r="C92">
            <v>16</v>
          </cell>
          <cell r="D92"/>
          <cell r="E92"/>
          <cell r="F92"/>
        </row>
        <row r="93">
          <cell r="C93">
            <v>14</v>
          </cell>
          <cell r="D93"/>
          <cell r="E93"/>
          <cell r="F93"/>
        </row>
        <row r="94">
          <cell r="C94"/>
          <cell r="D94"/>
          <cell r="E94"/>
          <cell r="F94"/>
        </row>
        <row r="95">
          <cell r="C95">
            <v>15</v>
          </cell>
          <cell r="D95"/>
          <cell r="E95"/>
          <cell r="F95"/>
        </row>
        <row r="96">
          <cell r="C96">
            <v>8</v>
          </cell>
          <cell r="D96"/>
          <cell r="E96"/>
          <cell r="F96"/>
        </row>
        <row r="97">
          <cell r="C97"/>
          <cell r="D97"/>
          <cell r="E97"/>
          <cell r="F97"/>
        </row>
        <row r="98">
          <cell r="C98"/>
          <cell r="D98"/>
          <cell r="E98"/>
          <cell r="F98"/>
        </row>
        <row r="99">
          <cell r="C99">
            <v>12</v>
          </cell>
          <cell r="D99"/>
          <cell r="E99"/>
          <cell r="F99"/>
        </row>
        <row r="100">
          <cell r="C100">
            <v>10</v>
          </cell>
          <cell r="D100"/>
          <cell r="E100"/>
          <cell r="F100"/>
        </row>
        <row r="101">
          <cell r="C101">
            <v>10</v>
          </cell>
          <cell r="D101"/>
          <cell r="E101"/>
          <cell r="F101"/>
        </row>
        <row r="102">
          <cell r="C102"/>
          <cell r="D102"/>
          <cell r="E102"/>
          <cell r="F102"/>
        </row>
        <row r="103">
          <cell r="C103">
            <v>10</v>
          </cell>
          <cell r="D103"/>
          <cell r="E103"/>
          <cell r="F103"/>
        </row>
        <row r="104">
          <cell r="C104"/>
          <cell r="D104"/>
          <cell r="E104"/>
          <cell r="F104"/>
        </row>
        <row r="105">
          <cell r="C105"/>
          <cell r="D105"/>
          <cell r="E105"/>
          <cell r="F105"/>
        </row>
        <row r="106">
          <cell r="C106">
            <v>20</v>
          </cell>
          <cell r="D106"/>
          <cell r="E106"/>
          <cell r="F106"/>
        </row>
        <row r="107">
          <cell r="C107">
            <v>17</v>
          </cell>
          <cell r="D107"/>
          <cell r="E107"/>
          <cell r="F107"/>
        </row>
        <row r="108">
          <cell r="C108">
            <v>15</v>
          </cell>
          <cell r="D108"/>
          <cell r="E108"/>
          <cell r="F108"/>
        </row>
        <row r="109">
          <cell r="C109"/>
          <cell r="D109"/>
          <cell r="E109"/>
          <cell r="F109"/>
        </row>
        <row r="110">
          <cell r="C110">
            <v>9</v>
          </cell>
          <cell r="D110"/>
          <cell r="E110"/>
          <cell r="F110"/>
        </row>
        <row r="111">
          <cell r="C111"/>
          <cell r="D111"/>
          <cell r="E111"/>
          <cell r="F111"/>
        </row>
        <row r="112">
          <cell r="C112"/>
          <cell r="D112"/>
          <cell r="E112"/>
          <cell r="F112"/>
        </row>
        <row r="113">
          <cell r="C113">
            <v>14</v>
          </cell>
          <cell r="D113"/>
          <cell r="E113"/>
          <cell r="F113"/>
        </row>
        <row r="114">
          <cell r="C114"/>
          <cell r="D114"/>
          <cell r="E114"/>
          <cell r="F114"/>
        </row>
        <row r="115">
          <cell r="C115"/>
          <cell r="D115"/>
          <cell r="E115"/>
          <cell r="F115"/>
        </row>
        <row r="116">
          <cell r="C116"/>
          <cell r="D116"/>
          <cell r="E116"/>
          <cell r="F116"/>
        </row>
        <row r="117">
          <cell r="C117">
            <v>16</v>
          </cell>
          <cell r="D117"/>
          <cell r="E117"/>
          <cell r="F117"/>
        </row>
        <row r="118">
          <cell r="C118"/>
          <cell r="D118"/>
          <cell r="E118"/>
          <cell r="F118"/>
        </row>
        <row r="119">
          <cell r="C119"/>
          <cell r="D119"/>
          <cell r="E119"/>
          <cell r="F119"/>
        </row>
        <row r="120">
          <cell r="C120">
            <v>11</v>
          </cell>
          <cell r="D120"/>
          <cell r="E120"/>
          <cell r="F120"/>
        </row>
        <row r="121">
          <cell r="C121"/>
          <cell r="D121"/>
          <cell r="E121"/>
          <cell r="F121"/>
        </row>
        <row r="122">
          <cell r="C122">
            <v>20</v>
          </cell>
          <cell r="D122"/>
          <cell r="E122"/>
          <cell r="F122"/>
        </row>
        <row r="123">
          <cell r="C123"/>
          <cell r="D123"/>
          <cell r="E123"/>
          <cell r="F123"/>
        </row>
        <row r="124">
          <cell r="C124">
            <v>11</v>
          </cell>
          <cell r="D124"/>
          <cell r="E124"/>
          <cell r="F124"/>
        </row>
        <row r="125">
          <cell r="C125"/>
          <cell r="D125"/>
          <cell r="E125"/>
          <cell r="F125"/>
        </row>
        <row r="126">
          <cell r="C126"/>
          <cell r="D126"/>
          <cell r="E126"/>
          <cell r="F126"/>
        </row>
        <row r="127">
          <cell r="C127"/>
          <cell r="D127"/>
          <cell r="E127"/>
          <cell r="F127"/>
        </row>
        <row r="128">
          <cell r="C128"/>
          <cell r="D128"/>
          <cell r="E128"/>
          <cell r="F128"/>
        </row>
        <row r="129">
          <cell r="C129">
            <v>20</v>
          </cell>
          <cell r="D129"/>
          <cell r="E129"/>
          <cell r="F129"/>
        </row>
        <row r="130">
          <cell r="C130"/>
          <cell r="D130"/>
          <cell r="E130"/>
          <cell r="F130"/>
        </row>
        <row r="131">
          <cell r="C131">
            <v>12</v>
          </cell>
          <cell r="D131"/>
          <cell r="E131"/>
          <cell r="F131"/>
        </row>
        <row r="132">
          <cell r="C132">
            <v>23</v>
          </cell>
          <cell r="D132"/>
          <cell r="E132"/>
          <cell r="F132"/>
        </row>
        <row r="133">
          <cell r="C133">
            <v>6</v>
          </cell>
          <cell r="D133"/>
          <cell r="E133"/>
          <cell r="F133"/>
        </row>
        <row r="134">
          <cell r="C134">
            <v>6</v>
          </cell>
          <cell r="D134"/>
          <cell r="E134"/>
          <cell r="F134"/>
        </row>
        <row r="135">
          <cell r="C135">
            <v>6</v>
          </cell>
          <cell r="D135"/>
          <cell r="E135"/>
          <cell r="F135"/>
        </row>
        <row r="136">
          <cell r="C136">
            <v>7</v>
          </cell>
          <cell r="D136"/>
          <cell r="E136"/>
          <cell r="F136"/>
        </row>
        <row r="137">
          <cell r="C137"/>
          <cell r="D137"/>
          <cell r="E137"/>
          <cell r="F137"/>
        </row>
        <row r="138">
          <cell r="C138"/>
          <cell r="D138"/>
          <cell r="E138"/>
          <cell r="F138"/>
        </row>
        <row r="139">
          <cell r="C139"/>
          <cell r="D139"/>
          <cell r="E139"/>
          <cell r="F139"/>
        </row>
        <row r="140">
          <cell r="C140"/>
          <cell r="D140"/>
          <cell r="E140"/>
          <cell r="F140"/>
        </row>
        <row r="141">
          <cell r="C141"/>
          <cell r="D141"/>
          <cell r="E141"/>
          <cell r="F141"/>
        </row>
        <row r="142">
          <cell r="C142"/>
          <cell r="D142"/>
          <cell r="E142"/>
          <cell r="F142"/>
        </row>
        <row r="143">
          <cell r="C143"/>
          <cell r="D143"/>
          <cell r="E143"/>
          <cell r="F143"/>
        </row>
        <row r="144">
          <cell r="C144"/>
          <cell r="D144"/>
          <cell r="E144"/>
          <cell r="F144"/>
        </row>
        <row r="145">
          <cell r="C145"/>
          <cell r="D145"/>
          <cell r="E145"/>
          <cell r="F145"/>
        </row>
        <row r="146">
          <cell r="C146"/>
          <cell r="D146"/>
          <cell r="E146"/>
          <cell r="F146"/>
        </row>
        <row r="147">
          <cell r="C147"/>
          <cell r="D147"/>
          <cell r="E147"/>
          <cell r="F147"/>
        </row>
        <row r="148">
          <cell r="C148"/>
          <cell r="D148"/>
          <cell r="E148"/>
          <cell r="F148"/>
        </row>
        <row r="149">
          <cell r="C149"/>
          <cell r="D149"/>
          <cell r="E149"/>
          <cell r="F149"/>
        </row>
        <row r="150">
          <cell r="C150"/>
          <cell r="D150"/>
          <cell r="E150"/>
          <cell r="F150"/>
        </row>
        <row r="151">
          <cell r="C151"/>
          <cell r="D151"/>
          <cell r="E151"/>
          <cell r="F151"/>
        </row>
        <row r="152">
          <cell r="C152">
            <v>14</v>
          </cell>
          <cell r="D152"/>
          <cell r="E152"/>
          <cell r="F152"/>
        </row>
        <row r="153">
          <cell r="C153"/>
          <cell r="D153"/>
          <cell r="E153"/>
          <cell r="F153"/>
        </row>
        <row r="154">
          <cell r="C154"/>
          <cell r="D154"/>
          <cell r="E154"/>
          <cell r="F154"/>
        </row>
        <row r="155">
          <cell r="C155"/>
          <cell r="D155"/>
          <cell r="E155"/>
          <cell r="F155"/>
        </row>
        <row r="156">
          <cell r="C156"/>
          <cell r="D156"/>
          <cell r="E156"/>
          <cell r="F156"/>
        </row>
        <row r="157">
          <cell r="C157"/>
          <cell r="D157"/>
          <cell r="E157"/>
          <cell r="F157"/>
        </row>
        <row r="158">
          <cell r="C158"/>
          <cell r="D158"/>
          <cell r="E158"/>
          <cell r="F158"/>
        </row>
        <row r="159">
          <cell r="C159"/>
          <cell r="D159"/>
          <cell r="E159"/>
          <cell r="F159"/>
        </row>
        <row r="160">
          <cell r="C160"/>
          <cell r="D160"/>
          <cell r="E160"/>
          <cell r="F160"/>
        </row>
        <row r="161">
          <cell r="C161"/>
          <cell r="D161"/>
          <cell r="E161"/>
          <cell r="F161"/>
        </row>
        <row r="162">
          <cell r="C162"/>
          <cell r="D162"/>
          <cell r="E162"/>
          <cell r="F162"/>
        </row>
        <row r="163">
          <cell r="C163"/>
          <cell r="D163"/>
          <cell r="E163"/>
          <cell r="F163"/>
        </row>
        <row r="164">
          <cell r="C164"/>
          <cell r="D164"/>
          <cell r="E164"/>
          <cell r="F164"/>
        </row>
        <row r="165">
          <cell r="C165"/>
          <cell r="D165"/>
          <cell r="E165"/>
          <cell r="F165"/>
        </row>
        <row r="166">
          <cell r="C166"/>
          <cell r="D166"/>
          <cell r="E166"/>
          <cell r="F166"/>
        </row>
        <row r="167">
          <cell r="C167"/>
          <cell r="D167"/>
          <cell r="E167"/>
          <cell r="F167"/>
        </row>
        <row r="168">
          <cell r="C168"/>
          <cell r="D168"/>
          <cell r="E168"/>
          <cell r="F168"/>
        </row>
        <row r="169">
          <cell r="C169"/>
          <cell r="D169"/>
          <cell r="E169"/>
          <cell r="F169"/>
        </row>
        <row r="170">
          <cell r="C170"/>
          <cell r="D170"/>
          <cell r="E170"/>
          <cell r="F170"/>
        </row>
        <row r="171">
          <cell r="C171"/>
          <cell r="D171"/>
          <cell r="E171"/>
          <cell r="F171"/>
        </row>
        <row r="172">
          <cell r="C172"/>
          <cell r="D172"/>
          <cell r="E172"/>
          <cell r="F172"/>
        </row>
        <row r="173">
          <cell r="C173"/>
          <cell r="D173"/>
          <cell r="E173"/>
          <cell r="F173"/>
        </row>
        <row r="174">
          <cell r="C174"/>
          <cell r="D174"/>
          <cell r="E174"/>
          <cell r="F174"/>
        </row>
        <row r="175">
          <cell r="C175"/>
          <cell r="D175"/>
          <cell r="E175"/>
          <cell r="F175"/>
        </row>
        <row r="176">
          <cell r="C176"/>
          <cell r="D176"/>
          <cell r="E176"/>
          <cell r="F176"/>
        </row>
        <row r="177">
          <cell r="C177"/>
          <cell r="D177"/>
          <cell r="E177"/>
          <cell r="F177"/>
        </row>
        <row r="178">
          <cell r="C178"/>
          <cell r="D178"/>
          <cell r="E178"/>
          <cell r="F178"/>
        </row>
        <row r="179">
          <cell r="C179"/>
          <cell r="D179"/>
          <cell r="E179"/>
          <cell r="F179"/>
        </row>
        <row r="180">
          <cell r="C180"/>
          <cell r="D180"/>
          <cell r="E180"/>
          <cell r="F180"/>
        </row>
        <row r="181">
          <cell r="C181"/>
          <cell r="D181"/>
          <cell r="E181"/>
          <cell r="F181"/>
        </row>
        <row r="182">
          <cell r="C182"/>
          <cell r="D182"/>
          <cell r="E182"/>
          <cell r="F182"/>
        </row>
        <row r="183">
          <cell r="C183"/>
          <cell r="D183"/>
          <cell r="E183"/>
          <cell r="F183"/>
        </row>
        <row r="184">
          <cell r="C184"/>
          <cell r="D184"/>
          <cell r="E184"/>
          <cell r="F184"/>
        </row>
        <row r="185">
          <cell r="C185"/>
          <cell r="D185"/>
          <cell r="E185"/>
          <cell r="F185"/>
        </row>
        <row r="186">
          <cell r="C186">
            <v>10</v>
          </cell>
          <cell r="D186"/>
          <cell r="E186"/>
          <cell r="F186"/>
        </row>
        <row r="187">
          <cell r="C187"/>
          <cell r="D187"/>
          <cell r="E187"/>
          <cell r="F187"/>
        </row>
        <row r="188">
          <cell r="C188"/>
          <cell r="D188"/>
          <cell r="E188"/>
          <cell r="F188"/>
        </row>
        <row r="189">
          <cell r="C189"/>
          <cell r="D189"/>
          <cell r="E189"/>
          <cell r="F189"/>
        </row>
        <row r="190">
          <cell r="C190">
            <v>17</v>
          </cell>
          <cell r="D190"/>
          <cell r="E190"/>
          <cell r="F190"/>
        </row>
        <row r="191">
          <cell r="C191">
            <v>14</v>
          </cell>
          <cell r="D191"/>
          <cell r="E191"/>
          <cell r="F191"/>
        </row>
        <row r="192">
          <cell r="C192">
            <v>13</v>
          </cell>
          <cell r="D192"/>
          <cell r="E192"/>
          <cell r="F192"/>
        </row>
        <row r="193">
          <cell r="C193"/>
          <cell r="D193"/>
          <cell r="E193"/>
          <cell r="F193"/>
        </row>
        <row r="194">
          <cell r="C194"/>
          <cell r="D194"/>
          <cell r="E194"/>
          <cell r="F194"/>
        </row>
        <row r="195">
          <cell r="C195"/>
          <cell r="D195"/>
          <cell r="E195"/>
          <cell r="F195"/>
        </row>
        <row r="196">
          <cell r="C196"/>
          <cell r="D196"/>
          <cell r="E196"/>
          <cell r="F196"/>
        </row>
        <row r="197">
          <cell r="C197"/>
          <cell r="D197"/>
          <cell r="E197"/>
          <cell r="F197"/>
        </row>
        <row r="198">
          <cell r="C198"/>
          <cell r="D198"/>
          <cell r="E198"/>
          <cell r="F198"/>
        </row>
        <row r="199">
          <cell r="C199"/>
          <cell r="D199"/>
          <cell r="E199"/>
          <cell r="F199"/>
        </row>
        <row r="200">
          <cell r="C200"/>
          <cell r="D200"/>
          <cell r="E200"/>
          <cell r="F200"/>
        </row>
        <row r="201">
          <cell r="C201"/>
          <cell r="D201"/>
          <cell r="E201"/>
          <cell r="F201"/>
        </row>
        <row r="202">
          <cell r="C202"/>
          <cell r="D202"/>
          <cell r="E202"/>
          <cell r="F202"/>
        </row>
        <row r="203">
          <cell r="C203"/>
          <cell r="D203"/>
          <cell r="E203"/>
          <cell r="F203"/>
        </row>
        <row r="204">
          <cell r="C204"/>
          <cell r="D204"/>
          <cell r="E204"/>
          <cell r="F204"/>
        </row>
        <row r="205">
          <cell r="C205"/>
          <cell r="D205"/>
          <cell r="E205"/>
          <cell r="F205"/>
        </row>
        <row r="206">
          <cell r="C206"/>
          <cell r="D206"/>
          <cell r="E206"/>
          <cell r="F206"/>
        </row>
        <row r="207">
          <cell r="C207"/>
          <cell r="D207"/>
          <cell r="E207"/>
          <cell r="F207"/>
        </row>
        <row r="208">
          <cell r="C208"/>
          <cell r="D208"/>
          <cell r="E208"/>
          <cell r="F208"/>
        </row>
        <row r="209">
          <cell r="C209"/>
          <cell r="D209"/>
          <cell r="E209"/>
          <cell r="F209"/>
        </row>
        <row r="210">
          <cell r="C210"/>
          <cell r="D210"/>
          <cell r="E210"/>
          <cell r="F210"/>
        </row>
        <row r="211">
          <cell r="C211">
            <v>10</v>
          </cell>
          <cell r="D211"/>
          <cell r="E211"/>
          <cell r="F211"/>
        </row>
        <row r="212">
          <cell r="C212">
            <v>7</v>
          </cell>
          <cell r="D212"/>
          <cell r="E212"/>
          <cell r="F212"/>
        </row>
        <row r="213">
          <cell r="C213"/>
          <cell r="D213"/>
          <cell r="E213"/>
          <cell r="F213"/>
        </row>
        <row r="214">
          <cell r="C214"/>
          <cell r="D214"/>
          <cell r="E214"/>
          <cell r="F214"/>
        </row>
        <row r="215">
          <cell r="C215"/>
          <cell r="D215"/>
          <cell r="E215"/>
          <cell r="F215"/>
        </row>
        <row r="216">
          <cell r="C216"/>
          <cell r="D216"/>
          <cell r="E216"/>
          <cell r="F216"/>
        </row>
        <row r="217">
          <cell r="C217"/>
          <cell r="D217"/>
          <cell r="E217"/>
          <cell r="F217"/>
        </row>
        <row r="218">
          <cell r="C218"/>
          <cell r="D218"/>
          <cell r="E218"/>
          <cell r="F218"/>
        </row>
        <row r="219">
          <cell r="C219"/>
          <cell r="D219"/>
          <cell r="E219"/>
          <cell r="F219"/>
        </row>
        <row r="220">
          <cell r="C220"/>
          <cell r="D220"/>
          <cell r="E220"/>
          <cell r="F220"/>
        </row>
        <row r="221">
          <cell r="C221"/>
          <cell r="D221"/>
          <cell r="E221"/>
          <cell r="F221"/>
        </row>
        <row r="222">
          <cell r="C222"/>
          <cell r="D222"/>
          <cell r="E222"/>
          <cell r="F222"/>
        </row>
        <row r="223">
          <cell r="C223"/>
          <cell r="D223"/>
          <cell r="E223"/>
          <cell r="F223"/>
        </row>
        <row r="224">
          <cell r="C224"/>
          <cell r="D224"/>
          <cell r="E224"/>
          <cell r="F224"/>
        </row>
        <row r="225">
          <cell r="C225"/>
          <cell r="D225"/>
          <cell r="E225"/>
          <cell r="F225"/>
        </row>
        <row r="226">
          <cell r="C226"/>
          <cell r="D226"/>
          <cell r="E226"/>
          <cell r="F226"/>
        </row>
        <row r="227">
          <cell r="C227"/>
          <cell r="D227"/>
          <cell r="E227"/>
          <cell r="F227"/>
        </row>
        <row r="228">
          <cell r="C228"/>
          <cell r="D228"/>
          <cell r="E228"/>
          <cell r="F228"/>
        </row>
        <row r="229">
          <cell r="C229"/>
          <cell r="D229"/>
          <cell r="E229"/>
          <cell r="F229"/>
        </row>
        <row r="230">
          <cell r="C230"/>
          <cell r="D230"/>
          <cell r="E230"/>
          <cell r="F230"/>
        </row>
        <row r="231">
          <cell r="C231"/>
          <cell r="D231"/>
          <cell r="E231"/>
          <cell r="F231"/>
        </row>
        <row r="232">
          <cell r="C232">
            <v>10</v>
          </cell>
          <cell r="D232"/>
          <cell r="E232"/>
          <cell r="F232"/>
        </row>
        <row r="233">
          <cell r="C233">
            <v>6</v>
          </cell>
          <cell r="D233"/>
          <cell r="E233"/>
          <cell r="F233"/>
        </row>
        <row r="234">
          <cell r="C234"/>
          <cell r="D234"/>
          <cell r="E234"/>
          <cell r="F234"/>
        </row>
        <row r="235">
          <cell r="C235">
            <v>11</v>
          </cell>
          <cell r="D235"/>
          <cell r="E235"/>
          <cell r="F235"/>
        </row>
        <row r="236">
          <cell r="C236">
            <v>8</v>
          </cell>
          <cell r="D236"/>
          <cell r="E236"/>
          <cell r="F236"/>
        </row>
        <row r="237">
          <cell r="C237"/>
          <cell r="D237"/>
          <cell r="E237"/>
          <cell r="F237"/>
        </row>
        <row r="238">
          <cell r="C238"/>
          <cell r="D238"/>
          <cell r="E238"/>
          <cell r="F238"/>
        </row>
        <row r="239">
          <cell r="C239">
            <v>10</v>
          </cell>
          <cell r="D239"/>
          <cell r="E239"/>
          <cell r="F239"/>
        </row>
        <row r="240">
          <cell r="C240">
            <v>12</v>
          </cell>
          <cell r="D240"/>
          <cell r="E240"/>
          <cell r="F240"/>
        </row>
        <row r="241">
          <cell r="C241"/>
          <cell r="D241"/>
          <cell r="E241"/>
          <cell r="F241"/>
        </row>
        <row r="242">
          <cell r="C242"/>
          <cell r="D242"/>
          <cell r="E242"/>
          <cell r="F242"/>
        </row>
        <row r="243">
          <cell r="C243"/>
          <cell r="D243"/>
          <cell r="E243"/>
          <cell r="F243"/>
        </row>
        <row r="244">
          <cell r="C244"/>
          <cell r="D244"/>
          <cell r="E244"/>
          <cell r="F244"/>
        </row>
        <row r="245">
          <cell r="C245"/>
          <cell r="D245"/>
          <cell r="E245"/>
          <cell r="F245"/>
        </row>
        <row r="246">
          <cell r="C246">
            <v>11</v>
          </cell>
          <cell r="D246"/>
          <cell r="E246"/>
          <cell r="F246"/>
        </row>
        <row r="247">
          <cell r="C247"/>
          <cell r="D247"/>
          <cell r="E247"/>
          <cell r="F247"/>
        </row>
        <row r="248">
          <cell r="C248"/>
          <cell r="D248"/>
          <cell r="E248"/>
          <cell r="F248"/>
        </row>
        <row r="249">
          <cell r="C249"/>
          <cell r="D249"/>
          <cell r="E249"/>
          <cell r="F249"/>
        </row>
        <row r="250">
          <cell r="C250"/>
          <cell r="D250"/>
          <cell r="E250"/>
          <cell r="F250"/>
        </row>
        <row r="251">
          <cell r="C251"/>
          <cell r="D251"/>
          <cell r="E251"/>
          <cell r="F251"/>
        </row>
        <row r="252">
          <cell r="C252"/>
          <cell r="D252"/>
          <cell r="E252"/>
          <cell r="F252"/>
        </row>
        <row r="253">
          <cell r="C253"/>
          <cell r="D253"/>
          <cell r="E253"/>
          <cell r="F253"/>
        </row>
        <row r="254">
          <cell r="C254"/>
          <cell r="D254"/>
          <cell r="E254"/>
          <cell r="F254"/>
        </row>
        <row r="255">
          <cell r="C255"/>
          <cell r="D255"/>
          <cell r="E255"/>
          <cell r="F255"/>
        </row>
        <row r="256">
          <cell r="C256"/>
          <cell r="D256"/>
          <cell r="E256"/>
          <cell r="F256"/>
        </row>
        <row r="257">
          <cell r="C257"/>
          <cell r="D257"/>
          <cell r="E257"/>
          <cell r="F257"/>
        </row>
        <row r="258">
          <cell r="C258"/>
          <cell r="D258"/>
          <cell r="E258"/>
          <cell r="F258"/>
        </row>
        <row r="259">
          <cell r="C259"/>
          <cell r="D259"/>
          <cell r="E259"/>
          <cell r="F259"/>
        </row>
        <row r="260">
          <cell r="C260"/>
          <cell r="D260"/>
          <cell r="E260"/>
          <cell r="F260"/>
        </row>
        <row r="261">
          <cell r="C261"/>
          <cell r="D261"/>
          <cell r="E261"/>
          <cell r="F261"/>
        </row>
        <row r="262">
          <cell r="C262"/>
          <cell r="D262"/>
          <cell r="E262"/>
          <cell r="F262"/>
        </row>
        <row r="263">
          <cell r="C263"/>
          <cell r="D263"/>
          <cell r="E263"/>
          <cell r="F263"/>
        </row>
        <row r="264">
          <cell r="C264"/>
          <cell r="D264"/>
          <cell r="E264"/>
          <cell r="F264"/>
        </row>
        <row r="265">
          <cell r="C265"/>
          <cell r="D265"/>
          <cell r="E265"/>
          <cell r="F265"/>
        </row>
        <row r="266">
          <cell r="C266"/>
          <cell r="D266"/>
          <cell r="E266"/>
          <cell r="F266"/>
        </row>
        <row r="267">
          <cell r="C267"/>
          <cell r="D267"/>
          <cell r="E267"/>
          <cell r="F267"/>
        </row>
        <row r="268">
          <cell r="C268"/>
          <cell r="D268"/>
          <cell r="E268"/>
          <cell r="F268"/>
        </row>
        <row r="269">
          <cell r="C269"/>
          <cell r="D269"/>
          <cell r="E269"/>
          <cell r="F269"/>
        </row>
        <row r="270">
          <cell r="C270"/>
          <cell r="D270"/>
          <cell r="E270"/>
          <cell r="F270"/>
        </row>
        <row r="271">
          <cell r="C271"/>
          <cell r="D271"/>
          <cell r="E271"/>
          <cell r="F271"/>
        </row>
        <row r="272">
          <cell r="C272"/>
          <cell r="D272"/>
          <cell r="E272"/>
          <cell r="F272"/>
        </row>
        <row r="273">
          <cell r="C273"/>
          <cell r="D273"/>
          <cell r="E273"/>
          <cell r="F273"/>
        </row>
        <row r="274">
          <cell r="C274"/>
          <cell r="D274"/>
          <cell r="E274"/>
          <cell r="F274"/>
        </row>
        <row r="275">
          <cell r="C275"/>
          <cell r="D275"/>
          <cell r="E275"/>
          <cell r="F275"/>
        </row>
        <row r="276">
          <cell r="C276"/>
          <cell r="D276"/>
          <cell r="E276"/>
          <cell r="F276"/>
        </row>
        <row r="277">
          <cell r="C277"/>
          <cell r="D277"/>
          <cell r="E277"/>
          <cell r="F277"/>
        </row>
        <row r="278">
          <cell r="C278"/>
          <cell r="D278"/>
          <cell r="E278"/>
          <cell r="F278"/>
        </row>
        <row r="279">
          <cell r="C279"/>
          <cell r="D279"/>
          <cell r="E279"/>
          <cell r="F279"/>
        </row>
        <row r="280">
          <cell r="C280"/>
          <cell r="D280"/>
          <cell r="E280"/>
          <cell r="F280"/>
        </row>
        <row r="281">
          <cell r="C281"/>
          <cell r="D281"/>
          <cell r="E281"/>
          <cell r="F281"/>
        </row>
        <row r="282">
          <cell r="C282"/>
          <cell r="D282"/>
          <cell r="E282"/>
          <cell r="F282"/>
        </row>
        <row r="283">
          <cell r="C283"/>
          <cell r="D283"/>
          <cell r="E283"/>
          <cell r="F283"/>
        </row>
        <row r="284">
          <cell r="C284"/>
          <cell r="D284"/>
          <cell r="E284"/>
          <cell r="F284"/>
        </row>
        <row r="285">
          <cell r="C285"/>
          <cell r="D285"/>
          <cell r="E285"/>
          <cell r="F285"/>
        </row>
        <row r="286">
          <cell r="C286"/>
          <cell r="D286"/>
          <cell r="E286"/>
          <cell r="F286"/>
        </row>
        <row r="287">
          <cell r="C287"/>
          <cell r="D287"/>
          <cell r="E287"/>
          <cell r="F287"/>
        </row>
        <row r="288">
          <cell r="C288"/>
          <cell r="D288"/>
          <cell r="E288"/>
          <cell r="F288"/>
        </row>
        <row r="289">
          <cell r="C289"/>
          <cell r="D289"/>
          <cell r="E289"/>
          <cell r="F289"/>
        </row>
        <row r="290">
          <cell r="C290"/>
          <cell r="D290"/>
          <cell r="E290"/>
          <cell r="F290"/>
        </row>
        <row r="291">
          <cell r="C291"/>
          <cell r="D291"/>
          <cell r="E291"/>
          <cell r="F291"/>
        </row>
        <row r="292">
          <cell r="C292"/>
          <cell r="D292"/>
          <cell r="E292"/>
          <cell r="F292"/>
        </row>
        <row r="293">
          <cell r="C293"/>
          <cell r="D293"/>
          <cell r="E293"/>
          <cell r="F293"/>
        </row>
        <row r="294">
          <cell r="C294"/>
          <cell r="D294"/>
          <cell r="E294"/>
          <cell r="F294"/>
        </row>
        <row r="295">
          <cell r="C295">
            <v>14</v>
          </cell>
          <cell r="D295"/>
          <cell r="E295"/>
          <cell r="F295"/>
        </row>
        <row r="296">
          <cell r="C296"/>
          <cell r="D296"/>
          <cell r="E296"/>
          <cell r="F296"/>
        </row>
        <row r="297">
          <cell r="C297"/>
          <cell r="D297"/>
          <cell r="E297"/>
          <cell r="F297"/>
        </row>
        <row r="298">
          <cell r="C298"/>
          <cell r="D298"/>
          <cell r="E298"/>
          <cell r="F298"/>
        </row>
        <row r="299">
          <cell r="C299"/>
          <cell r="D299"/>
          <cell r="E299"/>
          <cell r="F299"/>
        </row>
        <row r="300">
          <cell r="C300"/>
          <cell r="D300"/>
          <cell r="E300"/>
          <cell r="F300"/>
        </row>
        <row r="301">
          <cell r="C301"/>
          <cell r="D301"/>
          <cell r="E301"/>
          <cell r="F301"/>
        </row>
        <row r="302">
          <cell r="C302"/>
          <cell r="D302"/>
          <cell r="E302"/>
          <cell r="F302"/>
        </row>
        <row r="303">
          <cell r="C303"/>
          <cell r="D303"/>
          <cell r="E303"/>
          <cell r="F303"/>
        </row>
        <row r="304">
          <cell r="C304"/>
          <cell r="D304"/>
          <cell r="E304"/>
          <cell r="F304"/>
        </row>
        <row r="305">
          <cell r="C305"/>
          <cell r="D305"/>
          <cell r="E305"/>
          <cell r="F305"/>
        </row>
        <row r="306">
          <cell r="C306"/>
          <cell r="D306"/>
          <cell r="E306"/>
          <cell r="F306"/>
        </row>
        <row r="307">
          <cell r="C307"/>
          <cell r="D307"/>
          <cell r="E307"/>
          <cell r="F307"/>
        </row>
        <row r="308">
          <cell r="C308"/>
          <cell r="D308"/>
          <cell r="E308"/>
          <cell r="F308"/>
        </row>
        <row r="309">
          <cell r="C309"/>
          <cell r="D309"/>
          <cell r="E309"/>
          <cell r="F309"/>
        </row>
        <row r="310">
          <cell r="C310">
            <v>10</v>
          </cell>
          <cell r="D310"/>
          <cell r="E310"/>
          <cell r="F310"/>
        </row>
        <row r="311">
          <cell r="C311"/>
          <cell r="D311"/>
          <cell r="E311"/>
          <cell r="F311"/>
        </row>
        <row r="312">
          <cell r="C312"/>
          <cell r="D312"/>
          <cell r="E312"/>
          <cell r="F312"/>
        </row>
        <row r="313">
          <cell r="C313"/>
          <cell r="D313"/>
          <cell r="E313"/>
          <cell r="F313"/>
        </row>
        <row r="314">
          <cell r="C314"/>
          <cell r="D314"/>
          <cell r="E314"/>
          <cell r="F314"/>
        </row>
        <row r="315">
          <cell r="C315"/>
          <cell r="D315"/>
          <cell r="E315"/>
          <cell r="F315"/>
        </row>
        <row r="316">
          <cell r="C316"/>
          <cell r="D316"/>
          <cell r="E316"/>
          <cell r="F316"/>
        </row>
        <row r="317">
          <cell r="C317"/>
          <cell r="D317"/>
          <cell r="E317"/>
          <cell r="F317"/>
        </row>
        <row r="318">
          <cell r="C318"/>
          <cell r="D318"/>
          <cell r="E318"/>
          <cell r="F318"/>
        </row>
        <row r="319">
          <cell r="C319"/>
          <cell r="D319"/>
          <cell r="E319"/>
          <cell r="F319"/>
        </row>
        <row r="320">
          <cell r="C320"/>
          <cell r="D320"/>
          <cell r="E320"/>
          <cell r="F320"/>
        </row>
        <row r="321">
          <cell r="C321"/>
          <cell r="D321"/>
          <cell r="E321"/>
          <cell r="F321"/>
        </row>
        <row r="322">
          <cell r="C322"/>
          <cell r="D322"/>
          <cell r="E322"/>
          <cell r="F322"/>
        </row>
        <row r="323">
          <cell r="C323">
            <v>18</v>
          </cell>
          <cell r="D323"/>
          <cell r="E323"/>
          <cell r="F323"/>
        </row>
        <row r="324">
          <cell r="C324">
            <v>24</v>
          </cell>
          <cell r="D324"/>
          <cell r="E324"/>
          <cell r="F324"/>
        </row>
        <row r="325">
          <cell r="C325">
            <v>18</v>
          </cell>
          <cell r="D325"/>
          <cell r="E325"/>
          <cell r="F325"/>
        </row>
        <row r="326">
          <cell r="C326">
            <v>13</v>
          </cell>
          <cell r="D326"/>
          <cell r="E326"/>
          <cell r="F326"/>
        </row>
        <row r="327">
          <cell r="C327">
            <v>17</v>
          </cell>
          <cell r="D327"/>
          <cell r="E327"/>
          <cell r="F327"/>
        </row>
        <row r="328">
          <cell r="C328">
            <v>10</v>
          </cell>
          <cell r="D328"/>
          <cell r="E328"/>
          <cell r="F328"/>
        </row>
        <row r="329">
          <cell r="C329"/>
          <cell r="D329"/>
          <cell r="E329"/>
          <cell r="F329"/>
        </row>
        <row r="330">
          <cell r="C330">
            <v>16</v>
          </cell>
          <cell r="D330"/>
          <cell r="E330"/>
          <cell r="F330"/>
        </row>
        <row r="331">
          <cell r="C331">
            <v>15</v>
          </cell>
          <cell r="D331"/>
          <cell r="E331"/>
          <cell r="F331"/>
        </row>
        <row r="332">
          <cell r="C332">
            <v>15</v>
          </cell>
          <cell r="D332"/>
          <cell r="E332"/>
          <cell r="F332"/>
        </row>
        <row r="333">
          <cell r="C333">
            <v>15</v>
          </cell>
          <cell r="D333"/>
          <cell r="E333"/>
          <cell r="F333"/>
        </row>
        <row r="334">
          <cell r="C334">
            <v>17</v>
          </cell>
          <cell r="D334"/>
          <cell r="E334"/>
          <cell r="F334"/>
        </row>
        <row r="335">
          <cell r="C335">
            <v>1</v>
          </cell>
          <cell r="D335"/>
          <cell r="E335"/>
          <cell r="F335"/>
        </row>
        <row r="336">
          <cell r="C336"/>
          <cell r="D336"/>
          <cell r="E336"/>
          <cell r="F336"/>
        </row>
        <row r="337">
          <cell r="C337">
            <v>17</v>
          </cell>
          <cell r="D337"/>
          <cell r="E337"/>
          <cell r="F337"/>
        </row>
        <row r="338">
          <cell r="C338">
            <v>18</v>
          </cell>
          <cell r="D338"/>
          <cell r="E338"/>
          <cell r="F338"/>
        </row>
        <row r="339">
          <cell r="C339">
            <v>24</v>
          </cell>
          <cell r="D339"/>
          <cell r="E339"/>
          <cell r="F339"/>
        </row>
        <row r="340">
          <cell r="C340">
            <v>24</v>
          </cell>
          <cell r="D340"/>
          <cell r="E340"/>
          <cell r="F340"/>
        </row>
        <row r="341">
          <cell r="C341">
            <v>24</v>
          </cell>
          <cell r="D341"/>
          <cell r="E341"/>
          <cell r="F341"/>
        </row>
        <row r="342">
          <cell r="C342">
            <v>20</v>
          </cell>
          <cell r="D342"/>
          <cell r="E342"/>
          <cell r="F342"/>
        </row>
        <row r="343">
          <cell r="C343">
            <v>2</v>
          </cell>
          <cell r="D343"/>
          <cell r="E343"/>
          <cell r="F343"/>
        </row>
        <row r="344">
          <cell r="C344">
            <v>20</v>
          </cell>
          <cell r="D344"/>
          <cell r="E344"/>
          <cell r="F344"/>
        </row>
        <row r="345">
          <cell r="C345">
            <v>15</v>
          </cell>
          <cell r="D345"/>
          <cell r="E345"/>
          <cell r="F345"/>
        </row>
        <row r="346">
          <cell r="C346">
            <v>18</v>
          </cell>
          <cell r="D346"/>
          <cell r="E346"/>
          <cell r="F346"/>
        </row>
        <row r="347">
          <cell r="C347">
            <v>21</v>
          </cell>
          <cell r="D347"/>
          <cell r="E347"/>
          <cell r="F347"/>
        </row>
        <row r="348">
          <cell r="C348">
            <v>18</v>
          </cell>
          <cell r="D348"/>
          <cell r="E348"/>
          <cell r="F348"/>
        </row>
        <row r="349">
          <cell r="C349">
            <v>11</v>
          </cell>
          <cell r="D349"/>
          <cell r="E349"/>
          <cell r="F349"/>
        </row>
        <row r="350">
          <cell r="C350">
            <v>10</v>
          </cell>
          <cell r="D350"/>
          <cell r="E350"/>
          <cell r="F350"/>
        </row>
        <row r="351">
          <cell r="C351">
            <v>19</v>
          </cell>
          <cell r="D351"/>
          <cell r="E351"/>
          <cell r="F351"/>
        </row>
        <row r="352">
          <cell r="C352">
            <v>24</v>
          </cell>
          <cell r="D352"/>
          <cell r="E352"/>
          <cell r="F352"/>
        </row>
        <row r="353">
          <cell r="C353">
            <v>19</v>
          </cell>
          <cell r="D353"/>
          <cell r="E353"/>
          <cell r="F353"/>
        </row>
        <row r="354">
          <cell r="C354">
            <v>19</v>
          </cell>
          <cell r="D354"/>
          <cell r="E354"/>
          <cell r="F354"/>
        </row>
        <row r="355">
          <cell r="C355">
            <v>19</v>
          </cell>
          <cell r="D355"/>
          <cell r="E355"/>
          <cell r="F355"/>
        </row>
        <row r="356">
          <cell r="C356">
            <v>8</v>
          </cell>
          <cell r="D356"/>
          <cell r="E356"/>
          <cell r="F356"/>
        </row>
        <row r="357">
          <cell r="C357">
            <v>10</v>
          </cell>
          <cell r="D357"/>
          <cell r="E357"/>
          <cell r="F357"/>
        </row>
        <row r="358">
          <cell r="C358">
            <v>24</v>
          </cell>
          <cell r="D358"/>
          <cell r="E358"/>
          <cell r="F358"/>
        </row>
        <row r="359">
          <cell r="C359">
            <v>22</v>
          </cell>
          <cell r="D359"/>
          <cell r="E359"/>
          <cell r="F359"/>
        </row>
        <row r="360">
          <cell r="C360">
            <v>18</v>
          </cell>
          <cell r="D360"/>
          <cell r="E360"/>
          <cell r="F360"/>
        </row>
        <row r="361">
          <cell r="C361">
            <v>24</v>
          </cell>
          <cell r="D361"/>
          <cell r="E361"/>
          <cell r="F361"/>
        </row>
        <row r="362">
          <cell r="C362">
            <v>24</v>
          </cell>
          <cell r="D362"/>
          <cell r="E362"/>
          <cell r="F362">
            <v>8</v>
          </cell>
        </row>
        <row r="363">
          <cell r="C363">
            <v>24</v>
          </cell>
          <cell r="D363"/>
          <cell r="E363"/>
          <cell r="F363">
            <v>4</v>
          </cell>
        </row>
        <row r="364">
          <cell r="C364">
            <v>24</v>
          </cell>
          <cell r="D364"/>
          <cell r="E364"/>
          <cell r="F364"/>
        </row>
        <row r="365">
          <cell r="C365">
            <v>24</v>
          </cell>
          <cell r="D365"/>
          <cell r="E365"/>
          <cell r="F365"/>
        </row>
        <row r="366">
          <cell r="C366">
            <v>24</v>
          </cell>
          <cell r="D366"/>
          <cell r="E366"/>
          <cell r="F366"/>
        </row>
        <row r="367">
          <cell r="C367">
            <v>24</v>
          </cell>
          <cell r="D367"/>
          <cell r="E367"/>
          <cell r="F367"/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4">
          <cell r="AR4"/>
        </row>
        <row r="5">
          <cell r="AR5"/>
        </row>
        <row r="6">
          <cell r="AR6"/>
        </row>
        <row r="7">
          <cell r="AR7"/>
        </row>
        <row r="8">
          <cell r="AR8"/>
        </row>
        <row r="9">
          <cell r="AR9"/>
        </row>
        <row r="10">
          <cell r="AR10"/>
        </row>
        <row r="11">
          <cell r="AR11"/>
        </row>
        <row r="12">
          <cell r="AR12"/>
        </row>
        <row r="13">
          <cell r="AR13"/>
        </row>
        <row r="14">
          <cell r="AR14"/>
        </row>
        <row r="15">
          <cell r="AR15"/>
        </row>
        <row r="16">
          <cell r="AR16"/>
        </row>
        <row r="17">
          <cell r="AR17"/>
        </row>
        <row r="18">
          <cell r="AR18"/>
        </row>
        <row r="19">
          <cell r="AR19"/>
        </row>
        <row r="20">
          <cell r="AR20"/>
        </row>
        <row r="21">
          <cell r="AR21"/>
        </row>
        <row r="22">
          <cell r="AR22"/>
        </row>
        <row r="23">
          <cell r="AR23"/>
        </row>
        <row r="24">
          <cell r="AR24"/>
        </row>
        <row r="25">
          <cell r="AR25"/>
        </row>
        <row r="26">
          <cell r="AR26"/>
        </row>
        <row r="27">
          <cell r="AR27"/>
        </row>
        <row r="28">
          <cell r="AR28"/>
        </row>
        <row r="29">
          <cell r="AR29"/>
        </row>
        <row r="30">
          <cell r="AR30"/>
        </row>
        <row r="31">
          <cell r="AR31"/>
        </row>
        <row r="32">
          <cell r="AR32"/>
        </row>
        <row r="33">
          <cell r="AR33"/>
        </row>
        <row r="34">
          <cell r="AR34"/>
        </row>
        <row r="35">
          <cell r="AR35"/>
        </row>
        <row r="36">
          <cell r="AR36"/>
        </row>
        <row r="37">
          <cell r="AR37"/>
        </row>
        <row r="38">
          <cell r="AR38"/>
        </row>
        <row r="39">
          <cell r="AR39"/>
        </row>
        <row r="40">
          <cell r="AR40"/>
        </row>
        <row r="41">
          <cell r="AR41"/>
        </row>
        <row r="42">
          <cell r="AR42"/>
        </row>
        <row r="43">
          <cell r="AR43"/>
        </row>
        <row r="44">
          <cell r="AR44"/>
        </row>
        <row r="45">
          <cell r="AR45"/>
        </row>
        <row r="46">
          <cell r="AR46"/>
        </row>
        <row r="47">
          <cell r="AR47"/>
        </row>
        <row r="48">
          <cell r="AR48"/>
        </row>
        <row r="49">
          <cell r="AR49"/>
        </row>
        <row r="50">
          <cell r="AR50"/>
        </row>
        <row r="51">
          <cell r="AR51"/>
        </row>
        <row r="52">
          <cell r="AR52"/>
        </row>
        <row r="53">
          <cell r="AR53"/>
        </row>
        <row r="54">
          <cell r="AR54"/>
        </row>
        <row r="55">
          <cell r="AR55"/>
        </row>
        <row r="56">
          <cell r="AR56"/>
        </row>
        <row r="57">
          <cell r="AR57"/>
        </row>
        <row r="58">
          <cell r="AR58"/>
        </row>
        <row r="59">
          <cell r="AR59"/>
        </row>
        <row r="60">
          <cell r="AR60"/>
        </row>
        <row r="61">
          <cell r="AR61"/>
        </row>
        <row r="62">
          <cell r="AR62"/>
        </row>
        <row r="63">
          <cell r="AR63"/>
        </row>
        <row r="64">
          <cell r="AR64"/>
        </row>
        <row r="65">
          <cell r="AR65"/>
        </row>
        <row r="66">
          <cell r="AR66"/>
        </row>
        <row r="67">
          <cell r="AR67"/>
        </row>
        <row r="68">
          <cell r="AR68"/>
        </row>
        <row r="69">
          <cell r="AR69"/>
        </row>
        <row r="70">
          <cell r="AR70"/>
        </row>
        <row r="71">
          <cell r="AR71"/>
        </row>
        <row r="72">
          <cell r="AR72"/>
        </row>
        <row r="73">
          <cell r="AR73"/>
        </row>
        <row r="74">
          <cell r="AR74"/>
        </row>
        <row r="75">
          <cell r="AR75"/>
        </row>
        <row r="76">
          <cell r="AR76"/>
        </row>
        <row r="77">
          <cell r="AR77"/>
        </row>
        <row r="78">
          <cell r="AR78"/>
        </row>
        <row r="79">
          <cell r="AR79"/>
        </row>
        <row r="80">
          <cell r="AR80"/>
        </row>
        <row r="81">
          <cell r="AR81"/>
        </row>
        <row r="82">
          <cell r="AR82"/>
        </row>
        <row r="83">
          <cell r="AR83"/>
        </row>
        <row r="84">
          <cell r="AR84"/>
        </row>
        <row r="85">
          <cell r="AR85"/>
        </row>
        <row r="86">
          <cell r="AR86"/>
        </row>
        <row r="87">
          <cell r="AR87"/>
        </row>
        <row r="88">
          <cell r="AR88"/>
        </row>
        <row r="89">
          <cell r="AR89"/>
        </row>
        <row r="90">
          <cell r="AR90"/>
        </row>
        <row r="91">
          <cell r="AR91"/>
        </row>
        <row r="92">
          <cell r="AR92"/>
        </row>
        <row r="93">
          <cell r="AR93"/>
        </row>
        <row r="94">
          <cell r="AR94"/>
        </row>
        <row r="95">
          <cell r="AR95"/>
        </row>
        <row r="96">
          <cell r="AR96"/>
        </row>
        <row r="97">
          <cell r="AR97"/>
        </row>
        <row r="98">
          <cell r="AR98"/>
        </row>
        <row r="99">
          <cell r="AR99"/>
        </row>
        <row r="100">
          <cell r="AR100"/>
        </row>
        <row r="101">
          <cell r="AR101"/>
        </row>
        <row r="102">
          <cell r="AR102"/>
        </row>
        <row r="103">
          <cell r="AR103"/>
        </row>
        <row r="104">
          <cell r="AR104"/>
        </row>
        <row r="105">
          <cell r="AR105"/>
        </row>
        <row r="106">
          <cell r="AR106"/>
        </row>
        <row r="107">
          <cell r="AR107"/>
        </row>
        <row r="108">
          <cell r="AR108"/>
        </row>
        <row r="109">
          <cell r="AR109"/>
        </row>
        <row r="110">
          <cell r="AR110"/>
        </row>
        <row r="111">
          <cell r="AR111"/>
        </row>
        <row r="112">
          <cell r="AR112"/>
        </row>
        <row r="113">
          <cell r="AR113"/>
        </row>
        <row r="114">
          <cell r="AR114"/>
        </row>
        <row r="115">
          <cell r="AR115"/>
        </row>
        <row r="116">
          <cell r="AR116"/>
        </row>
        <row r="117">
          <cell r="AR117"/>
        </row>
        <row r="118">
          <cell r="AR118"/>
        </row>
        <row r="119">
          <cell r="AR119"/>
        </row>
        <row r="120">
          <cell r="AR120"/>
        </row>
        <row r="121">
          <cell r="AR121"/>
        </row>
        <row r="122">
          <cell r="AR122"/>
        </row>
        <row r="123">
          <cell r="AR123"/>
        </row>
        <row r="124">
          <cell r="AR124"/>
        </row>
        <row r="125">
          <cell r="AR125"/>
        </row>
        <row r="126">
          <cell r="AR126"/>
        </row>
        <row r="127">
          <cell r="AR127"/>
        </row>
        <row r="128">
          <cell r="AR128"/>
        </row>
        <row r="129">
          <cell r="AR129"/>
        </row>
        <row r="130">
          <cell r="AR130"/>
        </row>
        <row r="131">
          <cell r="AR131"/>
        </row>
        <row r="132">
          <cell r="AR132"/>
        </row>
        <row r="133">
          <cell r="AR133"/>
        </row>
        <row r="134">
          <cell r="AR134"/>
        </row>
        <row r="135">
          <cell r="AR135"/>
        </row>
        <row r="136">
          <cell r="AR136"/>
        </row>
        <row r="137">
          <cell r="AR137"/>
        </row>
        <row r="138">
          <cell r="AR138"/>
        </row>
        <row r="139">
          <cell r="AR139"/>
        </row>
        <row r="140">
          <cell r="AR140"/>
        </row>
        <row r="141">
          <cell r="AR141"/>
        </row>
        <row r="142">
          <cell r="AR142"/>
        </row>
        <row r="143">
          <cell r="AR143"/>
        </row>
        <row r="144">
          <cell r="AR144"/>
        </row>
        <row r="145">
          <cell r="AR145"/>
        </row>
        <row r="146">
          <cell r="AR146"/>
        </row>
        <row r="147">
          <cell r="AR147"/>
        </row>
        <row r="148">
          <cell r="AR148"/>
        </row>
        <row r="149">
          <cell r="AR149"/>
        </row>
        <row r="150">
          <cell r="AR150"/>
        </row>
        <row r="151">
          <cell r="AR151"/>
        </row>
        <row r="152">
          <cell r="AR152"/>
        </row>
        <row r="153">
          <cell r="AR153"/>
        </row>
        <row r="154">
          <cell r="AR154"/>
        </row>
        <row r="155">
          <cell r="AR155"/>
        </row>
        <row r="156">
          <cell r="AR156"/>
        </row>
        <row r="157">
          <cell r="AR157"/>
        </row>
        <row r="158">
          <cell r="AR158"/>
        </row>
        <row r="159">
          <cell r="AR159"/>
        </row>
        <row r="160">
          <cell r="AR160"/>
        </row>
        <row r="161">
          <cell r="AR161"/>
        </row>
        <row r="162">
          <cell r="AR162"/>
        </row>
        <row r="163">
          <cell r="AR163"/>
        </row>
        <row r="164">
          <cell r="AR164"/>
        </row>
        <row r="165">
          <cell r="AR165"/>
        </row>
        <row r="166">
          <cell r="AR166"/>
        </row>
        <row r="167">
          <cell r="AR167"/>
        </row>
        <row r="168">
          <cell r="AR168"/>
        </row>
        <row r="169">
          <cell r="AR169"/>
        </row>
        <row r="170">
          <cell r="AR170"/>
        </row>
        <row r="171">
          <cell r="AR171"/>
        </row>
        <row r="172">
          <cell r="AR172"/>
        </row>
        <row r="173">
          <cell r="AR173"/>
        </row>
        <row r="174">
          <cell r="AR174"/>
        </row>
        <row r="175">
          <cell r="AN175">
            <v>33.74</v>
          </cell>
          <cell r="AO175">
            <v>33.25</v>
          </cell>
          <cell r="AR175">
            <v>8441</v>
          </cell>
        </row>
        <row r="176">
          <cell r="AN176">
            <v>33.5</v>
          </cell>
          <cell r="AO176">
            <v>33.299999999999997</v>
          </cell>
          <cell r="AR176">
            <v>8333</v>
          </cell>
        </row>
        <row r="177">
          <cell r="AN177">
            <v>33.729999999999997</v>
          </cell>
          <cell r="AO177">
            <v>33.32</v>
          </cell>
          <cell r="AR177">
            <v>8224</v>
          </cell>
        </row>
        <row r="178">
          <cell r="AN178">
            <v>33.700000000000003</v>
          </cell>
          <cell r="AO178">
            <v>33.270000000000003</v>
          </cell>
          <cell r="AR178">
            <v>8260</v>
          </cell>
        </row>
        <row r="179">
          <cell r="AN179">
            <v>33.82</v>
          </cell>
          <cell r="AO179">
            <v>33.25</v>
          </cell>
          <cell r="AR179">
            <v>8623</v>
          </cell>
        </row>
        <row r="180">
          <cell r="AN180">
            <v>33.700000000000003</v>
          </cell>
          <cell r="AO180">
            <v>33.14</v>
          </cell>
          <cell r="AR180">
            <v>7740</v>
          </cell>
        </row>
        <row r="181">
          <cell r="AN181">
            <v>33.53</v>
          </cell>
          <cell r="AO181">
            <v>33.119999999999997</v>
          </cell>
          <cell r="AR181">
            <v>7612</v>
          </cell>
        </row>
        <row r="182">
          <cell r="AN182">
            <v>33.36</v>
          </cell>
          <cell r="AO182">
            <v>33.14</v>
          </cell>
          <cell r="AR182">
            <v>7515</v>
          </cell>
        </row>
        <row r="183">
          <cell r="AN183">
            <v>33.46</v>
          </cell>
          <cell r="AO183">
            <v>33.270000000000003</v>
          </cell>
          <cell r="AR183">
            <v>8162</v>
          </cell>
        </row>
        <row r="184">
          <cell r="AN184">
            <v>33.47</v>
          </cell>
          <cell r="AO184">
            <v>33.33</v>
          </cell>
          <cell r="AR184">
            <v>8685</v>
          </cell>
        </row>
        <row r="185">
          <cell r="AN185">
            <v>33.56</v>
          </cell>
          <cell r="AO185">
            <v>33.31</v>
          </cell>
          <cell r="AR185">
            <v>7854</v>
          </cell>
        </row>
        <row r="186">
          <cell r="AN186">
            <v>33.17</v>
          </cell>
          <cell r="AO186">
            <v>33.44</v>
          </cell>
          <cell r="AR186">
            <v>8254</v>
          </cell>
        </row>
        <row r="187">
          <cell r="AN187">
            <v>33.18</v>
          </cell>
          <cell r="AO187">
            <v>33.6</v>
          </cell>
          <cell r="AR187">
            <v>7973</v>
          </cell>
        </row>
        <row r="188">
          <cell r="AN188">
            <v>33.700000000000003</v>
          </cell>
          <cell r="AO188">
            <v>33.18</v>
          </cell>
          <cell r="AR188">
            <v>8550</v>
          </cell>
        </row>
        <row r="189">
          <cell r="AN189">
            <v>33.68</v>
          </cell>
          <cell r="AO189">
            <v>33.090000000000003</v>
          </cell>
          <cell r="AR189">
            <v>8175</v>
          </cell>
        </row>
        <row r="190">
          <cell r="AN190">
            <v>33.479999999999997</v>
          </cell>
          <cell r="AO190">
            <v>33.049999999999997</v>
          </cell>
          <cell r="AR190">
            <v>8062</v>
          </cell>
        </row>
        <row r="191">
          <cell r="AN191">
            <v>33.44</v>
          </cell>
          <cell r="AO191">
            <v>33</v>
          </cell>
          <cell r="AR191">
            <v>8392</v>
          </cell>
        </row>
        <row r="192">
          <cell r="AN192">
            <v>33.49</v>
          </cell>
          <cell r="AO192">
            <v>32.97</v>
          </cell>
          <cell r="AR192">
            <v>8004</v>
          </cell>
        </row>
        <row r="193">
          <cell r="AN193">
            <v>33.39</v>
          </cell>
          <cell r="AO193">
            <v>32.94</v>
          </cell>
          <cell r="AR193">
            <v>7508</v>
          </cell>
        </row>
        <row r="194">
          <cell r="AN194">
            <v>33.57</v>
          </cell>
          <cell r="AO194">
            <v>33.130000000000003</v>
          </cell>
          <cell r="AR194">
            <v>7946</v>
          </cell>
        </row>
        <row r="195">
          <cell r="AN195">
            <v>33.82</v>
          </cell>
          <cell r="AO195">
            <v>33.11</v>
          </cell>
          <cell r="AR195">
            <v>7799</v>
          </cell>
        </row>
        <row r="196">
          <cell r="AN196">
            <v>33.69</v>
          </cell>
          <cell r="AO196">
            <v>33.229999999999997</v>
          </cell>
          <cell r="AR196">
            <v>8230</v>
          </cell>
        </row>
        <row r="197">
          <cell r="AN197">
            <v>33.78</v>
          </cell>
          <cell r="AO197">
            <v>33.4</v>
          </cell>
          <cell r="AR197">
            <v>8652</v>
          </cell>
        </row>
        <row r="198">
          <cell r="AN198">
            <v>33.71</v>
          </cell>
          <cell r="AO198">
            <v>33.33</v>
          </cell>
          <cell r="AR198">
            <v>8677</v>
          </cell>
        </row>
        <row r="199">
          <cell r="AN199">
            <v>33.700000000000003</v>
          </cell>
          <cell r="AO199">
            <v>33.28</v>
          </cell>
          <cell r="AR199">
            <v>7928</v>
          </cell>
        </row>
        <row r="200">
          <cell r="AN200">
            <v>33.76</v>
          </cell>
          <cell r="AO200">
            <v>33.19</v>
          </cell>
          <cell r="AR200">
            <v>8681</v>
          </cell>
        </row>
        <row r="201">
          <cell r="AN201">
            <v>33.659999999999997</v>
          </cell>
          <cell r="AO201">
            <v>33.14</v>
          </cell>
          <cell r="AR201">
            <v>8628</v>
          </cell>
        </row>
        <row r="202">
          <cell r="AN202">
            <v>33.69</v>
          </cell>
          <cell r="AO202">
            <v>33.15</v>
          </cell>
          <cell r="AR202">
            <v>7740</v>
          </cell>
        </row>
        <row r="203">
          <cell r="AN203">
            <v>33.58</v>
          </cell>
          <cell r="AO203">
            <v>33.130000000000003</v>
          </cell>
          <cell r="AR203">
            <v>8688</v>
          </cell>
        </row>
        <row r="204">
          <cell r="AN204">
            <v>33.46</v>
          </cell>
          <cell r="AO204">
            <v>33.159999999999997</v>
          </cell>
          <cell r="AR204">
            <v>7981</v>
          </cell>
        </row>
        <row r="205">
          <cell r="AN205">
            <v>33.44</v>
          </cell>
          <cell r="AO205">
            <v>33.24</v>
          </cell>
          <cell r="AR205">
            <v>7522</v>
          </cell>
        </row>
        <row r="206">
          <cell r="AN206">
            <v>33.61</v>
          </cell>
          <cell r="AO206">
            <v>33.39</v>
          </cell>
          <cell r="AR206">
            <v>8537</v>
          </cell>
        </row>
        <row r="207">
          <cell r="AN207">
            <v>33.5</v>
          </cell>
          <cell r="AO207">
            <v>33.270000000000003</v>
          </cell>
          <cell r="AR207">
            <v>8678</v>
          </cell>
        </row>
        <row r="208">
          <cell r="AN208">
            <v>33.65</v>
          </cell>
          <cell r="AO208">
            <v>33.25</v>
          </cell>
          <cell r="AR208">
            <v>7704</v>
          </cell>
        </row>
        <row r="209">
          <cell r="AN209">
            <v>33.869999999999997</v>
          </cell>
          <cell r="AO209">
            <v>33.200000000000003</v>
          </cell>
          <cell r="AR209">
            <v>8660</v>
          </cell>
        </row>
        <row r="210">
          <cell r="AN210">
            <v>33.729999999999997</v>
          </cell>
          <cell r="AO210">
            <v>33.19</v>
          </cell>
          <cell r="AR210">
            <v>8535</v>
          </cell>
        </row>
        <row r="211">
          <cell r="AN211">
            <v>33.6</v>
          </cell>
          <cell r="AO211">
            <v>33.200000000000003</v>
          </cell>
          <cell r="AR211">
            <v>8270</v>
          </cell>
        </row>
        <row r="212">
          <cell r="AN212">
            <v>33.54</v>
          </cell>
          <cell r="AO212">
            <v>33.200000000000003</v>
          </cell>
          <cell r="AR212">
            <v>8321</v>
          </cell>
        </row>
        <row r="213">
          <cell r="AN213">
            <v>33.71</v>
          </cell>
          <cell r="AO213">
            <v>33.29</v>
          </cell>
          <cell r="AR213">
            <v>8693</v>
          </cell>
        </row>
        <row r="214">
          <cell r="AN214">
            <v>33.57</v>
          </cell>
          <cell r="AO214">
            <v>33.270000000000003</v>
          </cell>
          <cell r="AR214">
            <v>8530</v>
          </cell>
        </row>
        <row r="215">
          <cell r="AN215">
            <v>33.65</v>
          </cell>
          <cell r="AO215">
            <v>33.130000000000003</v>
          </cell>
          <cell r="AR215">
            <v>8497</v>
          </cell>
        </row>
        <row r="216">
          <cell r="AN216">
            <v>33.74</v>
          </cell>
          <cell r="AO216">
            <v>33.08</v>
          </cell>
          <cell r="AR216">
            <v>8360</v>
          </cell>
        </row>
        <row r="217">
          <cell r="AN217">
            <v>33.68</v>
          </cell>
          <cell r="AO217">
            <v>33.03</v>
          </cell>
          <cell r="AR217">
            <v>7928</v>
          </cell>
        </row>
        <row r="218">
          <cell r="AN218">
            <v>33.479999999999997</v>
          </cell>
          <cell r="AO218">
            <v>33.11</v>
          </cell>
          <cell r="AR218">
            <v>8523</v>
          </cell>
        </row>
        <row r="219">
          <cell r="AN219">
            <v>33.61</v>
          </cell>
          <cell r="AO219">
            <v>33.229999999999997</v>
          </cell>
          <cell r="AR219">
            <v>8471</v>
          </cell>
        </row>
        <row r="220">
          <cell r="AN220">
            <v>33.74</v>
          </cell>
          <cell r="AO220">
            <v>33.32</v>
          </cell>
          <cell r="AR220">
            <v>8008</v>
          </cell>
        </row>
        <row r="221">
          <cell r="AN221">
            <v>33.74</v>
          </cell>
          <cell r="AO221">
            <v>33.26</v>
          </cell>
          <cell r="AR221">
            <v>8659</v>
          </cell>
        </row>
        <row r="222">
          <cell r="AN222">
            <v>33.78</v>
          </cell>
          <cell r="AO222">
            <v>33.32</v>
          </cell>
          <cell r="AR222">
            <v>7860</v>
          </cell>
        </row>
        <row r="223">
          <cell r="AN223">
            <v>33.86</v>
          </cell>
          <cell r="AO223">
            <v>33.229999999999997</v>
          </cell>
          <cell r="AR223">
            <v>8392</v>
          </cell>
        </row>
        <row r="224">
          <cell r="AN224">
            <v>33.56</v>
          </cell>
          <cell r="AO224">
            <v>33</v>
          </cell>
          <cell r="AR224">
            <v>8199</v>
          </cell>
        </row>
        <row r="225">
          <cell r="AN225">
            <v>33.229999999999997</v>
          </cell>
          <cell r="AO225">
            <v>32.89</v>
          </cell>
          <cell r="AR225">
            <v>7687</v>
          </cell>
        </row>
        <row r="226">
          <cell r="AN226">
            <v>33.119999999999997</v>
          </cell>
          <cell r="AO226">
            <v>32.78</v>
          </cell>
          <cell r="AR226">
            <v>8185</v>
          </cell>
        </row>
        <row r="227">
          <cell r="AN227">
            <v>33.18</v>
          </cell>
          <cell r="AO227">
            <v>32.64</v>
          </cell>
          <cell r="AR227">
            <v>8511</v>
          </cell>
        </row>
        <row r="228">
          <cell r="AN228">
            <v>33.18</v>
          </cell>
          <cell r="AO228">
            <v>32.53</v>
          </cell>
          <cell r="AR228">
            <v>7752</v>
          </cell>
        </row>
        <row r="229">
          <cell r="AN229">
            <v>33.06</v>
          </cell>
          <cell r="AO229">
            <v>32.39</v>
          </cell>
          <cell r="AR229">
            <v>8230</v>
          </cell>
        </row>
        <row r="230">
          <cell r="AN230">
            <v>32.909999999999997</v>
          </cell>
          <cell r="AO230">
            <v>32.31</v>
          </cell>
          <cell r="AR230">
            <v>8524</v>
          </cell>
        </row>
        <row r="231">
          <cell r="AN231">
            <v>32.57</v>
          </cell>
          <cell r="AO231">
            <v>32.159999999999997</v>
          </cell>
          <cell r="AR231">
            <v>7698</v>
          </cell>
        </row>
        <row r="232">
          <cell r="AN232">
            <v>32.29</v>
          </cell>
          <cell r="AO232">
            <v>32.03</v>
          </cell>
          <cell r="AR232">
            <v>6959</v>
          </cell>
        </row>
        <row r="233">
          <cell r="AN233">
            <v>32.1</v>
          </cell>
          <cell r="AO233">
            <v>31.79</v>
          </cell>
          <cell r="AR233">
            <v>5055</v>
          </cell>
        </row>
        <row r="234">
          <cell r="AN234">
            <v>31.92</v>
          </cell>
          <cell r="AO234">
            <v>31.59</v>
          </cell>
          <cell r="AR234">
            <v>8232</v>
          </cell>
        </row>
        <row r="235">
          <cell r="AN235">
            <v>31.72</v>
          </cell>
          <cell r="AO235">
            <v>31.43</v>
          </cell>
          <cell r="AR235">
            <v>8536</v>
          </cell>
        </row>
        <row r="236">
          <cell r="AN236">
            <v>31.91</v>
          </cell>
          <cell r="AO236">
            <v>31.42</v>
          </cell>
          <cell r="AR236">
            <v>8442</v>
          </cell>
        </row>
        <row r="237">
          <cell r="AN237">
            <v>31.97</v>
          </cell>
          <cell r="AO237">
            <v>31.41</v>
          </cell>
          <cell r="AR237">
            <v>8309</v>
          </cell>
        </row>
        <row r="238">
          <cell r="AN238">
            <v>31.72</v>
          </cell>
          <cell r="AO238">
            <v>31.31</v>
          </cell>
          <cell r="AR238">
            <v>8000</v>
          </cell>
        </row>
        <row r="239">
          <cell r="AN239">
            <v>31.7</v>
          </cell>
          <cell r="AO239">
            <v>31.36</v>
          </cell>
          <cell r="AR239">
            <v>7470</v>
          </cell>
        </row>
        <row r="240">
          <cell r="AN240">
            <v>31.69</v>
          </cell>
          <cell r="AO240">
            <v>31.21</v>
          </cell>
          <cell r="AR240">
            <v>6672</v>
          </cell>
        </row>
        <row r="241">
          <cell r="AN241">
            <v>31.66</v>
          </cell>
          <cell r="AO241">
            <v>31.1</v>
          </cell>
          <cell r="AR241">
            <v>6156</v>
          </cell>
        </row>
        <row r="242">
          <cell r="AN242">
            <v>31.44</v>
          </cell>
          <cell r="AO242">
            <v>31.08</v>
          </cell>
          <cell r="AR242">
            <v>6410</v>
          </cell>
        </row>
        <row r="243">
          <cell r="AN243">
            <v>31.36</v>
          </cell>
          <cell r="AO243">
            <v>31.06</v>
          </cell>
          <cell r="AR243">
            <v>6947</v>
          </cell>
        </row>
        <row r="244">
          <cell r="AN244">
            <v>31.24</v>
          </cell>
          <cell r="AO244">
            <v>31.02</v>
          </cell>
          <cell r="AR244">
            <v>6805</v>
          </cell>
        </row>
        <row r="245">
          <cell r="AN245">
            <v>31.33</v>
          </cell>
          <cell r="AO245">
            <v>30.97</v>
          </cell>
          <cell r="AR245">
            <v>4754</v>
          </cell>
        </row>
        <row r="246">
          <cell r="AN246">
            <v>31.28</v>
          </cell>
          <cell r="AO246">
            <v>30.94</v>
          </cell>
          <cell r="AR246">
            <v>8065</v>
          </cell>
        </row>
        <row r="247">
          <cell r="AN247">
            <v>31.5</v>
          </cell>
          <cell r="AO247">
            <v>30.99</v>
          </cell>
          <cell r="AR247">
            <v>7212</v>
          </cell>
        </row>
        <row r="248">
          <cell r="AN248">
            <v>31.46</v>
          </cell>
          <cell r="AO248">
            <v>31.04</v>
          </cell>
          <cell r="AR248">
            <v>6124</v>
          </cell>
        </row>
        <row r="249">
          <cell r="AN249">
            <v>31.37</v>
          </cell>
          <cell r="AO249">
            <v>30.95</v>
          </cell>
          <cell r="AR249">
            <v>7693</v>
          </cell>
        </row>
        <row r="250">
          <cell r="AN250">
            <v>31.49</v>
          </cell>
          <cell r="AO250">
            <v>31.03</v>
          </cell>
          <cell r="AR250">
            <v>7993</v>
          </cell>
        </row>
        <row r="251">
          <cell r="AN251">
            <v>31.61</v>
          </cell>
          <cell r="AO251">
            <v>31.04</v>
          </cell>
          <cell r="AR251">
            <v>4537</v>
          </cell>
        </row>
        <row r="252">
          <cell r="AN252">
            <v>31.28</v>
          </cell>
          <cell r="AO252">
            <v>30.98</v>
          </cell>
          <cell r="AR252">
            <v>6340</v>
          </cell>
        </row>
        <row r="253">
          <cell r="AN253">
            <v>31.31</v>
          </cell>
          <cell r="AO253">
            <v>31.05</v>
          </cell>
          <cell r="AR253">
            <v>6515</v>
          </cell>
        </row>
        <row r="254">
          <cell r="AN254">
            <v>32</v>
          </cell>
          <cell r="AO254">
            <v>31.55</v>
          </cell>
          <cell r="AR254">
            <v>6225</v>
          </cell>
        </row>
        <row r="255">
          <cell r="AN255">
            <v>32.200000000000003</v>
          </cell>
          <cell r="AO255">
            <v>31.76</v>
          </cell>
          <cell r="AR255">
            <v>4278</v>
          </cell>
        </row>
        <row r="256">
          <cell r="AN256">
            <v>32.020000000000003</v>
          </cell>
          <cell r="AO256">
            <v>31.84</v>
          </cell>
          <cell r="AR256">
            <v>7599</v>
          </cell>
        </row>
        <row r="257">
          <cell r="AN257">
            <v>32.299999999999997</v>
          </cell>
          <cell r="AO257">
            <v>32</v>
          </cell>
          <cell r="AR257">
            <v>7087</v>
          </cell>
        </row>
        <row r="258">
          <cell r="AN258">
            <v>32.32</v>
          </cell>
          <cell r="AO258">
            <v>31.99</v>
          </cell>
          <cell r="AR258">
            <v>8747</v>
          </cell>
        </row>
        <row r="259">
          <cell r="AN259">
            <v>32.39</v>
          </cell>
          <cell r="AO259">
            <v>31.94</v>
          </cell>
          <cell r="AR259">
            <v>8669</v>
          </cell>
        </row>
        <row r="260">
          <cell r="AN260">
            <v>32.33</v>
          </cell>
          <cell r="AO260">
            <v>31.89</v>
          </cell>
          <cell r="AR260">
            <v>8310</v>
          </cell>
        </row>
        <row r="261">
          <cell r="AN261">
            <v>32.54</v>
          </cell>
          <cell r="AO261">
            <v>32.14</v>
          </cell>
          <cell r="AR261">
            <v>7871</v>
          </cell>
        </row>
        <row r="262">
          <cell r="AN262">
            <v>32.83</v>
          </cell>
          <cell r="AO262">
            <v>32.32</v>
          </cell>
          <cell r="AR262">
            <v>6852</v>
          </cell>
        </row>
        <row r="263">
          <cell r="AN263">
            <v>32.82</v>
          </cell>
          <cell r="AO263">
            <v>32.479999999999997</v>
          </cell>
          <cell r="AR263">
            <v>5057</v>
          </cell>
        </row>
        <row r="264">
          <cell r="AN264">
            <v>33.090000000000003</v>
          </cell>
          <cell r="AO264">
            <v>32.67</v>
          </cell>
          <cell r="AR264">
            <v>5321</v>
          </cell>
        </row>
        <row r="265">
          <cell r="AN265">
            <v>33.46</v>
          </cell>
          <cell r="AO265">
            <v>32.840000000000003</v>
          </cell>
          <cell r="AR265">
            <v>4496</v>
          </cell>
        </row>
        <row r="266">
          <cell r="AN266">
            <v>33.57</v>
          </cell>
          <cell r="AO266">
            <v>32.92</v>
          </cell>
          <cell r="AR266">
            <v>8007</v>
          </cell>
        </row>
        <row r="267">
          <cell r="AN267">
            <v>33.549999999999997</v>
          </cell>
          <cell r="AO267">
            <v>33.020000000000003</v>
          </cell>
          <cell r="AR267">
            <v>8479</v>
          </cell>
        </row>
        <row r="268">
          <cell r="AN268">
            <v>33.340000000000003</v>
          </cell>
          <cell r="AO268">
            <v>33.08</v>
          </cell>
          <cell r="AR268">
            <v>8621</v>
          </cell>
        </row>
        <row r="269">
          <cell r="AN269">
            <v>33.520000000000003</v>
          </cell>
          <cell r="AO269">
            <v>33.14</v>
          </cell>
          <cell r="AR269">
            <v>8650</v>
          </cell>
        </row>
        <row r="270">
          <cell r="AN270">
            <v>33.340000000000003</v>
          </cell>
          <cell r="AO270">
            <v>33.24</v>
          </cell>
          <cell r="AR270">
            <v>8608</v>
          </cell>
        </row>
        <row r="271">
          <cell r="AN271">
            <v>33.36</v>
          </cell>
          <cell r="AO271">
            <v>33.25</v>
          </cell>
          <cell r="AR271">
            <v>8575</v>
          </cell>
        </row>
        <row r="272">
          <cell r="AN272">
            <v>33.630000000000003</v>
          </cell>
          <cell r="AO272">
            <v>33.270000000000003</v>
          </cell>
          <cell r="AR272">
            <v>8658</v>
          </cell>
        </row>
        <row r="273">
          <cell r="AN273">
            <v>33.67</v>
          </cell>
          <cell r="AO273">
            <v>33.32</v>
          </cell>
          <cell r="AR273">
            <v>8596</v>
          </cell>
        </row>
        <row r="274">
          <cell r="AN274">
            <v>33.74</v>
          </cell>
          <cell r="AO274">
            <v>33.35</v>
          </cell>
          <cell r="AR274">
            <v>8283</v>
          </cell>
        </row>
        <row r="275">
          <cell r="AN275">
            <v>33.67</v>
          </cell>
          <cell r="AO275">
            <v>33.35</v>
          </cell>
          <cell r="AR275">
            <v>8689</v>
          </cell>
        </row>
        <row r="276">
          <cell r="AN276">
            <v>33.68</v>
          </cell>
          <cell r="AO276">
            <v>33.43</v>
          </cell>
          <cell r="AR276">
            <v>8650</v>
          </cell>
        </row>
        <row r="277">
          <cell r="AN277">
            <v>33.6</v>
          </cell>
          <cell r="AO277">
            <v>33.369999999999997</v>
          </cell>
          <cell r="AR277">
            <v>8442</v>
          </cell>
        </row>
        <row r="278">
          <cell r="AN278">
            <v>33.79</v>
          </cell>
          <cell r="AO278">
            <v>33.369999999999997</v>
          </cell>
          <cell r="AR278">
            <v>8428</v>
          </cell>
        </row>
        <row r="279">
          <cell r="AN279">
            <v>33.869999999999997</v>
          </cell>
          <cell r="AO279">
            <v>33.270000000000003</v>
          </cell>
          <cell r="AR279">
            <v>8459</v>
          </cell>
        </row>
        <row r="280">
          <cell r="AN280">
            <v>33.68</v>
          </cell>
          <cell r="AO280">
            <v>33.25</v>
          </cell>
          <cell r="AR280">
            <v>8599</v>
          </cell>
        </row>
        <row r="281">
          <cell r="AN281">
            <v>33.71</v>
          </cell>
          <cell r="AO281">
            <v>33.29</v>
          </cell>
          <cell r="AR281">
            <v>8270</v>
          </cell>
        </row>
        <row r="282">
          <cell r="AN282">
            <v>33.770000000000003</v>
          </cell>
          <cell r="AO282">
            <v>33.21</v>
          </cell>
          <cell r="AR282">
            <v>8264</v>
          </cell>
        </row>
        <row r="283">
          <cell r="AN283">
            <v>33.78</v>
          </cell>
          <cell r="AO283">
            <v>33.200000000000003</v>
          </cell>
          <cell r="AR283">
            <v>8431</v>
          </cell>
        </row>
        <row r="284">
          <cell r="AN284">
            <v>33.19</v>
          </cell>
          <cell r="AO284">
            <v>33.729999999999997</v>
          </cell>
          <cell r="AR284">
            <v>8662</v>
          </cell>
        </row>
        <row r="285">
          <cell r="AN285">
            <v>33.700000000000003</v>
          </cell>
          <cell r="AO285">
            <v>33.159999999999997</v>
          </cell>
          <cell r="AR285">
            <v>8139</v>
          </cell>
        </row>
        <row r="286">
          <cell r="AN286">
            <v>33.61</v>
          </cell>
          <cell r="AO286">
            <v>33.17</v>
          </cell>
          <cell r="AR286">
            <v>8414</v>
          </cell>
        </row>
        <row r="287">
          <cell r="AN287">
            <v>33.54</v>
          </cell>
          <cell r="AO287">
            <v>33.119999999999997</v>
          </cell>
          <cell r="AR287">
            <v>8094</v>
          </cell>
        </row>
        <row r="288">
          <cell r="AN288">
            <v>33.47</v>
          </cell>
          <cell r="AO288">
            <v>33.090000000000003</v>
          </cell>
          <cell r="AR288">
            <v>8511</v>
          </cell>
        </row>
        <row r="289">
          <cell r="AN289">
            <v>33.299999999999997</v>
          </cell>
          <cell r="AO289">
            <v>33.090000000000003</v>
          </cell>
          <cell r="AR289">
            <v>7660</v>
          </cell>
        </row>
        <row r="290">
          <cell r="AN290">
            <v>33.18</v>
          </cell>
          <cell r="AO290">
            <v>33.049999999999997</v>
          </cell>
          <cell r="AR290">
            <v>8620</v>
          </cell>
        </row>
        <row r="291">
          <cell r="AN291">
            <v>33.200000000000003</v>
          </cell>
          <cell r="AO291">
            <v>33</v>
          </cell>
          <cell r="AR291">
            <v>8590</v>
          </cell>
        </row>
        <row r="292">
          <cell r="AN292">
            <v>33.24</v>
          </cell>
          <cell r="AO292">
            <v>32.979999999999997</v>
          </cell>
          <cell r="AR292">
            <v>8661</v>
          </cell>
        </row>
        <row r="293">
          <cell r="AN293">
            <v>33.19</v>
          </cell>
          <cell r="AO293">
            <v>32.979999999999997</v>
          </cell>
          <cell r="AR293">
            <v>7792</v>
          </cell>
        </row>
        <row r="294">
          <cell r="AN294">
            <v>33.1</v>
          </cell>
          <cell r="AO294">
            <v>32.92</v>
          </cell>
          <cell r="AR294">
            <v>8410</v>
          </cell>
        </row>
        <row r="295">
          <cell r="AN295">
            <v>32.99</v>
          </cell>
          <cell r="AO295">
            <v>32.96</v>
          </cell>
          <cell r="AR295">
            <v>8007</v>
          </cell>
        </row>
        <row r="296">
          <cell r="AN296">
            <v>33.229999999999997</v>
          </cell>
          <cell r="AO296">
            <v>32.9</v>
          </cell>
          <cell r="AR296">
            <v>8654</v>
          </cell>
        </row>
        <row r="297">
          <cell r="AN297">
            <v>33.19</v>
          </cell>
          <cell r="AO297">
            <v>32.909999999999997</v>
          </cell>
          <cell r="AR297">
            <v>8522</v>
          </cell>
        </row>
        <row r="298">
          <cell r="AN298">
            <v>33.18</v>
          </cell>
          <cell r="AO298">
            <v>32.869999999999997</v>
          </cell>
          <cell r="AR298">
            <v>8621</v>
          </cell>
        </row>
        <row r="299">
          <cell r="AN299">
            <v>33.07</v>
          </cell>
          <cell r="AO299">
            <v>32.840000000000003</v>
          </cell>
          <cell r="AR299">
            <v>8643</v>
          </cell>
        </row>
        <row r="300">
          <cell r="AN300">
            <v>33.159999999999997</v>
          </cell>
          <cell r="AO300">
            <v>32.81</v>
          </cell>
          <cell r="AR300">
            <v>8690</v>
          </cell>
        </row>
        <row r="301">
          <cell r="AN301">
            <v>33.24</v>
          </cell>
          <cell r="AO301">
            <v>32.78</v>
          </cell>
          <cell r="AR301">
            <v>8293</v>
          </cell>
        </row>
        <row r="302">
          <cell r="AN302">
            <v>33.14</v>
          </cell>
          <cell r="AO302">
            <v>32.79</v>
          </cell>
          <cell r="AR302">
            <v>8008</v>
          </cell>
        </row>
        <row r="303">
          <cell r="AN303">
            <v>32.770000000000003</v>
          </cell>
          <cell r="AO303">
            <v>32.89</v>
          </cell>
          <cell r="AR303">
            <v>8607</v>
          </cell>
        </row>
        <row r="304">
          <cell r="AN304">
            <v>33.01</v>
          </cell>
          <cell r="AO304">
            <v>32.76</v>
          </cell>
          <cell r="AR304">
            <v>8640</v>
          </cell>
        </row>
        <row r="305">
          <cell r="AN305">
            <v>33.159999999999997</v>
          </cell>
          <cell r="AO305">
            <v>32.78</v>
          </cell>
          <cell r="AR305">
            <v>8062</v>
          </cell>
        </row>
        <row r="306">
          <cell r="AN306">
            <v>33.450000000000003</v>
          </cell>
          <cell r="AO306">
            <v>32.909999999999997</v>
          </cell>
          <cell r="AR306">
            <v>8062</v>
          </cell>
        </row>
        <row r="307">
          <cell r="AN307">
            <v>33.74</v>
          </cell>
          <cell r="AO307">
            <v>33.020000000000003</v>
          </cell>
          <cell r="AR307">
            <v>4834</v>
          </cell>
        </row>
        <row r="308">
          <cell r="AN308">
            <v>33.68</v>
          </cell>
          <cell r="AO308">
            <v>33.14</v>
          </cell>
          <cell r="AR308">
            <v>7404</v>
          </cell>
        </row>
        <row r="309">
          <cell r="AN309">
            <v>33.729999999999997</v>
          </cell>
          <cell r="AO309">
            <v>33.130000000000003</v>
          </cell>
          <cell r="AR309">
            <v>8842</v>
          </cell>
        </row>
        <row r="310">
          <cell r="AN310">
            <v>33.51</v>
          </cell>
          <cell r="AO310">
            <v>33.130000000000003</v>
          </cell>
          <cell r="AR310">
            <v>8558</v>
          </cell>
        </row>
        <row r="311">
          <cell r="AN311">
            <v>33.43</v>
          </cell>
          <cell r="AO311">
            <v>33.130000000000003</v>
          </cell>
          <cell r="AR311">
            <v>8666</v>
          </cell>
        </row>
        <row r="312">
          <cell r="AN312">
            <v>33.54</v>
          </cell>
          <cell r="AO312">
            <v>33.15</v>
          </cell>
          <cell r="AR312">
            <v>8656</v>
          </cell>
        </row>
        <row r="313">
          <cell r="AN313">
            <v>33.74</v>
          </cell>
          <cell r="AO313">
            <v>33.19</v>
          </cell>
          <cell r="AR313">
            <v>8631</v>
          </cell>
        </row>
        <row r="314">
          <cell r="AN314">
            <v>34.11</v>
          </cell>
          <cell r="AO314">
            <v>33.340000000000003</v>
          </cell>
          <cell r="AR314">
            <v>8678</v>
          </cell>
        </row>
        <row r="315">
          <cell r="AN315">
            <v>34.07</v>
          </cell>
          <cell r="AO315">
            <v>33.299999999999997</v>
          </cell>
          <cell r="AR315">
            <v>8662</v>
          </cell>
        </row>
        <row r="316">
          <cell r="AN316">
            <v>33.979999999999997</v>
          </cell>
          <cell r="AO316">
            <v>33.270000000000003</v>
          </cell>
          <cell r="AR316">
            <v>8662</v>
          </cell>
        </row>
        <row r="317">
          <cell r="AN317">
            <v>33.78</v>
          </cell>
          <cell r="AO317">
            <v>33.25</v>
          </cell>
          <cell r="AR317">
            <v>8598</v>
          </cell>
        </row>
        <row r="318">
          <cell r="AN318">
            <v>33.83</v>
          </cell>
          <cell r="AO318">
            <v>33.270000000000003</v>
          </cell>
          <cell r="AR318">
            <v>8667</v>
          </cell>
        </row>
        <row r="319">
          <cell r="AN319">
            <v>34.03</v>
          </cell>
          <cell r="AO319">
            <v>33.229999999999997</v>
          </cell>
          <cell r="AR319">
            <v>8603</v>
          </cell>
        </row>
        <row r="320">
          <cell r="AN320">
            <v>34.049999999999997</v>
          </cell>
          <cell r="AO320">
            <v>33.24</v>
          </cell>
          <cell r="AR320">
            <v>8633</v>
          </cell>
        </row>
        <row r="321">
          <cell r="AN321">
            <v>33.840000000000003</v>
          </cell>
          <cell r="AO321">
            <v>33.22</v>
          </cell>
          <cell r="AR321">
            <v>8624</v>
          </cell>
        </row>
        <row r="322">
          <cell r="AN322">
            <v>33.72</v>
          </cell>
          <cell r="AO322">
            <v>33.200000000000003</v>
          </cell>
          <cell r="AR322">
            <v>8292</v>
          </cell>
        </row>
        <row r="323">
          <cell r="AN323">
            <v>33.619999999999997</v>
          </cell>
          <cell r="AO323">
            <v>33.19</v>
          </cell>
          <cell r="AR323">
            <v>8683</v>
          </cell>
        </row>
        <row r="324">
          <cell r="AN324">
            <v>33.409999999999997</v>
          </cell>
          <cell r="AO324">
            <v>33.299999999999997</v>
          </cell>
          <cell r="AR324">
            <v>7803</v>
          </cell>
        </row>
        <row r="325">
          <cell r="AN325">
            <v>33.799999999999997</v>
          </cell>
          <cell r="AO325">
            <v>33.229999999999997</v>
          </cell>
          <cell r="AR325">
            <v>8313</v>
          </cell>
        </row>
        <row r="326">
          <cell r="AN326">
            <v>33.86</v>
          </cell>
          <cell r="AO326">
            <v>33.15</v>
          </cell>
          <cell r="AR326">
            <v>8679</v>
          </cell>
        </row>
        <row r="327">
          <cell r="AN327">
            <v>33.74</v>
          </cell>
          <cell r="AO327">
            <v>33.17</v>
          </cell>
          <cell r="AR327">
            <v>8661</v>
          </cell>
        </row>
        <row r="328">
          <cell r="AN328">
            <v>33.97</v>
          </cell>
          <cell r="AO328">
            <v>33.1</v>
          </cell>
          <cell r="AR328">
            <v>7973</v>
          </cell>
        </row>
        <row r="329">
          <cell r="AN329">
            <v>33.96</v>
          </cell>
          <cell r="AO329">
            <v>33.14</v>
          </cell>
          <cell r="AR329">
            <v>8535</v>
          </cell>
        </row>
        <row r="330">
          <cell r="AN330">
            <v>33.6</v>
          </cell>
          <cell r="AO330">
            <v>33.15</v>
          </cell>
          <cell r="AR330">
            <v>8186</v>
          </cell>
        </row>
        <row r="331">
          <cell r="AN331">
            <v>33.840000000000003</v>
          </cell>
          <cell r="AO331">
            <v>33.18</v>
          </cell>
          <cell r="AR331">
            <v>8683</v>
          </cell>
        </row>
        <row r="332">
          <cell r="AN332">
            <v>33.82</v>
          </cell>
          <cell r="AO332">
            <v>33.15</v>
          </cell>
          <cell r="AR332">
            <v>8015</v>
          </cell>
        </row>
        <row r="333">
          <cell r="AN333">
            <v>33.74</v>
          </cell>
          <cell r="AO333">
            <v>33.130000000000003</v>
          </cell>
          <cell r="AR333">
            <v>7769</v>
          </cell>
        </row>
        <row r="334">
          <cell r="AN334">
            <v>33.47</v>
          </cell>
          <cell r="AO334">
            <v>32.99</v>
          </cell>
          <cell r="AR334">
            <v>8443</v>
          </cell>
        </row>
        <row r="335">
          <cell r="AN335">
            <v>33.71</v>
          </cell>
          <cell r="AO335">
            <v>33.090000000000003</v>
          </cell>
          <cell r="AR335">
            <v>8237</v>
          </cell>
        </row>
        <row r="336">
          <cell r="AN336">
            <v>33.78</v>
          </cell>
          <cell r="AO336">
            <v>33.1</v>
          </cell>
          <cell r="AR336">
            <v>7990</v>
          </cell>
        </row>
        <row r="337">
          <cell r="AN337">
            <v>33.5</v>
          </cell>
          <cell r="AO337">
            <v>33.020000000000003</v>
          </cell>
          <cell r="AR337">
            <v>8242</v>
          </cell>
        </row>
        <row r="338">
          <cell r="AN338">
            <v>33.619999999999997</v>
          </cell>
          <cell r="AO338">
            <v>33.020000000000003</v>
          </cell>
          <cell r="AR338">
            <v>8692</v>
          </cell>
        </row>
        <row r="339">
          <cell r="AN339">
            <v>33.68</v>
          </cell>
          <cell r="AO339">
            <v>33.020000000000003</v>
          </cell>
          <cell r="AR339">
            <v>8359</v>
          </cell>
        </row>
        <row r="340">
          <cell r="AN340">
            <v>33.549999999999997</v>
          </cell>
          <cell r="AO340">
            <v>33.03</v>
          </cell>
          <cell r="AR340">
            <v>8496</v>
          </cell>
        </row>
        <row r="341">
          <cell r="AN341">
            <v>33.369999999999997</v>
          </cell>
          <cell r="AO341">
            <v>33</v>
          </cell>
          <cell r="AR341">
            <v>8092</v>
          </cell>
        </row>
        <row r="342">
          <cell r="AN342">
            <v>33.35</v>
          </cell>
          <cell r="AO342">
            <v>32.96</v>
          </cell>
          <cell r="AR342">
            <v>8451</v>
          </cell>
        </row>
        <row r="343">
          <cell r="AN343">
            <v>33.53</v>
          </cell>
          <cell r="AO343">
            <v>33.04</v>
          </cell>
          <cell r="AR343">
            <v>8581</v>
          </cell>
        </row>
        <row r="344">
          <cell r="AN344">
            <v>33.450000000000003</v>
          </cell>
          <cell r="AO344">
            <v>32.880000000000003</v>
          </cell>
          <cell r="AR344">
            <v>8537</v>
          </cell>
        </row>
        <row r="345">
          <cell r="AN345">
            <v>33.32</v>
          </cell>
          <cell r="AO345">
            <v>32.880000000000003</v>
          </cell>
          <cell r="AR345">
            <v>8295</v>
          </cell>
        </row>
        <row r="346">
          <cell r="AN346">
            <v>33.51</v>
          </cell>
          <cell r="AO346">
            <v>33</v>
          </cell>
          <cell r="AR346">
            <v>8619</v>
          </cell>
        </row>
        <row r="347">
          <cell r="AN347">
            <v>33.590000000000003</v>
          </cell>
          <cell r="AO347">
            <v>32.979999999999997</v>
          </cell>
          <cell r="AR347">
            <v>4815</v>
          </cell>
        </row>
        <row r="348">
          <cell r="AN348">
            <v>33.409999999999997</v>
          </cell>
          <cell r="AO348">
            <v>32.94</v>
          </cell>
          <cell r="AR348">
            <v>8638</v>
          </cell>
        </row>
        <row r="349">
          <cell r="AN349">
            <v>33.81</v>
          </cell>
          <cell r="AO349">
            <v>33.06</v>
          </cell>
          <cell r="AR349">
            <v>8444</v>
          </cell>
        </row>
        <row r="350">
          <cell r="AN350">
            <v>33.67</v>
          </cell>
          <cell r="AO350">
            <v>33.03</v>
          </cell>
          <cell r="AR350">
            <v>8171</v>
          </cell>
        </row>
        <row r="351">
          <cell r="AN351">
            <v>33.46</v>
          </cell>
          <cell r="AO351">
            <v>32.97</v>
          </cell>
          <cell r="AR351">
            <v>8515</v>
          </cell>
        </row>
        <row r="352">
          <cell r="AN352">
            <v>33.17</v>
          </cell>
          <cell r="AO352">
            <v>33.049999999999997</v>
          </cell>
          <cell r="AR352">
            <v>8598</v>
          </cell>
        </row>
        <row r="353">
          <cell r="AN353">
            <v>33.56</v>
          </cell>
          <cell r="AO353">
            <v>33.049999999999997</v>
          </cell>
          <cell r="AR353">
            <v>8526</v>
          </cell>
        </row>
        <row r="354">
          <cell r="AN354">
            <v>33.6</v>
          </cell>
          <cell r="AO354">
            <v>33.049999999999997</v>
          </cell>
          <cell r="AR354">
            <v>8158</v>
          </cell>
        </row>
        <row r="355">
          <cell r="AN355">
            <v>33.6</v>
          </cell>
          <cell r="AO355">
            <v>33.159999999999997</v>
          </cell>
          <cell r="AR355">
            <v>8077</v>
          </cell>
        </row>
        <row r="356">
          <cell r="AN356">
            <v>33.729999999999997</v>
          </cell>
          <cell r="AO356">
            <v>33.1</v>
          </cell>
          <cell r="AR356">
            <v>6841</v>
          </cell>
        </row>
        <row r="357">
          <cell r="AN357">
            <v>33.65</v>
          </cell>
          <cell r="AO357">
            <v>33.090000000000003</v>
          </cell>
          <cell r="AR357">
            <v>8682</v>
          </cell>
        </row>
        <row r="358">
          <cell r="AN358">
            <v>33.64</v>
          </cell>
          <cell r="AO358">
            <v>33.119999999999997</v>
          </cell>
          <cell r="AR358">
            <v>8067</v>
          </cell>
        </row>
        <row r="359">
          <cell r="AN359">
            <v>33.369999999999997</v>
          </cell>
          <cell r="AO359">
            <v>33.119999999999997</v>
          </cell>
          <cell r="AR359">
            <v>8575</v>
          </cell>
        </row>
        <row r="360">
          <cell r="AN360">
            <v>33.6</v>
          </cell>
          <cell r="AO360">
            <v>33.11</v>
          </cell>
          <cell r="AR360">
            <v>8130</v>
          </cell>
        </row>
        <row r="361">
          <cell r="AN361">
            <v>33.729999999999997</v>
          </cell>
          <cell r="AO361">
            <v>33.11</v>
          </cell>
          <cell r="AR361">
            <v>8349</v>
          </cell>
        </row>
        <row r="362">
          <cell r="AN362">
            <v>33.43</v>
          </cell>
          <cell r="AO362">
            <v>33.03</v>
          </cell>
          <cell r="AR362">
            <v>8387</v>
          </cell>
        </row>
        <row r="363">
          <cell r="AN363">
            <v>33.24</v>
          </cell>
          <cell r="AO363">
            <v>33.04</v>
          </cell>
          <cell r="AR363">
            <v>8581</v>
          </cell>
        </row>
        <row r="364">
          <cell r="AN364">
            <v>33.33</v>
          </cell>
          <cell r="AO364">
            <v>33.090000000000003</v>
          </cell>
          <cell r="AR364">
            <v>8595</v>
          </cell>
        </row>
        <row r="365">
          <cell r="AN365">
            <v>33.4</v>
          </cell>
          <cell r="AO365">
            <v>33.1</v>
          </cell>
          <cell r="AR365">
            <v>8494</v>
          </cell>
        </row>
        <row r="366">
          <cell r="AN366">
            <v>33.58</v>
          </cell>
          <cell r="AO366">
            <v>33.097000000000001</v>
          </cell>
          <cell r="AR366">
            <v>8586</v>
          </cell>
        </row>
        <row r="367">
          <cell r="AN367">
            <v>33.799999999999997</v>
          </cell>
          <cell r="AO367">
            <v>33.07</v>
          </cell>
          <cell r="AR367">
            <v>8016</v>
          </cell>
        </row>
        <row r="368">
          <cell r="AN368">
            <v>33.53</v>
          </cell>
          <cell r="AO368">
            <v>33.04</v>
          </cell>
          <cell r="AR368">
            <v>8039</v>
          </cell>
        </row>
      </sheetData>
      <sheetData sheetId="33">
        <row r="175">
          <cell r="Z175">
            <v>6991</v>
          </cell>
          <cell r="AA175">
            <v>238049</v>
          </cell>
          <cell r="AB175">
            <v>231852</v>
          </cell>
          <cell r="AC175">
            <v>14596.2</v>
          </cell>
          <cell r="AD175">
            <v>12801.16</v>
          </cell>
          <cell r="AE175">
            <v>3874.1</v>
          </cell>
          <cell r="AF175">
            <v>16963</v>
          </cell>
          <cell r="AG175">
            <v>276828</v>
          </cell>
        </row>
        <row r="176">
          <cell r="Z176">
            <v>6991</v>
          </cell>
          <cell r="AA176">
            <v>238049</v>
          </cell>
          <cell r="AB176">
            <v>231852</v>
          </cell>
          <cell r="AC176">
            <v>14598.2</v>
          </cell>
          <cell r="AD176">
            <v>12801.16</v>
          </cell>
          <cell r="AE176">
            <v>3874.5</v>
          </cell>
          <cell r="AF176">
            <v>16963</v>
          </cell>
          <cell r="AG176">
            <v>276843</v>
          </cell>
        </row>
        <row r="177">
          <cell r="Z177">
            <v>6991</v>
          </cell>
          <cell r="AA177">
            <v>238049</v>
          </cell>
          <cell r="AB177">
            <v>231852</v>
          </cell>
          <cell r="AC177">
            <v>14603</v>
          </cell>
          <cell r="AD177">
            <v>12801</v>
          </cell>
          <cell r="AE177">
            <v>3874.8</v>
          </cell>
          <cell r="AF177">
            <v>16963</v>
          </cell>
          <cell r="AG177">
            <v>277003</v>
          </cell>
        </row>
        <row r="178">
          <cell r="Z178">
            <v>6991</v>
          </cell>
          <cell r="AA178">
            <v>238049</v>
          </cell>
          <cell r="AB178">
            <v>231909</v>
          </cell>
          <cell r="AC178">
            <v>14616</v>
          </cell>
          <cell r="AD178">
            <v>12801</v>
          </cell>
          <cell r="AE178">
            <v>3875.7</v>
          </cell>
          <cell r="AF178">
            <v>17011</v>
          </cell>
          <cell r="AG178">
            <v>277114</v>
          </cell>
        </row>
        <row r="179">
          <cell r="Z179">
            <v>6991</v>
          </cell>
          <cell r="AA179">
            <v>238049</v>
          </cell>
          <cell r="AB179">
            <v>231938</v>
          </cell>
          <cell r="AC179">
            <v>14625</v>
          </cell>
          <cell r="AD179">
            <v>12801</v>
          </cell>
          <cell r="AE179">
            <v>3877.2</v>
          </cell>
          <cell r="AF179">
            <v>17089</v>
          </cell>
          <cell r="AG179">
            <v>277137</v>
          </cell>
        </row>
        <row r="180">
          <cell r="Z180">
            <v>6991</v>
          </cell>
          <cell r="AA180">
            <v>238049</v>
          </cell>
          <cell r="AB180">
            <v>231938</v>
          </cell>
          <cell r="AC180">
            <v>14635</v>
          </cell>
          <cell r="AD180">
            <v>12801</v>
          </cell>
          <cell r="AE180">
            <v>3877.6</v>
          </cell>
          <cell r="AF180">
            <v>17092</v>
          </cell>
          <cell r="AG180">
            <v>277196</v>
          </cell>
        </row>
        <row r="181">
          <cell r="Z181">
            <v>6991</v>
          </cell>
          <cell r="AA181">
            <v>238049</v>
          </cell>
          <cell r="AB181">
            <v>231938</v>
          </cell>
          <cell r="AC181">
            <v>14646.75</v>
          </cell>
          <cell r="AD181">
            <v>12801.16</v>
          </cell>
          <cell r="AE181">
            <v>3878.1</v>
          </cell>
          <cell r="AF181">
            <v>17142</v>
          </cell>
          <cell r="AG181">
            <v>277218</v>
          </cell>
        </row>
        <row r="182">
          <cell r="Z182">
            <v>6991</v>
          </cell>
          <cell r="AA182">
            <v>238049</v>
          </cell>
          <cell r="AB182">
            <v>231938</v>
          </cell>
          <cell r="AC182">
            <v>14649.1</v>
          </cell>
          <cell r="AD182">
            <v>12801.16</v>
          </cell>
          <cell r="AE182">
            <v>3878.5</v>
          </cell>
          <cell r="AF182">
            <v>17142</v>
          </cell>
          <cell r="AG182">
            <v>277232</v>
          </cell>
        </row>
        <row r="183">
          <cell r="Z183">
            <v>7015</v>
          </cell>
          <cell r="AA183">
            <v>238105</v>
          </cell>
          <cell r="AB183">
            <v>231967</v>
          </cell>
          <cell r="AC183">
            <v>14656.16</v>
          </cell>
          <cell r="AD183">
            <v>12801.16</v>
          </cell>
          <cell r="AE183">
            <v>3878.8</v>
          </cell>
          <cell r="AF183">
            <v>17142</v>
          </cell>
          <cell r="AG183">
            <v>277339</v>
          </cell>
        </row>
        <row r="184">
          <cell r="Z184">
            <v>7026</v>
          </cell>
          <cell r="AA184">
            <v>238185</v>
          </cell>
          <cell r="AB184">
            <v>231967</v>
          </cell>
          <cell r="AC184">
            <v>14671.33</v>
          </cell>
          <cell r="AD184">
            <v>12801.16</v>
          </cell>
          <cell r="AE184">
            <v>3879.5</v>
          </cell>
          <cell r="AF184">
            <v>17199</v>
          </cell>
          <cell r="AG184">
            <v>277487</v>
          </cell>
        </row>
        <row r="185">
          <cell r="Z185">
            <v>7026</v>
          </cell>
          <cell r="AA185">
            <v>238185</v>
          </cell>
          <cell r="AB185">
            <v>231967</v>
          </cell>
          <cell r="AC185">
            <v>14686.29</v>
          </cell>
          <cell r="AD185">
            <v>12801.16</v>
          </cell>
          <cell r="AE185">
            <v>3880.1</v>
          </cell>
          <cell r="AF185">
            <v>17199</v>
          </cell>
          <cell r="AG185">
            <v>277514</v>
          </cell>
        </row>
        <row r="186">
          <cell r="Z186">
            <v>7026</v>
          </cell>
          <cell r="AA186">
            <v>238226</v>
          </cell>
          <cell r="AB186">
            <v>231967</v>
          </cell>
          <cell r="AC186">
            <v>14738</v>
          </cell>
          <cell r="AD186">
            <v>12801.16</v>
          </cell>
          <cell r="AE186">
            <v>3880.8</v>
          </cell>
          <cell r="AF186">
            <v>17255</v>
          </cell>
          <cell r="AG186">
            <v>277619</v>
          </cell>
        </row>
        <row r="187">
          <cell r="Z187">
            <v>7026</v>
          </cell>
          <cell r="AA187">
            <v>238226</v>
          </cell>
          <cell r="AB187">
            <v>231997</v>
          </cell>
          <cell r="AC187">
            <v>14772</v>
          </cell>
          <cell r="AD187">
            <v>12801.16</v>
          </cell>
          <cell r="AE187">
            <v>3881.3</v>
          </cell>
          <cell r="AF187">
            <v>17299</v>
          </cell>
          <cell r="AG187">
            <v>277704</v>
          </cell>
        </row>
        <row r="188">
          <cell r="Z188">
            <v>7026</v>
          </cell>
          <cell r="AA188">
            <v>238226</v>
          </cell>
          <cell r="AB188">
            <v>232038</v>
          </cell>
          <cell r="AC188">
            <v>14800.22</v>
          </cell>
          <cell r="AD188">
            <v>12801.16</v>
          </cell>
          <cell r="AE188">
            <v>3881.8</v>
          </cell>
          <cell r="AF188">
            <v>17345</v>
          </cell>
          <cell r="AG188">
            <v>277790</v>
          </cell>
        </row>
        <row r="189">
          <cell r="Z189">
            <v>7026</v>
          </cell>
          <cell r="AA189">
            <v>238226</v>
          </cell>
          <cell r="AB189">
            <v>232038</v>
          </cell>
          <cell r="AC189">
            <v>14828.94</v>
          </cell>
          <cell r="AD189">
            <v>12801.16</v>
          </cell>
          <cell r="AE189">
            <v>3882.1</v>
          </cell>
          <cell r="AF189">
            <v>17345</v>
          </cell>
          <cell r="AG189">
            <v>277828</v>
          </cell>
        </row>
        <row r="190">
          <cell r="Z190">
            <v>7026</v>
          </cell>
          <cell r="AA190">
            <v>238226</v>
          </cell>
          <cell r="AB190">
            <v>232038</v>
          </cell>
          <cell r="AC190">
            <v>14843.73</v>
          </cell>
          <cell r="AD190">
            <v>12801.33</v>
          </cell>
          <cell r="AE190">
            <v>3882.4</v>
          </cell>
          <cell r="AF190">
            <v>17345</v>
          </cell>
          <cell r="AG190">
            <v>277853</v>
          </cell>
        </row>
        <row r="191">
          <cell r="Z191">
            <v>7026</v>
          </cell>
          <cell r="AA191">
            <v>238226</v>
          </cell>
          <cell r="AB191">
            <v>232080</v>
          </cell>
          <cell r="AC191">
            <v>14876.01</v>
          </cell>
          <cell r="AD191">
            <v>12809.6</v>
          </cell>
          <cell r="AE191">
            <v>3883</v>
          </cell>
          <cell r="AF191">
            <v>17413</v>
          </cell>
          <cell r="AG191">
            <v>277976</v>
          </cell>
        </row>
        <row r="192">
          <cell r="Z192">
            <v>7030</v>
          </cell>
          <cell r="AA192">
            <v>238226</v>
          </cell>
          <cell r="AB192">
            <v>232103</v>
          </cell>
          <cell r="AC192">
            <v>14917.13</v>
          </cell>
          <cell r="AD192">
            <v>12817.6</v>
          </cell>
          <cell r="AE192">
            <v>3883.3</v>
          </cell>
          <cell r="AF192">
            <v>17413</v>
          </cell>
          <cell r="AG192">
            <v>278100</v>
          </cell>
        </row>
        <row r="193">
          <cell r="Z193">
            <v>7039</v>
          </cell>
          <cell r="AA193">
            <v>238226</v>
          </cell>
          <cell r="AB193">
            <v>232136</v>
          </cell>
          <cell r="AC193">
            <v>14946.87</v>
          </cell>
          <cell r="AD193">
            <v>12839.2</v>
          </cell>
          <cell r="AE193">
            <v>3883.3</v>
          </cell>
          <cell r="AF193">
            <v>17468</v>
          </cell>
          <cell r="AG193">
            <v>278224</v>
          </cell>
        </row>
        <row r="194">
          <cell r="Z194">
            <v>7064</v>
          </cell>
          <cell r="AA194">
            <v>238250</v>
          </cell>
          <cell r="AB194">
            <v>232231</v>
          </cell>
          <cell r="AC194">
            <v>14974.16</v>
          </cell>
          <cell r="AD194">
            <v>12850.86</v>
          </cell>
          <cell r="AE194">
            <v>3884.6</v>
          </cell>
          <cell r="AF194">
            <v>17568</v>
          </cell>
          <cell r="AG194">
            <v>278442</v>
          </cell>
        </row>
        <row r="195">
          <cell r="Z195">
            <v>7096</v>
          </cell>
          <cell r="AA195">
            <v>238366</v>
          </cell>
          <cell r="AB195">
            <v>232245</v>
          </cell>
          <cell r="AC195">
            <v>15004</v>
          </cell>
          <cell r="AD195">
            <v>12856.56</v>
          </cell>
          <cell r="AE195">
            <v>3885.3</v>
          </cell>
          <cell r="AF195">
            <v>17568</v>
          </cell>
          <cell r="AG195">
            <v>278607</v>
          </cell>
        </row>
        <row r="196">
          <cell r="Z196">
            <v>7130</v>
          </cell>
          <cell r="AA196">
            <v>238422</v>
          </cell>
          <cell r="AB196">
            <v>232297</v>
          </cell>
          <cell r="AC196">
            <v>15022</v>
          </cell>
          <cell r="AD196">
            <v>12859.76</v>
          </cell>
          <cell r="AE196">
            <v>3886.3</v>
          </cell>
          <cell r="AF196">
            <v>17631</v>
          </cell>
          <cell r="AG196">
            <v>278765</v>
          </cell>
        </row>
        <row r="197">
          <cell r="Z197">
            <v>7166</v>
          </cell>
          <cell r="AA197">
            <v>238422</v>
          </cell>
          <cell r="AB197">
            <v>232388</v>
          </cell>
          <cell r="AC197">
            <v>15037</v>
          </cell>
          <cell r="AD197">
            <v>12863.69</v>
          </cell>
          <cell r="AE197">
            <v>3886.7</v>
          </cell>
          <cell r="AF197">
            <v>17631</v>
          </cell>
          <cell r="AG197">
            <v>278905</v>
          </cell>
        </row>
        <row r="198">
          <cell r="Z198">
            <v>7169</v>
          </cell>
          <cell r="AA198">
            <v>238422</v>
          </cell>
          <cell r="AB198">
            <v>232441</v>
          </cell>
          <cell r="AC198">
            <v>15055.73</v>
          </cell>
          <cell r="AD198">
            <v>12869.18</v>
          </cell>
          <cell r="AE198">
            <v>3887.1</v>
          </cell>
          <cell r="AF198">
            <v>17648</v>
          </cell>
          <cell r="AG198">
            <v>279031</v>
          </cell>
        </row>
        <row r="199">
          <cell r="Z199">
            <v>7169</v>
          </cell>
          <cell r="AA199">
            <v>238422</v>
          </cell>
          <cell r="AB199">
            <v>232470</v>
          </cell>
          <cell r="AC199">
            <v>15071</v>
          </cell>
          <cell r="AD199">
            <v>12872.69</v>
          </cell>
          <cell r="AE199">
            <v>3887.4</v>
          </cell>
          <cell r="AF199">
            <v>17648</v>
          </cell>
          <cell r="AG199">
            <v>279098</v>
          </cell>
        </row>
        <row r="200">
          <cell r="Z200">
            <v>7169</v>
          </cell>
          <cell r="AA200">
            <v>238515</v>
          </cell>
          <cell r="AB200">
            <v>232470</v>
          </cell>
          <cell r="AC200">
            <v>15085.21</v>
          </cell>
          <cell r="AD200">
            <v>12873.88</v>
          </cell>
          <cell r="AE200">
            <v>3888.1</v>
          </cell>
          <cell r="AF200">
            <v>17660</v>
          </cell>
          <cell r="AG200">
            <v>279215</v>
          </cell>
        </row>
        <row r="201">
          <cell r="Z201">
            <v>7169</v>
          </cell>
          <cell r="AA201">
            <v>238522</v>
          </cell>
          <cell r="AB201">
            <v>232470</v>
          </cell>
          <cell r="AC201">
            <v>15102.53</v>
          </cell>
          <cell r="AD201">
            <v>12874.21</v>
          </cell>
          <cell r="AE201">
            <v>3888.7</v>
          </cell>
          <cell r="AF201">
            <v>17749</v>
          </cell>
          <cell r="AG201">
            <v>279284</v>
          </cell>
        </row>
        <row r="202">
          <cell r="Z202">
            <v>7169</v>
          </cell>
          <cell r="AA202">
            <v>238522</v>
          </cell>
          <cell r="AB202">
            <v>232470</v>
          </cell>
          <cell r="AC202">
            <v>15121.73</v>
          </cell>
          <cell r="AD202">
            <v>12875.04</v>
          </cell>
          <cell r="AE202">
            <v>3889.7</v>
          </cell>
          <cell r="AF202">
            <v>17911</v>
          </cell>
          <cell r="AG202">
            <v>279315</v>
          </cell>
        </row>
        <row r="203">
          <cell r="Z203">
            <v>7169</v>
          </cell>
          <cell r="AA203">
            <v>238522</v>
          </cell>
          <cell r="AB203">
            <v>232470</v>
          </cell>
          <cell r="AC203">
            <v>15132.28</v>
          </cell>
          <cell r="AD203">
            <v>12875.42</v>
          </cell>
          <cell r="AE203">
            <v>3890.3</v>
          </cell>
          <cell r="AF203">
            <v>17976</v>
          </cell>
          <cell r="AG203">
            <v>279380</v>
          </cell>
        </row>
        <row r="204">
          <cell r="Z204">
            <v>7193</v>
          </cell>
          <cell r="AA204">
            <v>238601</v>
          </cell>
          <cell r="AB204">
            <v>232470</v>
          </cell>
          <cell r="AC204">
            <v>15143.41</v>
          </cell>
          <cell r="AD204">
            <v>12877.85</v>
          </cell>
          <cell r="AE204">
            <v>3890.6</v>
          </cell>
          <cell r="AF204">
            <v>17976</v>
          </cell>
          <cell r="AG204">
            <v>279479</v>
          </cell>
        </row>
        <row r="205">
          <cell r="Z205">
            <v>7220</v>
          </cell>
          <cell r="AA205">
            <v>238601</v>
          </cell>
          <cell r="AB205">
            <v>232577</v>
          </cell>
          <cell r="AC205">
            <v>15165</v>
          </cell>
          <cell r="AD205">
            <v>12880.71</v>
          </cell>
          <cell r="AE205">
            <v>3891.2</v>
          </cell>
          <cell r="AF205">
            <v>18035</v>
          </cell>
          <cell r="AG205">
            <v>279647</v>
          </cell>
        </row>
        <row r="206">
          <cell r="Z206">
            <v>7250</v>
          </cell>
          <cell r="AA206">
            <v>238744</v>
          </cell>
          <cell r="AB206">
            <v>232577</v>
          </cell>
          <cell r="AC206">
            <v>15187</v>
          </cell>
          <cell r="AD206">
            <v>12881.7</v>
          </cell>
          <cell r="AE206">
            <v>3892</v>
          </cell>
          <cell r="AF206">
            <v>18167</v>
          </cell>
          <cell r="AG206">
            <v>279859</v>
          </cell>
        </row>
        <row r="207">
          <cell r="Z207">
            <v>7250</v>
          </cell>
          <cell r="AA207">
            <v>238791</v>
          </cell>
          <cell r="AB207">
            <v>232577</v>
          </cell>
          <cell r="AC207">
            <v>15212.34</v>
          </cell>
          <cell r="AD207">
            <v>12881.77</v>
          </cell>
          <cell r="AE207">
            <v>3892.6</v>
          </cell>
          <cell r="AF207">
            <v>18235</v>
          </cell>
          <cell r="AG207">
            <v>279940</v>
          </cell>
        </row>
        <row r="208">
          <cell r="Z208">
            <v>7250</v>
          </cell>
          <cell r="AA208">
            <v>238791</v>
          </cell>
          <cell r="AB208">
            <v>232577</v>
          </cell>
          <cell r="AC208">
            <v>15239.1</v>
          </cell>
          <cell r="AD208">
            <v>12882.42</v>
          </cell>
          <cell r="AE208">
            <v>3893.1</v>
          </cell>
          <cell r="AF208">
            <v>18287</v>
          </cell>
          <cell r="AG208">
            <v>280019</v>
          </cell>
        </row>
        <row r="209">
          <cell r="Z209">
            <v>7250</v>
          </cell>
          <cell r="AA209">
            <v>238791</v>
          </cell>
          <cell r="AB209">
            <v>232642</v>
          </cell>
          <cell r="AC209">
            <v>15261.25</v>
          </cell>
          <cell r="AD209">
            <v>12889.28</v>
          </cell>
          <cell r="AE209">
            <v>3893.7</v>
          </cell>
          <cell r="AF209">
            <v>18352</v>
          </cell>
          <cell r="AG209">
            <v>280106</v>
          </cell>
        </row>
        <row r="210">
          <cell r="Z210">
            <v>7250</v>
          </cell>
          <cell r="AA210">
            <v>238791</v>
          </cell>
          <cell r="AB210">
            <v>232642</v>
          </cell>
          <cell r="AC210">
            <v>15285.8</v>
          </cell>
          <cell r="AD210">
            <v>12900.89</v>
          </cell>
          <cell r="AE210">
            <v>3894</v>
          </cell>
          <cell r="AF210">
            <v>18352</v>
          </cell>
          <cell r="AG210">
            <v>280172</v>
          </cell>
        </row>
        <row r="211">
          <cell r="Z211">
            <v>7259</v>
          </cell>
          <cell r="AA211">
            <v>238791</v>
          </cell>
          <cell r="AB211">
            <v>232659</v>
          </cell>
          <cell r="AC211">
            <v>15308.04</v>
          </cell>
          <cell r="AD211">
            <v>12916.65</v>
          </cell>
          <cell r="AE211">
            <v>3894.3</v>
          </cell>
          <cell r="AF211">
            <v>18352</v>
          </cell>
          <cell r="AG211">
            <v>280251</v>
          </cell>
        </row>
        <row r="212">
          <cell r="Z212">
            <v>7267</v>
          </cell>
          <cell r="AA212">
            <v>238791</v>
          </cell>
          <cell r="AB212">
            <v>232709</v>
          </cell>
          <cell r="AC212">
            <v>15345.19</v>
          </cell>
          <cell r="AD212">
            <v>12927</v>
          </cell>
          <cell r="AE212">
            <v>3894.8</v>
          </cell>
          <cell r="AF212">
            <v>18396</v>
          </cell>
          <cell r="AG212">
            <v>280337</v>
          </cell>
        </row>
        <row r="213">
          <cell r="Z213">
            <v>7267</v>
          </cell>
          <cell r="AA213">
            <v>238813</v>
          </cell>
          <cell r="AB213">
            <v>232756</v>
          </cell>
          <cell r="AC213">
            <v>15373.05</v>
          </cell>
          <cell r="AD213">
            <v>12946.66</v>
          </cell>
          <cell r="AE213">
            <v>3895.4</v>
          </cell>
          <cell r="AF213">
            <v>18472</v>
          </cell>
          <cell r="AG213">
            <v>280504</v>
          </cell>
        </row>
        <row r="214">
          <cell r="Z214">
            <v>7267</v>
          </cell>
          <cell r="AA214">
            <v>238862</v>
          </cell>
          <cell r="AB214">
            <v>232756</v>
          </cell>
          <cell r="AC214">
            <v>15399</v>
          </cell>
          <cell r="AD214">
            <v>12955.19</v>
          </cell>
          <cell r="AE214">
            <v>3896</v>
          </cell>
          <cell r="AF214">
            <v>18524</v>
          </cell>
          <cell r="AG214">
            <v>280624</v>
          </cell>
        </row>
        <row r="215">
          <cell r="Z215">
            <v>7267</v>
          </cell>
          <cell r="AA215">
            <v>238895</v>
          </cell>
          <cell r="AB215">
            <v>232756</v>
          </cell>
          <cell r="AC215">
            <v>15427</v>
          </cell>
          <cell r="AD215">
            <v>12972.95</v>
          </cell>
          <cell r="AE215">
            <v>3896.5</v>
          </cell>
          <cell r="AF215">
            <v>18587</v>
          </cell>
          <cell r="AG215">
            <v>280705</v>
          </cell>
        </row>
        <row r="216">
          <cell r="Z216">
            <v>7267</v>
          </cell>
          <cell r="AA216">
            <v>238895</v>
          </cell>
          <cell r="AB216">
            <v>232756</v>
          </cell>
          <cell r="AC216">
            <v>15459.81</v>
          </cell>
          <cell r="AD216">
            <v>12987.09</v>
          </cell>
          <cell r="AE216">
            <v>3896.8</v>
          </cell>
          <cell r="AF216">
            <v>18587</v>
          </cell>
          <cell r="AG216">
            <v>280750</v>
          </cell>
        </row>
        <row r="217">
          <cell r="Z217">
            <v>7267</v>
          </cell>
          <cell r="AA217">
            <v>238895</v>
          </cell>
          <cell r="AB217">
            <v>232756</v>
          </cell>
          <cell r="AC217">
            <v>15491.86</v>
          </cell>
          <cell r="AD217">
            <v>12998.23</v>
          </cell>
          <cell r="AE217">
            <v>3897.1</v>
          </cell>
          <cell r="AF217">
            <v>18587</v>
          </cell>
          <cell r="AG217">
            <v>280791</v>
          </cell>
        </row>
        <row r="218">
          <cell r="Z218">
            <v>7298</v>
          </cell>
          <cell r="AA218">
            <v>238944</v>
          </cell>
          <cell r="AB218">
            <v>232802</v>
          </cell>
          <cell r="AC218">
            <v>15504.46</v>
          </cell>
          <cell r="AD218">
            <v>13004.53</v>
          </cell>
          <cell r="AE218">
            <v>3897.5</v>
          </cell>
          <cell r="AF218">
            <v>18587</v>
          </cell>
          <cell r="AG218">
            <v>280901</v>
          </cell>
        </row>
        <row r="219">
          <cell r="Z219">
            <v>7328</v>
          </cell>
          <cell r="AA219">
            <v>238944</v>
          </cell>
          <cell r="AB219">
            <v>232921</v>
          </cell>
          <cell r="AC219">
            <v>15523.54</v>
          </cell>
          <cell r="AD219">
            <v>13006.06</v>
          </cell>
          <cell r="AE219">
            <v>3898.1</v>
          </cell>
          <cell r="AF219">
            <v>18618</v>
          </cell>
          <cell r="AG219">
            <v>281066</v>
          </cell>
        </row>
        <row r="220">
          <cell r="Z220">
            <v>7359</v>
          </cell>
          <cell r="AA220">
            <v>239036</v>
          </cell>
          <cell r="AB220">
            <v>232931</v>
          </cell>
          <cell r="AC220">
            <v>15540.82</v>
          </cell>
          <cell r="AD220">
            <v>13010.3</v>
          </cell>
          <cell r="AE220">
            <v>3898.8</v>
          </cell>
          <cell r="AF220">
            <v>18697</v>
          </cell>
          <cell r="AG220">
            <v>281227</v>
          </cell>
        </row>
        <row r="221">
          <cell r="Z221">
            <v>7363</v>
          </cell>
          <cell r="AA221">
            <v>239069</v>
          </cell>
          <cell r="AB221">
            <v>232962</v>
          </cell>
          <cell r="AC221">
            <v>15556.12</v>
          </cell>
          <cell r="AD221">
            <v>13010.3</v>
          </cell>
          <cell r="AE221">
            <v>3899.3</v>
          </cell>
          <cell r="AF221">
            <v>18702</v>
          </cell>
          <cell r="AG221">
            <v>281341</v>
          </cell>
        </row>
        <row r="222">
          <cell r="Z222">
            <v>7364</v>
          </cell>
          <cell r="AA222">
            <v>239069</v>
          </cell>
          <cell r="AB222">
            <v>232962</v>
          </cell>
          <cell r="AC222">
            <v>15574.54</v>
          </cell>
          <cell r="AD222">
            <v>13010.3</v>
          </cell>
          <cell r="AE222">
            <v>3900</v>
          </cell>
          <cell r="AF222">
            <v>18768</v>
          </cell>
          <cell r="AG222">
            <v>281368</v>
          </cell>
        </row>
        <row r="223">
          <cell r="Z223">
            <v>7364</v>
          </cell>
          <cell r="AA223">
            <v>239069</v>
          </cell>
          <cell r="AB223">
            <v>232996</v>
          </cell>
          <cell r="AC223">
            <v>15592.5</v>
          </cell>
          <cell r="AD223">
            <v>13010.41</v>
          </cell>
          <cell r="AE223">
            <v>3900.3</v>
          </cell>
          <cell r="AF223">
            <v>18768</v>
          </cell>
          <cell r="AG223">
            <v>281438</v>
          </cell>
        </row>
        <row r="224">
          <cell r="Z224">
            <v>7364</v>
          </cell>
          <cell r="AA224">
            <v>239069</v>
          </cell>
          <cell r="AB224">
            <v>232996</v>
          </cell>
          <cell r="AC224">
            <v>15606</v>
          </cell>
          <cell r="AD224">
            <v>13010.67</v>
          </cell>
          <cell r="AE224">
            <v>3900.6</v>
          </cell>
          <cell r="AF224">
            <v>18768</v>
          </cell>
          <cell r="AG224">
            <v>281463</v>
          </cell>
        </row>
        <row r="225">
          <cell r="Z225">
            <v>7383</v>
          </cell>
          <cell r="AA225">
            <v>239069</v>
          </cell>
          <cell r="AB225">
            <v>233043</v>
          </cell>
          <cell r="AC225">
            <v>15620.29</v>
          </cell>
          <cell r="AD225">
            <v>13010.75</v>
          </cell>
          <cell r="AE225">
            <v>3900.9</v>
          </cell>
          <cell r="AF225">
            <v>18768</v>
          </cell>
          <cell r="AG225">
            <v>281533</v>
          </cell>
        </row>
        <row r="226">
          <cell r="Z226">
            <v>7417</v>
          </cell>
          <cell r="AA226">
            <v>239069</v>
          </cell>
          <cell r="AB226">
            <v>233138</v>
          </cell>
          <cell r="AC226">
            <v>15637.21</v>
          </cell>
          <cell r="AD226">
            <v>13010.76</v>
          </cell>
          <cell r="AE226">
            <v>3901.4</v>
          </cell>
          <cell r="AF226">
            <v>18812</v>
          </cell>
          <cell r="AG226">
            <v>281650</v>
          </cell>
        </row>
        <row r="227">
          <cell r="Z227">
            <v>7448</v>
          </cell>
          <cell r="AA227">
            <v>239145</v>
          </cell>
          <cell r="AB227">
            <v>233186</v>
          </cell>
          <cell r="AC227">
            <v>15654.93</v>
          </cell>
          <cell r="AD227">
            <v>13013.82</v>
          </cell>
          <cell r="AE227">
            <v>3901.9</v>
          </cell>
          <cell r="AF227">
            <v>18858</v>
          </cell>
          <cell r="AG227">
            <v>281851</v>
          </cell>
        </row>
        <row r="228">
          <cell r="Z228">
            <v>7480</v>
          </cell>
          <cell r="AA228">
            <v>239212</v>
          </cell>
          <cell r="AB228">
            <v>233186</v>
          </cell>
          <cell r="AC228">
            <v>15668.35</v>
          </cell>
          <cell r="AD228">
            <v>13013.82</v>
          </cell>
          <cell r="AE228">
            <v>3902.3</v>
          </cell>
          <cell r="AF228">
            <v>18858</v>
          </cell>
          <cell r="AG228">
            <v>281922</v>
          </cell>
        </row>
        <row r="229">
          <cell r="Z229">
            <v>7511</v>
          </cell>
          <cell r="AA229">
            <v>239249</v>
          </cell>
          <cell r="AB229">
            <v>233273</v>
          </cell>
          <cell r="AC229">
            <v>15682.62</v>
          </cell>
          <cell r="AD229">
            <v>13013.82</v>
          </cell>
          <cell r="AE229">
            <v>3902.9</v>
          </cell>
          <cell r="AF229">
            <v>18932</v>
          </cell>
          <cell r="AG229">
            <v>282085</v>
          </cell>
        </row>
        <row r="230">
          <cell r="Z230">
            <v>7542</v>
          </cell>
          <cell r="AA230">
            <v>239275</v>
          </cell>
          <cell r="AB230">
            <v>233338</v>
          </cell>
          <cell r="AC230">
            <v>15694.77</v>
          </cell>
          <cell r="AD230">
            <v>13013.82</v>
          </cell>
          <cell r="AE230">
            <v>3903.2</v>
          </cell>
          <cell r="AF230">
            <v>18935</v>
          </cell>
          <cell r="AG230">
            <v>282182</v>
          </cell>
        </row>
        <row r="231">
          <cell r="Z231">
            <v>7573</v>
          </cell>
          <cell r="AA231">
            <v>239342</v>
          </cell>
          <cell r="AB231">
            <v>233338</v>
          </cell>
          <cell r="AC231">
            <v>15708.17</v>
          </cell>
          <cell r="AD231">
            <v>13014.57</v>
          </cell>
          <cell r="AE231">
            <v>3903.5</v>
          </cell>
          <cell r="AF231">
            <v>18935</v>
          </cell>
          <cell r="AG231">
            <v>282265</v>
          </cell>
        </row>
        <row r="232">
          <cell r="Z232">
            <v>7573</v>
          </cell>
          <cell r="AA232">
            <v>239388</v>
          </cell>
          <cell r="AB232">
            <v>233338</v>
          </cell>
          <cell r="AC232">
            <v>15720.72</v>
          </cell>
          <cell r="AD232">
            <v>13015.62</v>
          </cell>
          <cell r="AE232">
            <v>3903.9</v>
          </cell>
          <cell r="AF232">
            <v>18966</v>
          </cell>
          <cell r="AG232">
            <v>282333</v>
          </cell>
        </row>
        <row r="233">
          <cell r="Z233">
            <v>7595</v>
          </cell>
          <cell r="AA233">
            <v>239405</v>
          </cell>
          <cell r="AB233">
            <v>233338</v>
          </cell>
          <cell r="AC233">
            <v>15736.74</v>
          </cell>
          <cell r="AD233">
            <v>13024.53</v>
          </cell>
          <cell r="AE233">
            <v>3904.5</v>
          </cell>
          <cell r="AF233">
            <v>19003</v>
          </cell>
          <cell r="AG233">
            <v>282406</v>
          </cell>
        </row>
        <row r="234">
          <cell r="Z234">
            <v>7600</v>
          </cell>
          <cell r="AA234">
            <v>239537</v>
          </cell>
          <cell r="AB234">
            <v>233338</v>
          </cell>
          <cell r="AC234">
            <v>15753.13</v>
          </cell>
          <cell r="AD234">
            <v>13034.89</v>
          </cell>
          <cell r="AE234">
            <v>3905.3</v>
          </cell>
          <cell r="AF234">
            <v>19129</v>
          </cell>
          <cell r="AG234">
            <v>282611</v>
          </cell>
        </row>
        <row r="235">
          <cell r="Z235">
            <v>7618</v>
          </cell>
          <cell r="AA235">
            <v>239637</v>
          </cell>
          <cell r="AB235">
            <v>233338</v>
          </cell>
          <cell r="AC235">
            <v>15771.89</v>
          </cell>
          <cell r="AD235">
            <v>13039.14</v>
          </cell>
          <cell r="AE235">
            <v>3905.8</v>
          </cell>
          <cell r="AF235">
            <v>19129</v>
          </cell>
          <cell r="AG235">
            <v>282731</v>
          </cell>
        </row>
        <row r="236">
          <cell r="Z236">
            <v>7636</v>
          </cell>
          <cell r="AA236">
            <v>239637</v>
          </cell>
          <cell r="AB236">
            <v>233501</v>
          </cell>
          <cell r="AC236">
            <v>15806.58</v>
          </cell>
          <cell r="AD236">
            <v>13043.34</v>
          </cell>
          <cell r="AE236">
            <v>3906.9</v>
          </cell>
          <cell r="AF236">
            <v>19129</v>
          </cell>
          <cell r="AG236">
            <v>283004</v>
          </cell>
        </row>
        <row r="237">
          <cell r="Z237">
            <v>7663</v>
          </cell>
          <cell r="AA237">
            <v>239807</v>
          </cell>
          <cell r="AB237">
            <v>233501</v>
          </cell>
          <cell r="AC237">
            <v>15828.91</v>
          </cell>
          <cell r="AD237">
            <v>13056.19</v>
          </cell>
          <cell r="AE237">
            <v>3907.4</v>
          </cell>
          <cell r="AF237">
            <v>19178</v>
          </cell>
          <cell r="AG237">
            <v>283221</v>
          </cell>
        </row>
        <row r="238">
          <cell r="Z238">
            <v>7692</v>
          </cell>
          <cell r="AA238">
            <v>239897</v>
          </cell>
          <cell r="AB238">
            <v>233587</v>
          </cell>
          <cell r="AC238">
            <v>15848.31</v>
          </cell>
          <cell r="AD238">
            <v>13059.28</v>
          </cell>
          <cell r="AE238">
            <v>3908.3</v>
          </cell>
          <cell r="AF238">
            <v>19330</v>
          </cell>
          <cell r="AG238">
            <v>283479</v>
          </cell>
        </row>
        <row r="239">
          <cell r="Z239">
            <v>7717</v>
          </cell>
          <cell r="AA239">
            <v>239979</v>
          </cell>
          <cell r="AB239">
            <v>233676</v>
          </cell>
          <cell r="AC239">
            <v>15873.21</v>
          </cell>
          <cell r="AD239">
            <v>13063.03</v>
          </cell>
          <cell r="AE239">
            <v>3908.9</v>
          </cell>
          <cell r="AF239">
            <v>19418</v>
          </cell>
          <cell r="AG239">
            <v>283688</v>
          </cell>
        </row>
        <row r="240">
          <cell r="Z240">
            <v>7721</v>
          </cell>
          <cell r="AA240">
            <v>240036</v>
          </cell>
          <cell r="AB240">
            <v>233676</v>
          </cell>
          <cell r="AC240">
            <v>15897.79</v>
          </cell>
          <cell r="AD240">
            <v>13073.4</v>
          </cell>
          <cell r="AE240">
            <v>3909.5</v>
          </cell>
          <cell r="AF240">
            <v>19489</v>
          </cell>
          <cell r="AG240">
            <v>283813</v>
          </cell>
        </row>
        <row r="241">
          <cell r="Z241">
            <v>7751</v>
          </cell>
          <cell r="AA241">
            <v>240162</v>
          </cell>
          <cell r="AB241">
            <v>233690</v>
          </cell>
          <cell r="AC241">
            <v>15925.45</v>
          </cell>
          <cell r="AD241">
            <v>13084.91</v>
          </cell>
          <cell r="AE241">
            <v>3910.2</v>
          </cell>
          <cell r="AF241">
            <v>19563</v>
          </cell>
          <cell r="AG241">
            <v>284028</v>
          </cell>
        </row>
        <row r="242">
          <cell r="Z242">
            <v>7776</v>
          </cell>
          <cell r="AA242">
            <v>240237</v>
          </cell>
          <cell r="AB242">
            <v>233810</v>
          </cell>
          <cell r="AC242">
            <v>15947.95</v>
          </cell>
          <cell r="AD242">
            <v>13089.35</v>
          </cell>
          <cell r="AE242">
            <v>3910.9</v>
          </cell>
          <cell r="AF242">
            <v>19687</v>
          </cell>
          <cell r="AG242">
            <v>284284</v>
          </cell>
        </row>
        <row r="243">
          <cell r="Z243">
            <v>7804</v>
          </cell>
          <cell r="AA243">
            <v>240409</v>
          </cell>
          <cell r="AB243">
            <v>233839</v>
          </cell>
          <cell r="AC243">
            <v>15971.54</v>
          </cell>
          <cell r="AD243">
            <v>13095.04</v>
          </cell>
          <cell r="AE243">
            <v>3911.5</v>
          </cell>
          <cell r="AF243">
            <v>19745</v>
          </cell>
          <cell r="AG243">
            <v>284537</v>
          </cell>
        </row>
        <row r="244">
          <cell r="Z244">
            <v>7836</v>
          </cell>
          <cell r="AA244">
            <v>240574</v>
          </cell>
          <cell r="AB244">
            <v>233969</v>
          </cell>
          <cell r="AC244">
            <v>15993.91</v>
          </cell>
          <cell r="AD244">
            <v>13096.12</v>
          </cell>
          <cell r="AE244">
            <v>3912.4</v>
          </cell>
          <cell r="AF244">
            <v>19849</v>
          </cell>
          <cell r="AG244">
            <v>284896</v>
          </cell>
        </row>
        <row r="245">
          <cell r="Z245">
            <v>7859</v>
          </cell>
          <cell r="AA245">
            <v>240683</v>
          </cell>
          <cell r="AB245">
            <v>234069</v>
          </cell>
          <cell r="AC245">
            <v>16010.97</v>
          </cell>
          <cell r="AD245">
            <v>13108.24</v>
          </cell>
          <cell r="AE245">
            <v>3913.7</v>
          </cell>
          <cell r="AF245">
            <v>20040</v>
          </cell>
          <cell r="AG245">
            <v>285206</v>
          </cell>
        </row>
        <row r="246">
          <cell r="Z246">
            <v>7881</v>
          </cell>
          <cell r="AA246">
            <v>240791</v>
          </cell>
          <cell r="AB246">
            <v>234236</v>
          </cell>
          <cell r="AC246">
            <v>16037.92</v>
          </cell>
          <cell r="AD246">
            <v>13113.13</v>
          </cell>
          <cell r="AE246">
            <v>3915</v>
          </cell>
          <cell r="AF246">
            <v>20114</v>
          </cell>
          <cell r="AG246">
            <v>285524</v>
          </cell>
        </row>
        <row r="247">
          <cell r="Z247">
            <v>7908</v>
          </cell>
          <cell r="AA247">
            <v>240895</v>
          </cell>
          <cell r="AB247">
            <v>234333</v>
          </cell>
          <cell r="AC247">
            <v>16061.78</v>
          </cell>
          <cell r="AD247">
            <v>13117.09</v>
          </cell>
          <cell r="AE247">
            <v>3916.3</v>
          </cell>
          <cell r="AF247">
            <v>20263</v>
          </cell>
          <cell r="AG247">
            <v>285827</v>
          </cell>
        </row>
        <row r="248">
          <cell r="Z248">
            <v>7938</v>
          </cell>
          <cell r="AA248">
            <v>240994</v>
          </cell>
          <cell r="AB248">
            <v>234455</v>
          </cell>
          <cell r="AC248">
            <v>16081.16</v>
          </cell>
          <cell r="AD248">
            <v>13119.8</v>
          </cell>
          <cell r="AE248">
            <v>3917.7</v>
          </cell>
          <cell r="AF248">
            <v>20356</v>
          </cell>
          <cell r="AG248">
            <v>286134</v>
          </cell>
        </row>
        <row r="249">
          <cell r="Z249">
            <v>7961</v>
          </cell>
          <cell r="AA249">
            <v>241116</v>
          </cell>
          <cell r="AB249">
            <v>234552</v>
          </cell>
          <cell r="AC249">
            <v>16106.58</v>
          </cell>
          <cell r="AD249">
            <v>13129.22</v>
          </cell>
          <cell r="AE249">
            <v>3919</v>
          </cell>
          <cell r="AF249">
            <v>20473</v>
          </cell>
          <cell r="AG249">
            <v>286402</v>
          </cell>
        </row>
        <row r="250">
          <cell r="Z250">
            <v>7993</v>
          </cell>
          <cell r="AA250">
            <v>241166</v>
          </cell>
          <cell r="AB250">
            <v>234699</v>
          </cell>
          <cell r="AC250">
            <v>16126.67</v>
          </cell>
          <cell r="AD250">
            <v>13136.75</v>
          </cell>
          <cell r="AE250">
            <v>3920.4</v>
          </cell>
          <cell r="AF250">
            <v>20656</v>
          </cell>
          <cell r="AG250">
            <v>286707</v>
          </cell>
        </row>
        <row r="251">
          <cell r="Z251">
            <v>8021</v>
          </cell>
          <cell r="AA251">
            <v>241293</v>
          </cell>
          <cell r="AB251">
            <v>234759</v>
          </cell>
          <cell r="AC251">
            <v>16148.86</v>
          </cell>
          <cell r="AD251">
            <v>13144.67</v>
          </cell>
          <cell r="AE251">
            <v>3921.3</v>
          </cell>
          <cell r="AF251">
            <v>20825</v>
          </cell>
          <cell r="AG251">
            <v>286936</v>
          </cell>
        </row>
        <row r="252">
          <cell r="Z252">
            <v>8054</v>
          </cell>
          <cell r="AA252">
            <v>241401</v>
          </cell>
          <cell r="AB252">
            <v>234862</v>
          </cell>
          <cell r="AC252">
            <v>16160.14</v>
          </cell>
          <cell r="AD252">
            <v>13156.04</v>
          </cell>
          <cell r="AE252">
            <v>3922.3</v>
          </cell>
          <cell r="AF252">
            <v>20954</v>
          </cell>
          <cell r="AG252">
            <v>287201</v>
          </cell>
        </row>
        <row r="253">
          <cell r="Z253">
            <v>8089</v>
          </cell>
          <cell r="AA253">
            <v>241490</v>
          </cell>
          <cell r="AB253">
            <v>234978</v>
          </cell>
          <cell r="AC253">
            <v>16170.31</v>
          </cell>
          <cell r="AD253">
            <v>13161.81</v>
          </cell>
          <cell r="AE253">
            <v>3923.6</v>
          </cell>
          <cell r="AF253">
            <v>21028</v>
          </cell>
          <cell r="AG253">
            <v>287477</v>
          </cell>
        </row>
        <row r="254">
          <cell r="Z254">
            <v>8159</v>
          </cell>
          <cell r="AA254">
            <v>241644</v>
          </cell>
          <cell r="AB254">
            <v>235132</v>
          </cell>
          <cell r="AC254">
            <v>16197.89</v>
          </cell>
          <cell r="AD254">
            <v>13162.52</v>
          </cell>
          <cell r="AE254">
            <v>3924.5</v>
          </cell>
          <cell r="AF254">
            <v>21159</v>
          </cell>
          <cell r="AG254">
            <v>287861</v>
          </cell>
        </row>
        <row r="255">
          <cell r="Z255">
            <v>8211</v>
          </cell>
          <cell r="AA255">
            <v>241739</v>
          </cell>
          <cell r="AB255">
            <v>235274</v>
          </cell>
          <cell r="AC255">
            <v>16223.75</v>
          </cell>
          <cell r="AD255">
            <v>13162.52</v>
          </cell>
          <cell r="AE255">
            <v>3925.4</v>
          </cell>
          <cell r="AF255">
            <v>21204</v>
          </cell>
          <cell r="AG255">
            <v>288174</v>
          </cell>
        </row>
        <row r="256">
          <cell r="Z256">
            <v>8226</v>
          </cell>
          <cell r="AA256">
            <v>241875</v>
          </cell>
          <cell r="AB256">
            <v>235427</v>
          </cell>
          <cell r="AC256">
            <v>16249.85</v>
          </cell>
          <cell r="AD256">
            <v>13169.38</v>
          </cell>
          <cell r="AE256">
            <v>3926.8</v>
          </cell>
          <cell r="AF256">
            <v>21325</v>
          </cell>
          <cell r="AG256">
            <v>288500</v>
          </cell>
        </row>
        <row r="257">
          <cell r="Z257">
            <v>8239</v>
          </cell>
          <cell r="AA257">
            <v>241952</v>
          </cell>
          <cell r="AB257">
            <v>235512</v>
          </cell>
          <cell r="AC257">
            <v>16277.18</v>
          </cell>
          <cell r="AD257">
            <v>13171.64</v>
          </cell>
          <cell r="AE257">
            <v>3928</v>
          </cell>
          <cell r="AF257">
            <v>21487</v>
          </cell>
          <cell r="AG257">
            <v>288743</v>
          </cell>
        </row>
        <row r="258">
          <cell r="Z258">
            <v>8239</v>
          </cell>
          <cell r="AA258">
            <v>242047</v>
          </cell>
          <cell r="AB258">
            <v>235573</v>
          </cell>
          <cell r="AC258">
            <v>16304.29</v>
          </cell>
          <cell r="AD258">
            <v>13176.32</v>
          </cell>
          <cell r="AE258">
            <v>3929.4</v>
          </cell>
          <cell r="AF258">
            <v>21588</v>
          </cell>
          <cell r="AG258">
            <v>288931</v>
          </cell>
        </row>
        <row r="259">
          <cell r="Z259">
            <v>8239</v>
          </cell>
          <cell r="AA259">
            <v>242124</v>
          </cell>
          <cell r="AB259">
            <v>235597</v>
          </cell>
          <cell r="AC259">
            <v>16324.87</v>
          </cell>
          <cell r="AD259">
            <v>13180.46</v>
          </cell>
          <cell r="AE259">
            <v>3930.7</v>
          </cell>
          <cell r="AF259">
            <v>21731</v>
          </cell>
          <cell r="AG259">
            <v>289094</v>
          </cell>
        </row>
        <row r="260">
          <cell r="Z260">
            <v>8239</v>
          </cell>
          <cell r="AA260">
            <v>242124</v>
          </cell>
          <cell r="AB260">
            <v>235597</v>
          </cell>
          <cell r="AC260">
            <v>16348.94</v>
          </cell>
          <cell r="AD260">
            <v>13180.46</v>
          </cell>
          <cell r="AE260">
            <v>3931.9</v>
          </cell>
          <cell r="AF260">
            <v>21777</v>
          </cell>
          <cell r="AG260">
            <v>108</v>
          </cell>
        </row>
        <row r="261">
          <cell r="Z261">
            <v>8258</v>
          </cell>
          <cell r="AA261">
            <v>242218</v>
          </cell>
          <cell r="AB261">
            <v>235664</v>
          </cell>
          <cell r="AC261">
            <v>16391.439999999999</v>
          </cell>
          <cell r="AD261">
            <v>13182.75</v>
          </cell>
          <cell r="AE261">
            <v>3932.9</v>
          </cell>
          <cell r="AF261">
            <v>21923</v>
          </cell>
          <cell r="AG261">
            <v>302</v>
          </cell>
        </row>
        <row r="262">
          <cell r="Z262">
            <v>8293</v>
          </cell>
          <cell r="AA262">
            <v>242287</v>
          </cell>
          <cell r="AB262">
            <v>235764</v>
          </cell>
          <cell r="AC262">
            <v>16426.25</v>
          </cell>
          <cell r="AD262">
            <v>13200.12</v>
          </cell>
          <cell r="AE262">
            <v>3933.7</v>
          </cell>
          <cell r="AF262">
            <v>22039</v>
          </cell>
          <cell r="AG262">
            <v>562</v>
          </cell>
        </row>
        <row r="263">
          <cell r="Z263">
            <v>8328</v>
          </cell>
          <cell r="AA263">
            <v>242430</v>
          </cell>
          <cell r="AB263">
            <v>235846</v>
          </cell>
          <cell r="AC263">
            <v>16441.599999999999</v>
          </cell>
          <cell r="AD263">
            <v>13217.29</v>
          </cell>
          <cell r="AE263">
            <v>3934.6</v>
          </cell>
          <cell r="AF263">
            <v>22084</v>
          </cell>
          <cell r="AG263">
            <v>814</v>
          </cell>
        </row>
        <row r="264">
          <cell r="Z264">
            <v>8362</v>
          </cell>
          <cell r="AA264">
            <v>242480</v>
          </cell>
          <cell r="AB264">
            <v>236008</v>
          </cell>
          <cell r="AC264">
            <v>16458.07</v>
          </cell>
          <cell r="AD264">
            <v>13243.2</v>
          </cell>
          <cell r="AE264">
            <v>3935.8</v>
          </cell>
          <cell r="AF264">
            <v>22304</v>
          </cell>
          <cell r="AG264">
            <v>1081</v>
          </cell>
        </row>
        <row r="265">
          <cell r="Z265">
            <v>8398</v>
          </cell>
          <cell r="AA265">
            <v>242674</v>
          </cell>
          <cell r="AB265">
            <v>236008</v>
          </cell>
          <cell r="AC265">
            <v>16472.099999999999</v>
          </cell>
          <cell r="AD265">
            <v>13263.72</v>
          </cell>
          <cell r="AE265">
            <v>3936.7</v>
          </cell>
          <cell r="AF265">
            <v>22470</v>
          </cell>
          <cell r="AG265">
            <v>1336</v>
          </cell>
        </row>
        <row r="266">
          <cell r="Z266">
            <v>8433</v>
          </cell>
          <cell r="AA266">
            <v>242706</v>
          </cell>
          <cell r="AB266">
            <v>236191</v>
          </cell>
          <cell r="AC266">
            <v>16479.099999999999</v>
          </cell>
          <cell r="AD266">
            <v>13283.03</v>
          </cell>
          <cell r="AE266">
            <v>3937.5</v>
          </cell>
          <cell r="AF266">
            <v>22574</v>
          </cell>
          <cell r="AG266">
            <v>1604</v>
          </cell>
        </row>
        <row r="267">
          <cell r="Z267">
            <v>8448</v>
          </cell>
          <cell r="AA267">
            <v>242769</v>
          </cell>
          <cell r="AB267">
            <v>236191</v>
          </cell>
          <cell r="AC267">
            <v>16487.939999999999</v>
          </cell>
          <cell r="AD267">
            <v>13300.02</v>
          </cell>
          <cell r="AE267">
            <v>3938.3</v>
          </cell>
          <cell r="AF267">
            <v>22614</v>
          </cell>
          <cell r="AG267">
            <v>1668</v>
          </cell>
        </row>
        <row r="268">
          <cell r="Z268">
            <v>8448</v>
          </cell>
          <cell r="AA268">
            <v>242836</v>
          </cell>
          <cell r="AB268">
            <v>236191</v>
          </cell>
          <cell r="AC268">
            <v>16499.86</v>
          </cell>
          <cell r="AD268">
            <v>13320.38</v>
          </cell>
          <cell r="AE268">
            <v>3939.1</v>
          </cell>
          <cell r="AF268">
            <v>22703</v>
          </cell>
          <cell r="AG268">
            <v>1818</v>
          </cell>
        </row>
        <row r="269">
          <cell r="Z269">
            <v>8448</v>
          </cell>
          <cell r="AA269">
            <v>242836</v>
          </cell>
          <cell r="AB269">
            <v>236279</v>
          </cell>
          <cell r="AC269">
            <v>16511.23</v>
          </cell>
          <cell r="AD269">
            <v>13341.5</v>
          </cell>
          <cell r="AE269">
            <v>3939.9</v>
          </cell>
          <cell r="AF269">
            <v>22790</v>
          </cell>
          <cell r="AG269">
            <v>1932</v>
          </cell>
        </row>
        <row r="270">
          <cell r="Z270">
            <v>8448</v>
          </cell>
          <cell r="AA270">
            <v>242864</v>
          </cell>
          <cell r="AB270">
            <v>236279</v>
          </cell>
          <cell r="AC270">
            <v>16523.009999999998</v>
          </cell>
          <cell r="AD270">
            <v>13360.54</v>
          </cell>
          <cell r="AE270">
            <v>3941.3</v>
          </cell>
          <cell r="AF270">
            <v>22853</v>
          </cell>
          <cell r="AG270">
            <v>1999</v>
          </cell>
        </row>
        <row r="271">
          <cell r="Z271">
            <v>8448</v>
          </cell>
          <cell r="AA271">
            <v>242902</v>
          </cell>
          <cell r="AB271">
            <v>236279</v>
          </cell>
          <cell r="AC271">
            <v>16535.22</v>
          </cell>
          <cell r="AD271">
            <v>13376.95</v>
          </cell>
          <cell r="AE271">
            <v>3942.1</v>
          </cell>
          <cell r="AF271">
            <v>22978</v>
          </cell>
          <cell r="AG271">
            <v>2074</v>
          </cell>
        </row>
        <row r="272">
          <cell r="Z272">
            <v>0</v>
          </cell>
          <cell r="AA272">
            <v>242990</v>
          </cell>
          <cell r="AB272">
            <v>236279</v>
          </cell>
          <cell r="AC272">
            <v>16547.990000000002</v>
          </cell>
          <cell r="AD272">
            <v>13384.07</v>
          </cell>
          <cell r="AE272">
            <v>3943</v>
          </cell>
          <cell r="AF272">
            <v>23028</v>
          </cell>
          <cell r="AG272">
            <v>2197</v>
          </cell>
        </row>
        <row r="273">
          <cell r="Z273">
            <v>0</v>
          </cell>
          <cell r="AA273">
            <v>242990</v>
          </cell>
          <cell r="AB273">
            <v>236304</v>
          </cell>
          <cell r="AC273">
            <v>16555.84</v>
          </cell>
          <cell r="AD273">
            <v>13398.62</v>
          </cell>
          <cell r="AE273">
            <v>3944.4</v>
          </cell>
          <cell r="AF273">
            <v>23120</v>
          </cell>
          <cell r="AG273">
            <v>2255</v>
          </cell>
        </row>
        <row r="274">
          <cell r="Z274">
            <v>0</v>
          </cell>
          <cell r="AA274">
            <v>242990</v>
          </cell>
          <cell r="AB274">
            <v>236304</v>
          </cell>
          <cell r="AC274">
            <v>16562.759999999998</v>
          </cell>
          <cell r="AD274">
            <v>13399.81</v>
          </cell>
          <cell r="AE274">
            <v>3944.8</v>
          </cell>
          <cell r="AF274">
            <v>23120</v>
          </cell>
          <cell r="AG274">
            <v>2274</v>
          </cell>
        </row>
        <row r="275">
          <cell r="Z275">
            <v>0</v>
          </cell>
          <cell r="AA275">
            <v>243067</v>
          </cell>
          <cell r="AB275">
            <v>236351</v>
          </cell>
          <cell r="AC275">
            <v>16573.87</v>
          </cell>
          <cell r="AD275">
            <v>13407.08</v>
          </cell>
          <cell r="AE275">
            <v>3945.9</v>
          </cell>
          <cell r="AF275">
            <v>23244</v>
          </cell>
          <cell r="AG275">
            <v>2431</v>
          </cell>
        </row>
        <row r="276">
          <cell r="Z276">
            <v>0</v>
          </cell>
          <cell r="AA276">
            <v>243113</v>
          </cell>
          <cell r="AB276">
            <v>236351</v>
          </cell>
          <cell r="AC276">
            <v>16585</v>
          </cell>
          <cell r="AD276">
            <v>13423.77</v>
          </cell>
          <cell r="AE276">
            <v>3947.2</v>
          </cell>
          <cell r="AF276">
            <v>23250</v>
          </cell>
          <cell r="AG276">
            <v>2498</v>
          </cell>
        </row>
        <row r="277">
          <cell r="Z277">
            <v>0.1</v>
          </cell>
          <cell r="AA277">
            <v>243151</v>
          </cell>
          <cell r="AB277">
            <v>236400</v>
          </cell>
          <cell r="AC277">
            <v>16595.59</v>
          </cell>
          <cell r="AD277">
            <v>13436.63</v>
          </cell>
          <cell r="AE277">
            <v>3948.4</v>
          </cell>
          <cell r="AF277">
            <v>23333</v>
          </cell>
          <cell r="AG277">
            <v>2610</v>
          </cell>
        </row>
        <row r="278">
          <cell r="Z278">
            <v>0.1</v>
          </cell>
          <cell r="AA278">
            <v>243188</v>
          </cell>
          <cell r="AB278">
            <v>236454</v>
          </cell>
          <cell r="AC278">
            <v>16605.39</v>
          </cell>
          <cell r="AD278">
            <v>13451.04</v>
          </cell>
          <cell r="AE278">
            <v>3949.7</v>
          </cell>
          <cell r="AF278">
            <v>23541</v>
          </cell>
          <cell r="AG278">
            <v>2727</v>
          </cell>
        </row>
        <row r="279">
          <cell r="Z279">
            <v>0.1</v>
          </cell>
          <cell r="AA279">
            <v>243262</v>
          </cell>
          <cell r="AB279">
            <v>236501</v>
          </cell>
          <cell r="AC279">
            <v>16607.43</v>
          </cell>
          <cell r="AD279">
            <v>13456.38</v>
          </cell>
          <cell r="AE279">
            <v>3950.6</v>
          </cell>
          <cell r="AF279">
            <v>23656</v>
          </cell>
          <cell r="AG279">
            <v>2879</v>
          </cell>
        </row>
        <row r="280">
          <cell r="Z280">
            <v>0.1</v>
          </cell>
          <cell r="AA280">
            <v>243299</v>
          </cell>
          <cell r="AB280">
            <v>236501</v>
          </cell>
          <cell r="AC280">
            <v>16610.189999999999</v>
          </cell>
          <cell r="AD280">
            <v>13458.98</v>
          </cell>
          <cell r="AE280">
            <v>3951.6</v>
          </cell>
          <cell r="AF280">
            <v>23663</v>
          </cell>
          <cell r="AG280">
            <v>2896</v>
          </cell>
        </row>
        <row r="281">
          <cell r="Z281">
            <v>0.1</v>
          </cell>
          <cell r="AA281">
            <v>243299</v>
          </cell>
          <cell r="AB281">
            <v>236501</v>
          </cell>
          <cell r="AC281">
            <v>16612.169999999998</v>
          </cell>
          <cell r="AD281">
            <v>13460.81</v>
          </cell>
          <cell r="AE281">
            <v>3952.6</v>
          </cell>
          <cell r="AF281">
            <v>23801</v>
          </cell>
          <cell r="AG281">
            <v>2911</v>
          </cell>
        </row>
        <row r="282">
          <cell r="Z282">
            <v>0.1</v>
          </cell>
          <cell r="AA282">
            <v>243299</v>
          </cell>
          <cell r="AB282">
            <v>236508</v>
          </cell>
          <cell r="AC282">
            <v>16614.37</v>
          </cell>
          <cell r="AD282">
            <v>13461.11</v>
          </cell>
          <cell r="AE282">
            <v>3953.1</v>
          </cell>
          <cell r="AF282">
            <v>23833</v>
          </cell>
          <cell r="AG282">
            <v>2927</v>
          </cell>
        </row>
        <row r="283">
          <cell r="Z283">
            <v>0.1</v>
          </cell>
          <cell r="AA283">
            <v>243299</v>
          </cell>
          <cell r="AB283">
            <v>236520</v>
          </cell>
          <cell r="AC283">
            <v>16616.04</v>
          </cell>
          <cell r="AD283">
            <v>13461.36</v>
          </cell>
          <cell r="AE283">
            <v>3953.6</v>
          </cell>
          <cell r="AF283">
            <v>23861</v>
          </cell>
          <cell r="AG283">
            <v>2941</v>
          </cell>
        </row>
        <row r="284">
          <cell r="Z284">
            <v>0.1</v>
          </cell>
          <cell r="AA284">
            <v>243350</v>
          </cell>
          <cell r="AB284">
            <v>236572</v>
          </cell>
          <cell r="AC284">
            <v>16620.5</v>
          </cell>
          <cell r="AD284">
            <v>13468</v>
          </cell>
          <cell r="AE284">
            <v>3954.4</v>
          </cell>
          <cell r="AF284">
            <v>23898</v>
          </cell>
          <cell r="AG284">
            <v>3094</v>
          </cell>
        </row>
        <row r="285">
          <cell r="Z285">
            <v>0.1</v>
          </cell>
          <cell r="AA285">
            <v>243350</v>
          </cell>
          <cell r="AB285">
            <v>236637</v>
          </cell>
          <cell r="AC285">
            <v>16622.669999999998</v>
          </cell>
          <cell r="AD285">
            <v>13475.14</v>
          </cell>
          <cell r="AE285">
            <v>3955.3</v>
          </cell>
          <cell r="AF285">
            <v>23932</v>
          </cell>
          <cell r="AG285">
            <v>3164</v>
          </cell>
        </row>
        <row r="286">
          <cell r="Z286">
            <v>0.1</v>
          </cell>
          <cell r="AA286">
            <v>243350</v>
          </cell>
          <cell r="AB286">
            <v>236655</v>
          </cell>
          <cell r="AC286">
            <v>16624.990000000002</v>
          </cell>
          <cell r="AD286">
            <v>13475.43</v>
          </cell>
          <cell r="AE286">
            <v>3956.3</v>
          </cell>
          <cell r="AF286">
            <v>24129</v>
          </cell>
          <cell r="AG286">
            <v>3225</v>
          </cell>
        </row>
        <row r="287">
          <cell r="Z287">
            <v>0.1</v>
          </cell>
          <cell r="AA287">
            <v>243350</v>
          </cell>
          <cell r="AB287">
            <v>236655</v>
          </cell>
          <cell r="AC287">
            <v>16628.349999999999</v>
          </cell>
          <cell r="AD287">
            <v>13476.04</v>
          </cell>
          <cell r="AE287">
            <v>3956.7</v>
          </cell>
          <cell r="AF287">
            <v>24129</v>
          </cell>
          <cell r="AG287">
            <v>3229</v>
          </cell>
        </row>
        <row r="288">
          <cell r="Z288">
            <v>0.1</v>
          </cell>
          <cell r="AA288">
            <v>243350</v>
          </cell>
          <cell r="AB288">
            <v>236672</v>
          </cell>
          <cell r="AC288">
            <v>16630.27</v>
          </cell>
          <cell r="AD288">
            <v>13476.23</v>
          </cell>
          <cell r="AE288">
            <v>3957.2</v>
          </cell>
          <cell r="AF288">
            <v>24168</v>
          </cell>
          <cell r="AG288">
            <v>3246</v>
          </cell>
        </row>
        <row r="289">
          <cell r="Z289">
            <v>0.1</v>
          </cell>
          <cell r="AA289">
            <v>243435</v>
          </cell>
          <cell r="AB289">
            <v>236672</v>
          </cell>
          <cell r="AC289">
            <v>16635.12</v>
          </cell>
          <cell r="AD289">
            <v>13476.3</v>
          </cell>
          <cell r="AE289">
            <v>3958</v>
          </cell>
          <cell r="AF289">
            <v>24224</v>
          </cell>
          <cell r="AG289">
            <v>3396</v>
          </cell>
        </row>
        <row r="290">
          <cell r="Z290">
            <v>0.1</v>
          </cell>
          <cell r="AA290">
            <v>243507</v>
          </cell>
          <cell r="AB290">
            <v>236710</v>
          </cell>
          <cell r="AC290">
            <v>16640.759999999998</v>
          </cell>
          <cell r="AD290">
            <v>13476.43</v>
          </cell>
          <cell r="AE290">
            <v>3959</v>
          </cell>
          <cell r="AF290">
            <v>24359</v>
          </cell>
          <cell r="AG290">
            <v>3504</v>
          </cell>
        </row>
        <row r="291">
          <cell r="Z291">
            <v>0.1</v>
          </cell>
          <cell r="AA291">
            <v>243523</v>
          </cell>
          <cell r="AB291">
            <v>236817</v>
          </cell>
          <cell r="AC291">
            <v>16645.919999999998</v>
          </cell>
          <cell r="AD291">
            <v>13476.44</v>
          </cell>
          <cell r="AE291">
            <v>3960.2</v>
          </cell>
          <cell r="AF291">
            <v>24575</v>
          </cell>
          <cell r="AG291">
            <v>3631</v>
          </cell>
        </row>
        <row r="292">
          <cell r="Z292">
            <v>0.1</v>
          </cell>
          <cell r="AA292">
            <v>243599</v>
          </cell>
          <cell r="AB292">
            <v>236817</v>
          </cell>
          <cell r="AC292">
            <v>16650.490000000002</v>
          </cell>
          <cell r="AD292">
            <v>13476.82</v>
          </cell>
          <cell r="AE292">
            <v>3961.1</v>
          </cell>
          <cell r="AF292">
            <v>24692</v>
          </cell>
          <cell r="AG292">
            <v>3726</v>
          </cell>
        </row>
        <row r="293">
          <cell r="Z293">
            <v>0.1</v>
          </cell>
          <cell r="AA293">
            <v>243681</v>
          </cell>
          <cell r="AB293">
            <v>236838</v>
          </cell>
          <cell r="AC293">
            <v>16656.03</v>
          </cell>
          <cell r="AD293">
            <v>13482.35</v>
          </cell>
          <cell r="AE293">
            <v>3962</v>
          </cell>
          <cell r="AF293">
            <v>24803</v>
          </cell>
          <cell r="AG293">
            <v>3833</v>
          </cell>
        </row>
        <row r="294">
          <cell r="Z294">
            <v>0.1</v>
          </cell>
          <cell r="AA294">
            <v>243681</v>
          </cell>
          <cell r="AB294">
            <v>236861</v>
          </cell>
          <cell r="AC294">
            <v>16658.63</v>
          </cell>
          <cell r="AD294">
            <v>13482.42</v>
          </cell>
          <cell r="AE294">
            <v>3962.5</v>
          </cell>
          <cell r="AF294">
            <v>24852</v>
          </cell>
          <cell r="AG294">
            <v>3895</v>
          </cell>
        </row>
        <row r="295">
          <cell r="Z295">
            <v>0.1</v>
          </cell>
          <cell r="AA295">
            <v>243681</v>
          </cell>
          <cell r="AB295">
            <v>236861</v>
          </cell>
          <cell r="AC295">
            <v>16660.72</v>
          </cell>
          <cell r="AD295">
            <v>13482.62</v>
          </cell>
          <cell r="AE295">
            <v>3963.1</v>
          </cell>
          <cell r="AF295">
            <v>24882</v>
          </cell>
          <cell r="AG295">
            <v>3914</v>
          </cell>
        </row>
        <row r="296">
          <cell r="Z296">
            <v>0.2</v>
          </cell>
          <cell r="AA296">
            <v>243718</v>
          </cell>
          <cell r="AB296">
            <v>236959</v>
          </cell>
          <cell r="AC296">
            <v>16665.14</v>
          </cell>
          <cell r="AD296">
            <v>13494.05</v>
          </cell>
          <cell r="AE296">
            <v>3964</v>
          </cell>
          <cell r="AF296">
            <v>24940</v>
          </cell>
          <cell r="AG296">
            <v>4076</v>
          </cell>
        </row>
        <row r="297">
          <cell r="Z297">
            <v>0.2</v>
          </cell>
          <cell r="AA297">
            <v>243809</v>
          </cell>
          <cell r="AB297">
            <v>236959</v>
          </cell>
          <cell r="AC297">
            <v>16669.63</v>
          </cell>
          <cell r="AD297">
            <v>13495.65</v>
          </cell>
          <cell r="AE297">
            <v>3965.3</v>
          </cell>
          <cell r="AF297">
            <v>25048</v>
          </cell>
          <cell r="AG297">
            <v>4228</v>
          </cell>
        </row>
        <row r="298">
          <cell r="Z298">
            <v>0.2</v>
          </cell>
          <cell r="AA298">
            <v>243898</v>
          </cell>
          <cell r="AB298">
            <v>236983</v>
          </cell>
          <cell r="AC298">
            <v>16674.25</v>
          </cell>
          <cell r="AD298">
            <v>13497.25</v>
          </cell>
          <cell r="AE298">
            <v>3966.3</v>
          </cell>
          <cell r="AF298">
            <v>25212</v>
          </cell>
          <cell r="AG298">
            <v>4300</v>
          </cell>
        </row>
        <row r="299">
          <cell r="Z299">
            <v>0.2</v>
          </cell>
          <cell r="AA299">
            <v>243898</v>
          </cell>
          <cell r="AB299">
            <v>237051</v>
          </cell>
          <cell r="AC299">
            <v>16679.240000000002</v>
          </cell>
          <cell r="AD299">
            <v>13498.23</v>
          </cell>
          <cell r="AE299">
            <v>3967.6</v>
          </cell>
          <cell r="AF299">
            <v>25260</v>
          </cell>
          <cell r="AG299">
            <v>4412</v>
          </cell>
        </row>
        <row r="300">
          <cell r="Z300">
            <v>0.2</v>
          </cell>
          <cell r="AA300">
            <v>244023</v>
          </cell>
          <cell r="AB300">
            <v>237054</v>
          </cell>
          <cell r="AC300">
            <v>16683.86</v>
          </cell>
          <cell r="AD300">
            <v>13498.32</v>
          </cell>
          <cell r="AE300">
            <v>3969.1</v>
          </cell>
          <cell r="AF300">
            <v>25534</v>
          </cell>
          <cell r="AG300">
            <v>4568</v>
          </cell>
        </row>
        <row r="301">
          <cell r="Z301">
            <v>0.2</v>
          </cell>
          <cell r="AA301">
            <v>244023</v>
          </cell>
          <cell r="AB301">
            <v>237054</v>
          </cell>
          <cell r="AC301">
            <v>16686.240000000002</v>
          </cell>
          <cell r="AD301">
            <v>13498.45</v>
          </cell>
          <cell r="AE301">
            <v>3969.5</v>
          </cell>
          <cell r="AF301">
            <v>25546</v>
          </cell>
          <cell r="AG301">
            <v>4591</v>
          </cell>
        </row>
        <row r="302">
          <cell r="Z302">
            <v>0.2</v>
          </cell>
          <cell r="AA302">
            <v>244023</v>
          </cell>
          <cell r="AB302">
            <v>237054</v>
          </cell>
          <cell r="AC302">
            <v>16688.16</v>
          </cell>
          <cell r="AD302">
            <v>13498.58</v>
          </cell>
          <cell r="AE302">
            <v>3969.9</v>
          </cell>
          <cell r="AF302">
            <v>25546</v>
          </cell>
          <cell r="AG302">
            <v>4614</v>
          </cell>
        </row>
        <row r="303">
          <cell r="Z303">
            <v>0.2</v>
          </cell>
          <cell r="AA303">
            <v>244112</v>
          </cell>
          <cell r="AB303">
            <v>237085</v>
          </cell>
          <cell r="AC303">
            <v>16692.310000000001</v>
          </cell>
          <cell r="AD303">
            <v>13498.83</v>
          </cell>
          <cell r="AE303">
            <v>3970.7</v>
          </cell>
          <cell r="AF303">
            <v>25606</v>
          </cell>
          <cell r="AG303">
            <v>4732</v>
          </cell>
        </row>
        <row r="304">
          <cell r="Z304">
            <v>0.2</v>
          </cell>
          <cell r="AA304">
            <v>244112</v>
          </cell>
          <cell r="AB304">
            <v>237167</v>
          </cell>
          <cell r="AC304">
            <v>16696.38</v>
          </cell>
          <cell r="AD304">
            <v>13498.89</v>
          </cell>
          <cell r="AE304">
            <v>3971.7</v>
          </cell>
          <cell r="AF304">
            <v>25741</v>
          </cell>
          <cell r="AG304">
            <v>4845</v>
          </cell>
        </row>
        <row r="305">
          <cell r="Z305">
            <v>30</v>
          </cell>
          <cell r="AA305">
            <v>244192</v>
          </cell>
          <cell r="AB305">
            <v>237207</v>
          </cell>
          <cell r="AC305">
            <v>16700.41</v>
          </cell>
          <cell r="AD305">
            <v>13498.92</v>
          </cell>
          <cell r="AE305">
            <v>3972.7</v>
          </cell>
          <cell r="AF305">
            <v>25899</v>
          </cell>
          <cell r="AG305">
            <v>4956</v>
          </cell>
        </row>
        <row r="306">
          <cell r="Z306">
            <v>121.2</v>
          </cell>
          <cell r="AA306">
            <v>244311</v>
          </cell>
          <cell r="AB306">
            <v>237207</v>
          </cell>
          <cell r="AC306">
            <v>16704.38</v>
          </cell>
          <cell r="AD306">
            <v>13498.92</v>
          </cell>
          <cell r="AE306">
            <v>3973.4</v>
          </cell>
          <cell r="AF306">
            <v>25962</v>
          </cell>
          <cell r="AG306">
            <v>5111</v>
          </cell>
        </row>
        <row r="307">
          <cell r="Z307">
            <v>210</v>
          </cell>
          <cell r="AA307">
            <v>244367</v>
          </cell>
          <cell r="AB307">
            <v>237332</v>
          </cell>
          <cell r="AC307">
            <v>16709.12</v>
          </cell>
          <cell r="AD307">
            <v>13501.03</v>
          </cell>
          <cell r="AE307">
            <v>3974.5</v>
          </cell>
          <cell r="AF307">
            <v>26157</v>
          </cell>
          <cell r="AG307">
            <v>5358</v>
          </cell>
        </row>
        <row r="308">
          <cell r="Z308">
            <v>270.8</v>
          </cell>
          <cell r="AA308">
            <v>244522</v>
          </cell>
          <cell r="AB308">
            <v>237415</v>
          </cell>
          <cell r="AC308">
            <v>16710.89</v>
          </cell>
          <cell r="AD308">
            <v>13501.04</v>
          </cell>
          <cell r="AE308">
            <v>3975.2</v>
          </cell>
          <cell r="AF308">
            <v>26174</v>
          </cell>
          <cell r="AG308">
            <v>5610</v>
          </cell>
        </row>
        <row r="309">
          <cell r="Z309">
            <v>270.8</v>
          </cell>
          <cell r="AA309">
            <v>244529</v>
          </cell>
          <cell r="AB309">
            <v>237442</v>
          </cell>
          <cell r="AC309">
            <v>16715.55</v>
          </cell>
          <cell r="AD309">
            <v>13501.05</v>
          </cell>
          <cell r="AE309">
            <v>3975.6</v>
          </cell>
          <cell r="AF309">
            <v>26174</v>
          </cell>
          <cell r="AG309">
            <v>5680</v>
          </cell>
        </row>
        <row r="310">
          <cell r="Z310">
            <v>270.8</v>
          </cell>
          <cell r="AA310">
            <v>244529</v>
          </cell>
          <cell r="AB310">
            <v>237485</v>
          </cell>
          <cell r="AC310">
            <v>16719.8</v>
          </cell>
          <cell r="AD310">
            <v>13501.05</v>
          </cell>
          <cell r="AE310">
            <v>3976.6</v>
          </cell>
          <cell r="AF310">
            <v>26343</v>
          </cell>
          <cell r="AG310">
            <v>5750</v>
          </cell>
        </row>
        <row r="311">
          <cell r="Z311">
            <v>270.8</v>
          </cell>
          <cell r="AA311">
            <v>244600</v>
          </cell>
          <cell r="AB311">
            <v>237501</v>
          </cell>
          <cell r="AC311">
            <v>16723.39</v>
          </cell>
          <cell r="AD311">
            <v>13505.72</v>
          </cell>
          <cell r="AE311">
            <v>3977.4</v>
          </cell>
          <cell r="AF311">
            <v>26405</v>
          </cell>
          <cell r="AG311">
            <v>5911</v>
          </cell>
        </row>
        <row r="312">
          <cell r="Z312">
            <v>270.8</v>
          </cell>
          <cell r="AA312">
            <v>244600</v>
          </cell>
          <cell r="AB312">
            <v>237598</v>
          </cell>
          <cell r="AC312">
            <v>16733.099999999999</v>
          </cell>
          <cell r="AD312">
            <v>13505.81</v>
          </cell>
          <cell r="AE312">
            <v>3978.5</v>
          </cell>
          <cell r="AF312">
            <v>26486</v>
          </cell>
          <cell r="AG312">
            <v>6059</v>
          </cell>
        </row>
        <row r="313">
          <cell r="Z313">
            <v>288.8</v>
          </cell>
          <cell r="AA313">
            <v>244698</v>
          </cell>
          <cell r="AB313">
            <v>237622</v>
          </cell>
          <cell r="AC313">
            <v>16737.099999999999</v>
          </cell>
          <cell r="AD313">
            <v>13505.81</v>
          </cell>
          <cell r="AE313">
            <v>3979.8</v>
          </cell>
          <cell r="AF313">
            <v>26700</v>
          </cell>
          <cell r="AG313">
            <v>6218</v>
          </cell>
        </row>
        <row r="314">
          <cell r="Z314">
            <v>372.9</v>
          </cell>
          <cell r="AA314">
            <v>244738</v>
          </cell>
          <cell r="AB314">
            <v>237755</v>
          </cell>
          <cell r="AC314">
            <v>16741.21</v>
          </cell>
          <cell r="AD314">
            <v>13506.41</v>
          </cell>
          <cell r="AE314">
            <v>3980.9</v>
          </cell>
          <cell r="AF314">
            <v>26866</v>
          </cell>
          <cell r="AG314">
            <v>6431</v>
          </cell>
        </row>
        <row r="315">
          <cell r="Z315">
            <v>372.9</v>
          </cell>
          <cell r="AA315">
            <v>244805</v>
          </cell>
          <cell r="AB315">
            <v>237765</v>
          </cell>
          <cell r="AC315">
            <v>16742.86</v>
          </cell>
          <cell r="AD315">
            <v>13511.27</v>
          </cell>
          <cell r="AE315">
            <v>3981.6</v>
          </cell>
          <cell r="AF315">
            <v>26924</v>
          </cell>
          <cell r="AG315">
            <v>6579</v>
          </cell>
        </row>
        <row r="316">
          <cell r="Z316">
            <v>372.9</v>
          </cell>
          <cell r="AA316">
            <v>244870</v>
          </cell>
          <cell r="AB316">
            <v>237765</v>
          </cell>
          <cell r="AC316">
            <v>16744.490000000002</v>
          </cell>
          <cell r="AD316">
            <v>13511.27</v>
          </cell>
          <cell r="AE316">
            <v>3982.4</v>
          </cell>
          <cell r="AF316">
            <v>26991</v>
          </cell>
          <cell r="AG316">
            <v>6645</v>
          </cell>
        </row>
        <row r="317">
          <cell r="Z317">
            <v>372.9</v>
          </cell>
          <cell r="AA317">
            <v>244907</v>
          </cell>
          <cell r="AB317">
            <v>237837</v>
          </cell>
          <cell r="AC317">
            <v>16751.3</v>
          </cell>
          <cell r="AD317">
            <v>13512.85</v>
          </cell>
          <cell r="AE317">
            <v>3983.3</v>
          </cell>
          <cell r="AF317">
            <v>27110</v>
          </cell>
          <cell r="AG317">
            <v>6810</v>
          </cell>
        </row>
        <row r="318">
          <cell r="Z318">
            <v>372.9</v>
          </cell>
          <cell r="AA318">
            <v>244947</v>
          </cell>
          <cell r="AB318">
            <v>237859</v>
          </cell>
          <cell r="AC318">
            <v>16755.62</v>
          </cell>
          <cell r="AD318">
            <v>13512.85</v>
          </cell>
          <cell r="AE318">
            <v>3984.2</v>
          </cell>
          <cell r="AF318">
            <v>27203</v>
          </cell>
          <cell r="AG318">
            <v>6906</v>
          </cell>
        </row>
        <row r="319">
          <cell r="Z319">
            <v>372.9</v>
          </cell>
          <cell r="AA319">
            <v>245003</v>
          </cell>
          <cell r="AB319">
            <v>237859</v>
          </cell>
          <cell r="AC319">
            <v>16759.78</v>
          </cell>
          <cell r="AD319">
            <v>13512.86</v>
          </cell>
          <cell r="AE319">
            <v>3985.4</v>
          </cell>
          <cell r="AF319">
            <v>27286</v>
          </cell>
          <cell r="AG319">
            <v>7031</v>
          </cell>
        </row>
        <row r="320">
          <cell r="Z320">
            <v>372.9</v>
          </cell>
          <cell r="AA320">
            <v>245073</v>
          </cell>
          <cell r="AB320">
            <v>237883</v>
          </cell>
          <cell r="AC320">
            <v>16763.77</v>
          </cell>
          <cell r="AD320">
            <v>13515.6</v>
          </cell>
          <cell r="AE320">
            <v>3986.2</v>
          </cell>
          <cell r="AF320">
            <v>27367</v>
          </cell>
          <cell r="AG320">
            <v>7157</v>
          </cell>
        </row>
        <row r="321">
          <cell r="Z321">
            <v>372.9</v>
          </cell>
          <cell r="AA321">
            <v>245073</v>
          </cell>
          <cell r="AB321">
            <v>237945</v>
          </cell>
          <cell r="AC321">
            <v>16767.98</v>
          </cell>
          <cell r="AD321">
            <v>13515.6</v>
          </cell>
          <cell r="AE321">
            <v>3987.3</v>
          </cell>
          <cell r="AF321">
            <v>27383</v>
          </cell>
          <cell r="AG321">
            <v>7234</v>
          </cell>
        </row>
        <row r="322">
          <cell r="Z322">
            <v>372.9</v>
          </cell>
          <cell r="AA322">
            <v>245073</v>
          </cell>
          <cell r="AB322">
            <v>237945</v>
          </cell>
          <cell r="AC322">
            <v>16769.849999999999</v>
          </cell>
          <cell r="AD322">
            <v>13515.6</v>
          </cell>
          <cell r="AE322">
            <v>3988.5</v>
          </cell>
          <cell r="AF322">
            <v>27481</v>
          </cell>
          <cell r="AG322">
            <v>7257</v>
          </cell>
        </row>
        <row r="323">
          <cell r="Z323">
            <v>372.9</v>
          </cell>
          <cell r="AA323">
            <v>245073</v>
          </cell>
          <cell r="AB323">
            <v>237962</v>
          </cell>
          <cell r="AC323">
            <v>16771.099999999999</v>
          </cell>
          <cell r="AD323">
            <v>13515.6</v>
          </cell>
          <cell r="AE323">
            <v>3989</v>
          </cell>
          <cell r="AF323">
            <v>27490</v>
          </cell>
          <cell r="AG323">
            <v>7279</v>
          </cell>
        </row>
        <row r="324">
          <cell r="Z324">
            <v>391.9</v>
          </cell>
          <cell r="AA324">
            <v>245199</v>
          </cell>
          <cell r="AB324">
            <v>237963</v>
          </cell>
          <cell r="AC324">
            <v>16775.43</v>
          </cell>
          <cell r="AD324">
            <v>13524.5</v>
          </cell>
          <cell r="AE324">
            <v>3989.8</v>
          </cell>
          <cell r="AF324">
            <v>27523</v>
          </cell>
          <cell r="AG324">
            <v>7471</v>
          </cell>
        </row>
        <row r="325">
          <cell r="Z325">
            <v>391.9</v>
          </cell>
          <cell r="AA325">
            <v>245265</v>
          </cell>
          <cell r="AB325">
            <v>237996</v>
          </cell>
          <cell r="AC325">
            <v>16795.5</v>
          </cell>
          <cell r="AD325">
            <v>13537.7</v>
          </cell>
          <cell r="AE325">
            <v>3990.9</v>
          </cell>
          <cell r="AF325">
            <v>27639</v>
          </cell>
          <cell r="AG325">
            <v>7670</v>
          </cell>
        </row>
        <row r="326">
          <cell r="Z326">
            <v>391.9</v>
          </cell>
          <cell r="AA326">
            <v>245282</v>
          </cell>
          <cell r="AB326">
            <v>238075</v>
          </cell>
          <cell r="AC326">
            <v>16804.939999999999</v>
          </cell>
          <cell r="AD326">
            <v>13550.55</v>
          </cell>
          <cell r="AE326">
            <v>3992</v>
          </cell>
          <cell r="AF326">
            <v>27818</v>
          </cell>
          <cell r="AG326">
            <v>7837</v>
          </cell>
        </row>
        <row r="327">
          <cell r="Z327">
            <v>391.9</v>
          </cell>
          <cell r="AA327">
            <v>245309</v>
          </cell>
          <cell r="AB327">
            <v>238104</v>
          </cell>
          <cell r="AC327">
            <v>16820.07</v>
          </cell>
          <cell r="AD327">
            <v>13555.02</v>
          </cell>
          <cell r="AE327">
            <v>3992.7</v>
          </cell>
          <cell r="AF327">
            <v>27902</v>
          </cell>
          <cell r="AG327">
            <v>7939</v>
          </cell>
        </row>
        <row r="328">
          <cell r="Z328">
            <v>392.3</v>
          </cell>
          <cell r="AA328">
            <v>245433</v>
          </cell>
          <cell r="AB328">
            <v>238104</v>
          </cell>
          <cell r="AC328">
            <v>16824.78</v>
          </cell>
          <cell r="AD328">
            <v>13570.52</v>
          </cell>
          <cell r="AE328">
            <v>3993.7</v>
          </cell>
          <cell r="AF328">
            <v>28027</v>
          </cell>
          <cell r="AG328">
            <v>8138</v>
          </cell>
        </row>
        <row r="329">
          <cell r="Z329">
            <v>392.3</v>
          </cell>
          <cell r="AA329">
            <v>245433</v>
          </cell>
          <cell r="AB329">
            <v>238212</v>
          </cell>
          <cell r="AC329">
            <v>16826.63</v>
          </cell>
          <cell r="AD329">
            <v>13586.14</v>
          </cell>
          <cell r="AE329">
            <v>3995</v>
          </cell>
          <cell r="AF329">
            <v>28250</v>
          </cell>
          <cell r="AG329">
            <v>8303</v>
          </cell>
        </row>
        <row r="330">
          <cell r="Z330">
            <v>449.4</v>
          </cell>
          <cell r="AA330">
            <v>245433</v>
          </cell>
          <cell r="AB330">
            <v>238280</v>
          </cell>
          <cell r="AC330">
            <v>16827.8</v>
          </cell>
          <cell r="AD330">
            <v>13593.04</v>
          </cell>
          <cell r="AE330">
            <v>3995.6</v>
          </cell>
          <cell r="AF330">
            <v>28322</v>
          </cell>
          <cell r="AG330">
            <v>8429</v>
          </cell>
        </row>
        <row r="331">
          <cell r="Z331">
            <v>461</v>
          </cell>
          <cell r="AA331">
            <v>245577</v>
          </cell>
          <cell r="AB331">
            <v>238280</v>
          </cell>
          <cell r="AC331">
            <v>16832.57</v>
          </cell>
          <cell r="AD331">
            <v>13612</v>
          </cell>
          <cell r="AE331">
            <v>3996.6</v>
          </cell>
          <cell r="AF331">
            <v>28461</v>
          </cell>
          <cell r="AG331">
            <v>8626</v>
          </cell>
        </row>
        <row r="332">
          <cell r="Z332">
            <v>461</v>
          </cell>
          <cell r="AA332">
            <v>245590</v>
          </cell>
          <cell r="AB332">
            <v>238357</v>
          </cell>
          <cell r="AC332">
            <v>16836.62</v>
          </cell>
          <cell r="AD332">
            <v>13628.34</v>
          </cell>
          <cell r="AE332">
            <v>3997.5</v>
          </cell>
          <cell r="AF332">
            <v>28513</v>
          </cell>
          <cell r="AG332">
            <v>8807</v>
          </cell>
        </row>
        <row r="333">
          <cell r="Z333">
            <v>461</v>
          </cell>
          <cell r="AA333">
            <v>245671</v>
          </cell>
          <cell r="AB333">
            <v>238375</v>
          </cell>
          <cell r="AC333">
            <v>16841.04</v>
          </cell>
          <cell r="AD333">
            <v>13646.69</v>
          </cell>
          <cell r="AE333">
            <v>3998.9</v>
          </cell>
          <cell r="AF333">
            <v>28666</v>
          </cell>
          <cell r="AG333">
            <v>8964</v>
          </cell>
        </row>
        <row r="334">
          <cell r="Z334">
            <v>461</v>
          </cell>
          <cell r="AA334">
            <v>245823</v>
          </cell>
          <cell r="AB334">
            <v>238375</v>
          </cell>
          <cell r="AC334">
            <v>16848.96</v>
          </cell>
          <cell r="AD334">
            <v>13663.33</v>
          </cell>
          <cell r="AE334">
            <v>3999.8</v>
          </cell>
          <cell r="AF334">
            <v>28737</v>
          </cell>
          <cell r="AG334">
            <v>9189</v>
          </cell>
        </row>
        <row r="335">
          <cell r="Z335">
            <v>461</v>
          </cell>
          <cell r="AA335">
            <v>245833</v>
          </cell>
          <cell r="AB335">
            <v>238417</v>
          </cell>
          <cell r="AC335">
            <v>16856.419999999998</v>
          </cell>
          <cell r="AD335">
            <v>13683.99</v>
          </cell>
          <cell r="AE335">
            <v>4001.1</v>
          </cell>
          <cell r="AF335">
            <v>28892</v>
          </cell>
          <cell r="AG335">
            <v>9272</v>
          </cell>
        </row>
        <row r="336">
          <cell r="Z336">
            <v>461</v>
          </cell>
          <cell r="AA336">
            <v>245873</v>
          </cell>
          <cell r="AB336">
            <v>238468</v>
          </cell>
          <cell r="AC336">
            <v>16858.38</v>
          </cell>
          <cell r="AD336">
            <v>13691.36</v>
          </cell>
          <cell r="AE336">
            <v>4002.4</v>
          </cell>
          <cell r="AF336">
            <v>28995</v>
          </cell>
          <cell r="AG336">
            <v>9440</v>
          </cell>
        </row>
        <row r="337">
          <cell r="Z337">
            <v>461</v>
          </cell>
          <cell r="AA337">
            <v>245984</v>
          </cell>
          <cell r="AB337">
            <v>238468</v>
          </cell>
          <cell r="AC337">
            <v>16859.830000000002</v>
          </cell>
          <cell r="AD337">
            <v>13698.01</v>
          </cell>
          <cell r="AE337">
            <v>4003.7</v>
          </cell>
          <cell r="AF337">
            <v>29153</v>
          </cell>
          <cell r="AG337">
            <v>9551</v>
          </cell>
        </row>
        <row r="338">
          <cell r="Z338">
            <v>461</v>
          </cell>
          <cell r="AA338">
            <v>246009</v>
          </cell>
          <cell r="AB338">
            <v>238486</v>
          </cell>
          <cell r="AC338">
            <v>16865.59</v>
          </cell>
          <cell r="AD338">
            <v>13716.29</v>
          </cell>
          <cell r="AE338">
            <v>4004.6</v>
          </cell>
          <cell r="AF338">
            <v>29290</v>
          </cell>
          <cell r="AG338">
            <v>9644</v>
          </cell>
        </row>
        <row r="339">
          <cell r="Z339">
            <v>461</v>
          </cell>
          <cell r="AA339">
            <v>246009</v>
          </cell>
          <cell r="AB339">
            <v>238564</v>
          </cell>
          <cell r="AC339">
            <v>16870.099999999999</v>
          </cell>
          <cell r="AD339">
            <v>13735.18</v>
          </cell>
          <cell r="AE339">
            <v>4005.6</v>
          </cell>
          <cell r="AF339">
            <v>29369</v>
          </cell>
          <cell r="AG339">
            <v>9813</v>
          </cell>
        </row>
        <row r="340">
          <cell r="Z340">
            <v>461</v>
          </cell>
          <cell r="AA340">
            <v>246129</v>
          </cell>
          <cell r="AB340">
            <v>238584</v>
          </cell>
          <cell r="AC340">
            <v>16875.8</v>
          </cell>
          <cell r="AD340">
            <v>13762.67</v>
          </cell>
          <cell r="AE340">
            <v>4006.8</v>
          </cell>
          <cell r="AF340">
            <v>29554</v>
          </cell>
          <cell r="AG340">
            <v>10061</v>
          </cell>
        </row>
        <row r="341">
          <cell r="Z341">
            <v>461</v>
          </cell>
          <cell r="AA341">
            <v>246194</v>
          </cell>
          <cell r="AB341">
            <v>238584</v>
          </cell>
          <cell r="AC341">
            <v>16881.52</v>
          </cell>
          <cell r="AD341">
            <v>13785.42</v>
          </cell>
          <cell r="AE341">
            <v>4007.8</v>
          </cell>
          <cell r="AF341">
            <v>29704</v>
          </cell>
          <cell r="AG341">
            <v>10184</v>
          </cell>
        </row>
        <row r="342">
          <cell r="Z342">
            <v>461</v>
          </cell>
          <cell r="AA342">
            <v>246194</v>
          </cell>
          <cell r="AB342">
            <v>238727</v>
          </cell>
          <cell r="AC342">
            <v>16887.39</v>
          </cell>
          <cell r="AD342">
            <v>13809.06</v>
          </cell>
          <cell r="AE342">
            <v>4008.9</v>
          </cell>
          <cell r="AF342">
            <v>29874</v>
          </cell>
          <cell r="AG342">
            <v>10390</v>
          </cell>
        </row>
        <row r="343">
          <cell r="Z343">
            <v>461</v>
          </cell>
          <cell r="AA343">
            <v>246303</v>
          </cell>
          <cell r="AB343">
            <v>238731</v>
          </cell>
          <cell r="AC343">
            <v>16892.43</v>
          </cell>
          <cell r="AD343">
            <v>13827.92</v>
          </cell>
          <cell r="AE343">
            <v>4009.6</v>
          </cell>
          <cell r="AF343">
            <v>29941</v>
          </cell>
          <cell r="AG343">
            <v>10598</v>
          </cell>
        </row>
        <row r="344">
          <cell r="Z344">
            <v>461</v>
          </cell>
          <cell r="AA344">
            <v>246331</v>
          </cell>
          <cell r="AB344">
            <v>238731</v>
          </cell>
          <cell r="AC344">
            <v>16897.36</v>
          </cell>
          <cell r="AD344">
            <v>13830.74</v>
          </cell>
          <cell r="AE344">
            <v>4010.4</v>
          </cell>
          <cell r="AF344">
            <v>30031</v>
          </cell>
          <cell r="AG344">
            <v>10625</v>
          </cell>
        </row>
        <row r="345">
          <cell r="Z345">
            <v>486.7</v>
          </cell>
          <cell r="AA345">
            <v>246353</v>
          </cell>
          <cell r="AB345">
            <v>238854</v>
          </cell>
          <cell r="AC345">
            <v>16904.12</v>
          </cell>
          <cell r="AD345">
            <v>13848.69</v>
          </cell>
          <cell r="AE345">
            <v>4011.4</v>
          </cell>
          <cell r="AF345">
            <v>30181</v>
          </cell>
          <cell r="AG345">
            <v>10844</v>
          </cell>
        </row>
        <row r="346">
          <cell r="Z346">
            <v>568</v>
          </cell>
          <cell r="AA346">
            <v>246482</v>
          </cell>
          <cell r="AB346">
            <v>238896</v>
          </cell>
          <cell r="AC346">
            <v>16908.990000000002</v>
          </cell>
          <cell r="AD346">
            <v>13863.53</v>
          </cell>
          <cell r="AE346">
            <v>4012.4</v>
          </cell>
          <cell r="AF346">
            <v>30330</v>
          </cell>
          <cell r="AG346">
            <v>11101</v>
          </cell>
        </row>
        <row r="347">
          <cell r="Z347">
            <v>568</v>
          </cell>
          <cell r="AA347">
            <v>246529</v>
          </cell>
          <cell r="AB347">
            <v>238896</v>
          </cell>
          <cell r="AC347">
            <v>16913.34</v>
          </cell>
          <cell r="AD347">
            <v>13880.37</v>
          </cell>
          <cell r="AE347">
            <v>4013.5</v>
          </cell>
          <cell r="AF347">
            <v>30513</v>
          </cell>
          <cell r="AG347">
            <v>11173</v>
          </cell>
        </row>
        <row r="348">
          <cell r="Z348">
            <v>568</v>
          </cell>
          <cell r="AA348">
            <v>246644</v>
          </cell>
          <cell r="AB348">
            <v>238956</v>
          </cell>
          <cell r="AC348">
            <v>16917.919999999998</v>
          </cell>
          <cell r="AD348">
            <v>13901.29</v>
          </cell>
          <cell r="AE348">
            <v>4014.4</v>
          </cell>
          <cell r="AF348">
            <v>30630</v>
          </cell>
          <cell r="AG348">
            <v>11437</v>
          </cell>
        </row>
        <row r="349">
          <cell r="Z349">
            <v>568</v>
          </cell>
          <cell r="AA349">
            <v>246680</v>
          </cell>
          <cell r="AB349">
            <v>238968</v>
          </cell>
          <cell r="AC349">
            <v>16923.55</v>
          </cell>
          <cell r="AD349">
            <v>13919.83</v>
          </cell>
          <cell r="AE349">
            <v>4015.1</v>
          </cell>
          <cell r="AF349">
            <v>30705</v>
          </cell>
          <cell r="AG349">
            <v>11553</v>
          </cell>
        </row>
        <row r="350">
          <cell r="Z350">
            <v>568</v>
          </cell>
          <cell r="AA350">
            <v>246680</v>
          </cell>
          <cell r="AB350">
            <v>238993</v>
          </cell>
          <cell r="AC350">
            <v>16926.75</v>
          </cell>
          <cell r="AD350">
            <v>13928.26</v>
          </cell>
          <cell r="AE350">
            <v>4015.7</v>
          </cell>
          <cell r="AF350">
            <v>30752</v>
          </cell>
          <cell r="AG350">
            <v>11622</v>
          </cell>
        </row>
        <row r="351">
          <cell r="Z351">
            <v>568</v>
          </cell>
          <cell r="AA351">
            <v>246680</v>
          </cell>
          <cell r="AB351">
            <v>239094</v>
          </cell>
          <cell r="AC351">
            <v>16929.59</v>
          </cell>
          <cell r="AD351">
            <v>13938.51</v>
          </cell>
          <cell r="AE351">
            <v>4016.7</v>
          </cell>
          <cell r="AF351">
            <v>30905</v>
          </cell>
          <cell r="AG351">
            <v>11826</v>
          </cell>
        </row>
        <row r="352">
          <cell r="Z352">
            <v>593.4</v>
          </cell>
          <cell r="AA352">
            <v>246782</v>
          </cell>
          <cell r="AB352">
            <v>239128</v>
          </cell>
          <cell r="AC352">
            <v>16935.66</v>
          </cell>
          <cell r="AD352">
            <v>13956.63</v>
          </cell>
          <cell r="AE352">
            <v>4017.5</v>
          </cell>
          <cell r="AF352">
            <v>30905</v>
          </cell>
          <cell r="AG352">
            <v>12249</v>
          </cell>
        </row>
        <row r="353">
          <cell r="Z353">
            <v>593.4</v>
          </cell>
          <cell r="AA353">
            <v>246827</v>
          </cell>
          <cell r="AB353">
            <v>239202</v>
          </cell>
          <cell r="AC353">
            <v>16940.93</v>
          </cell>
          <cell r="AD353">
            <v>13978.7</v>
          </cell>
          <cell r="AE353">
            <v>4018.7</v>
          </cell>
          <cell r="AF353">
            <v>31100</v>
          </cell>
          <cell r="AG353">
            <v>12037</v>
          </cell>
        </row>
        <row r="354">
          <cell r="Z354">
            <v>616.29999999999995</v>
          </cell>
          <cell r="AA354">
            <v>246896</v>
          </cell>
          <cell r="AB354">
            <v>239202</v>
          </cell>
          <cell r="AC354">
            <v>16945.29</v>
          </cell>
          <cell r="AD354">
            <v>13996.78</v>
          </cell>
          <cell r="AE354">
            <v>4019.8</v>
          </cell>
          <cell r="AF354">
            <v>31206</v>
          </cell>
          <cell r="AG354">
            <v>12397</v>
          </cell>
        </row>
        <row r="355">
          <cell r="Z355">
            <v>651.20000000000005</v>
          </cell>
          <cell r="AA355">
            <v>246982</v>
          </cell>
          <cell r="AB355">
            <v>239260</v>
          </cell>
          <cell r="AC355">
            <v>16949.62</v>
          </cell>
          <cell r="AD355">
            <v>14015.55</v>
          </cell>
          <cell r="AE355">
            <v>4020.8</v>
          </cell>
          <cell r="AF355">
            <v>31329</v>
          </cell>
          <cell r="AG355">
            <v>12598</v>
          </cell>
        </row>
        <row r="356">
          <cell r="Z356">
            <v>651.20000000000005</v>
          </cell>
          <cell r="AA356">
            <v>247053</v>
          </cell>
          <cell r="AB356">
            <v>239280</v>
          </cell>
          <cell r="AC356">
            <v>16954.650000000001</v>
          </cell>
          <cell r="AD356">
            <v>14033.17</v>
          </cell>
          <cell r="AE356">
            <v>4021.6</v>
          </cell>
          <cell r="AF356">
            <v>31433</v>
          </cell>
          <cell r="AG356">
            <v>12794</v>
          </cell>
        </row>
        <row r="357">
          <cell r="Z357">
            <v>651.20000000000005</v>
          </cell>
          <cell r="AA357">
            <v>247133</v>
          </cell>
          <cell r="AB357">
            <v>239286</v>
          </cell>
          <cell r="AC357">
            <v>16956.8</v>
          </cell>
          <cell r="AD357">
            <v>14042.25</v>
          </cell>
          <cell r="AE357">
            <v>4022.9</v>
          </cell>
          <cell r="AF357">
            <v>31617</v>
          </cell>
          <cell r="AG357">
            <v>12946</v>
          </cell>
        </row>
        <row r="358">
          <cell r="Z358">
            <v>651.20000000000005</v>
          </cell>
          <cell r="AA358">
            <v>247133</v>
          </cell>
          <cell r="AB358">
            <v>239286</v>
          </cell>
          <cell r="AC358">
            <v>16959.16</v>
          </cell>
          <cell r="AD358">
            <v>14051.45</v>
          </cell>
          <cell r="AE358">
            <v>4023.6</v>
          </cell>
          <cell r="AF358">
            <v>31685</v>
          </cell>
          <cell r="AG358">
            <v>12969</v>
          </cell>
        </row>
        <row r="359">
          <cell r="Z359">
            <v>651.20000000000005</v>
          </cell>
          <cell r="AA359">
            <v>247211</v>
          </cell>
          <cell r="AB359">
            <v>239326</v>
          </cell>
          <cell r="AC359">
            <v>16963.32</v>
          </cell>
          <cell r="AD359">
            <v>14074.35</v>
          </cell>
          <cell r="AE359">
            <v>4024.6</v>
          </cell>
          <cell r="AF359">
            <v>31847</v>
          </cell>
          <cell r="AG359">
            <v>13212</v>
          </cell>
        </row>
        <row r="360">
          <cell r="Z360">
            <v>651.20000000000005</v>
          </cell>
          <cell r="AA360">
            <v>247312</v>
          </cell>
          <cell r="AB360">
            <v>239326</v>
          </cell>
          <cell r="AC360">
            <v>16968.07</v>
          </cell>
          <cell r="AD360">
            <v>14095.73</v>
          </cell>
          <cell r="AE360">
            <v>4025.7</v>
          </cell>
          <cell r="AF360">
            <v>31921</v>
          </cell>
          <cell r="AG360">
            <v>13368</v>
          </cell>
        </row>
        <row r="361">
          <cell r="Z361">
            <v>651.20000000000005</v>
          </cell>
          <cell r="AA361">
            <v>247373</v>
          </cell>
          <cell r="AB361">
            <v>239365</v>
          </cell>
          <cell r="AC361">
            <v>16972.41</v>
          </cell>
          <cell r="AD361">
            <v>14112.2</v>
          </cell>
          <cell r="AE361">
            <v>4026.8</v>
          </cell>
          <cell r="AF361">
            <v>31998</v>
          </cell>
          <cell r="AG361">
            <v>13578</v>
          </cell>
        </row>
        <row r="362">
          <cell r="Z362">
            <v>651.20000000000005</v>
          </cell>
          <cell r="AA362">
            <v>247437</v>
          </cell>
          <cell r="AB362">
            <v>239365</v>
          </cell>
          <cell r="AC362">
            <v>16974.990000000002</v>
          </cell>
          <cell r="AD362">
            <v>14136.21</v>
          </cell>
          <cell r="AE362">
            <v>4028.1</v>
          </cell>
          <cell r="AF362">
            <v>32213</v>
          </cell>
          <cell r="AG362">
            <v>13776</v>
          </cell>
        </row>
        <row r="363">
          <cell r="Z363">
            <v>651.20000000000005</v>
          </cell>
          <cell r="AA363">
            <v>247460</v>
          </cell>
          <cell r="AB363">
            <v>239475</v>
          </cell>
          <cell r="AC363">
            <v>16980.23</v>
          </cell>
          <cell r="AD363">
            <v>14157.34</v>
          </cell>
          <cell r="AE363">
            <v>4029.5</v>
          </cell>
          <cell r="AF363">
            <v>32460</v>
          </cell>
          <cell r="AG363">
            <v>14034</v>
          </cell>
        </row>
        <row r="364">
          <cell r="Z364">
            <v>651.20000000000005</v>
          </cell>
          <cell r="AA364">
            <v>247460</v>
          </cell>
          <cell r="AB364">
            <v>239517</v>
          </cell>
          <cell r="AC364">
            <v>16984.12</v>
          </cell>
          <cell r="AD364">
            <v>14179.24</v>
          </cell>
          <cell r="AE364">
            <v>4030.2</v>
          </cell>
          <cell r="AF364">
            <v>32546</v>
          </cell>
          <cell r="AG364">
            <v>14150</v>
          </cell>
        </row>
        <row r="365">
          <cell r="Z365">
            <v>651.20000000000005</v>
          </cell>
          <cell r="AA365">
            <v>247499</v>
          </cell>
          <cell r="AB365">
            <v>239517</v>
          </cell>
          <cell r="AC365">
            <v>16988.12</v>
          </cell>
          <cell r="AD365">
            <v>14202.56</v>
          </cell>
          <cell r="AE365">
            <v>4030.9</v>
          </cell>
          <cell r="AF365">
            <v>32603</v>
          </cell>
          <cell r="AG365">
            <v>14265</v>
          </cell>
        </row>
        <row r="366">
          <cell r="Z366">
            <v>651.20000000000005</v>
          </cell>
          <cell r="AA366">
            <v>247577</v>
          </cell>
          <cell r="AB366">
            <v>239562</v>
          </cell>
          <cell r="AC366">
            <v>16991.919999999998</v>
          </cell>
          <cell r="AD366">
            <v>14225.05</v>
          </cell>
          <cell r="AE366">
            <v>4031.8</v>
          </cell>
          <cell r="AF366">
            <v>32664</v>
          </cell>
          <cell r="AG366">
            <v>14458</v>
          </cell>
        </row>
        <row r="367">
          <cell r="Z367">
            <v>651.20000000000005</v>
          </cell>
          <cell r="AA367">
            <v>247621</v>
          </cell>
          <cell r="AB367">
            <v>239580</v>
          </cell>
          <cell r="AC367">
            <v>16998.23</v>
          </cell>
          <cell r="AD367">
            <v>14249.07</v>
          </cell>
          <cell r="AE367">
            <v>4033.1</v>
          </cell>
          <cell r="AF367">
            <v>32794</v>
          </cell>
          <cell r="AG367">
            <v>14615</v>
          </cell>
        </row>
        <row r="368">
          <cell r="Z368">
            <v>651.20000000000005</v>
          </cell>
          <cell r="AA368">
            <v>247667</v>
          </cell>
          <cell r="AB368">
            <v>239580</v>
          </cell>
          <cell r="AC368">
            <v>17003.900000000001</v>
          </cell>
          <cell r="AD368">
            <v>14269.93</v>
          </cell>
          <cell r="AE368">
            <v>4034.1</v>
          </cell>
          <cell r="AF368">
            <v>32935</v>
          </cell>
          <cell r="AG368">
            <v>14730</v>
          </cell>
        </row>
      </sheetData>
      <sheetData sheetId="34"/>
      <sheetData sheetId="35"/>
      <sheetData sheetId="36"/>
      <sheetData sheetId="37"/>
      <sheetData sheetId="3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"/>
      <sheetName val="OP-DT"/>
      <sheetName val="6월CM누적(X)"/>
      <sheetName val="기여도"/>
      <sheetName val="종합표(운영모델)"/>
      <sheetName val="실적(월누계분석)"/>
      <sheetName val="공헌이익 분석"/>
      <sheetName val="CM"/>
      <sheetName val="Y"/>
      <sheetName val="D(구)"/>
      <sheetName val="충수량"/>
      <sheetName val="D"/>
      <sheetName val="연료전지"/>
      <sheetName val="연료전지실적"/>
      <sheetName val="생산"/>
      <sheetName val="생산(M)"/>
      <sheetName val="판매(M)"/>
      <sheetName val="판매"/>
      <sheetName val="SMP"/>
      <sheetName val="수전량"/>
      <sheetName val="수전량(연료전지)"/>
      <sheetName val="송전량(CHP)"/>
      <sheetName val="송전량(FC)"/>
      <sheetName val="운전시간외"/>
      <sheetName val="용수"/>
      <sheetName val="월가중치"/>
      <sheetName val="일별실적"/>
      <sheetName val="설정"/>
      <sheetName val="월별집계"/>
      <sheetName val="대시보드"/>
      <sheetName val="단가(M)"/>
      <sheetName val="단가(D)"/>
      <sheetName val="단가변수"/>
      <sheetName val="실적"/>
      <sheetName val="전기요금표"/>
      <sheetName val="단가(환경M)"/>
      <sheetName val="CHP열요금표"/>
      <sheetName val="공휴일"/>
      <sheetName val="마감추정"/>
      <sheetName val="경영위원회"/>
      <sheetName val="종합계획"/>
      <sheetName val="일일실적"/>
      <sheetName val="종합계획분포"/>
      <sheetName val="DB"/>
      <sheetName val="key-in(ACO)"/>
      <sheetName val="key-in(LO)"/>
      <sheetName val="계획"/>
      <sheetName val="3월 안산수열량 비중"/>
      <sheetName val="M월별"/>
      <sheetName val="일일운영실적"/>
      <sheetName val="CHP생산단가"/>
      <sheetName val="계획(일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2">
          <cell r="BE22"/>
        </row>
        <row r="23">
          <cell r="BE23"/>
        </row>
        <row r="24">
          <cell r="BE24"/>
        </row>
        <row r="25">
          <cell r="BE25"/>
        </row>
        <row r="26">
          <cell r="BE26"/>
        </row>
        <row r="27">
          <cell r="BE27"/>
        </row>
        <row r="28">
          <cell r="BE28"/>
        </row>
        <row r="29">
          <cell r="BE29"/>
        </row>
        <row r="30">
          <cell r="BE30"/>
        </row>
        <row r="31">
          <cell r="BE31"/>
        </row>
        <row r="32">
          <cell r="BE32"/>
        </row>
        <row r="33">
          <cell r="BE33"/>
        </row>
        <row r="34">
          <cell r="BE34"/>
        </row>
        <row r="35">
          <cell r="BE35"/>
        </row>
        <row r="36">
          <cell r="BE36"/>
        </row>
        <row r="37">
          <cell r="BE37"/>
        </row>
        <row r="38">
          <cell r="BE38"/>
        </row>
        <row r="39">
          <cell r="BE39"/>
        </row>
        <row r="40">
          <cell r="BE40"/>
        </row>
        <row r="41">
          <cell r="BE41"/>
        </row>
        <row r="42">
          <cell r="BE42"/>
        </row>
        <row r="43">
          <cell r="BE43"/>
        </row>
        <row r="44">
          <cell r="BE44"/>
        </row>
        <row r="45">
          <cell r="BE45"/>
        </row>
        <row r="46">
          <cell r="BE46"/>
        </row>
        <row r="47">
          <cell r="BE47"/>
        </row>
        <row r="48">
          <cell r="BE48"/>
        </row>
        <row r="49">
          <cell r="BE49"/>
        </row>
        <row r="50">
          <cell r="BE50"/>
        </row>
        <row r="51">
          <cell r="BE51"/>
        </row>
        <row r="52">
          <cell r="BE52"/>
        </row>
        <row r="53">
          <cell r="BE53"/>
        </row>
        <row r="54">
          <cell r="BE54"/>
        </row>
        <row r="55">
          <cell r="BE55"/>
        </row>
        <row r="56">
          <cell r="BE56"/>
        </row>
        <row r="57">
          <cell r="BE57"/>
        </row>
        <row r="58">
          <cell r="BE58"/>
        </row>
        <row r="59">
          <cell r="BE59"/>
        </row>
        <row r="60">
          <cell r="BE60"/>
        </row>
        <row r="61">
          <cell r="BE61"/>
        </row>
        <row r="62">
          <cell r="BE62"/>
        </row>
        <row r="63">
          <cell r="BE63"/>
        </row>
        <row r="64">
          <cell r="BE64"/>
        </row>
        <row r="65">
          <cell r="BE65"/>
        </row>
        <row r="66">
          <cell r="BE66"/>
        </row>
        <row r="67">
          <cell r="BE67"/>
        </row>
        <row r="68">
          <cell r="BE68"/>
        </row>
        <row r="69">
          <cell r="BE69"/>
        </row>
        <row r="70">
          <cell r="BE70"/>
        </row>
        <row r="71">
          <cell r="BE71"/>
        </row>
        <row r="72">
          <cell r="BE72"/>
        </row>
        <row r="73">
          <cell r="BE73"/>
        </row>
        <row r="74">
          <cell r="BE74"/>
        </row>
        <row r="75">
          <cell r="BE75"/>
        </row>
        <row r="76">
          <cell r="BE76"/>
        </row>
        <row r="77">
          <cell r="BE77"/>
        </row>
        <row r="78">
          <cell r="BE78"/>
        </row>
        <row r="79">
          <cell r="BE79"/>
        </row>
        <row r="80">
          <cell r="BE80"/>
        </row>
        <row r="81">
          <cell r="BE81"/>
        </row>
        <row r="82">
          <cell r="BE82"/>
        </row>
        <row r="83">
          <cell r="BE83"/>
        </row>
        <row r="84">
          <cell r="BE84"/>
        </row>
        <row r="85">
          <cell r="BE85"/>
        </row>
        <row r="86">
          <cell r="BE86"/>
        </row>
        <row r="87">
          <cell r="BE87"/>
        </row>
        <row r="88">
          <cell r="BE88"/>
        </row>
        <row r="89">
          <cell r="BE89"/>
        </row>
        <row r="90">
          <cell r="BE90"/>
        </row>
        <row r="91">
          <cell r="BE91"/>
        </row>
        <row r="92">
          <cell r="BE92"/>
        </row>
        <row r="93">
          <cell r="BE93"/>
        </row>
        <row r="94">
          <cell r="BE94"/>
        </row>
        <row r="95">
          <cell r="BE95"/>
        </row>
        <row r="96">
          <cell r="BE96"/>
        </row>
        <row r="97">
          <cell r="BE97"/>
        </row>
        <row r="98">
          <cell r="BE98"/>
        </row>
        <row r="99">
          <cell r="BE99"/>
        </row>
        <row r="100">
          <cell r="BE100"/>
        </row>
        <row r="101">
          <cell r="BE101"/>
        </row>
        <row r="102">
          <cell r="BE102"/>
        </row>
        <row r="103">
          <cell r="BE103"/>
        </row>
        <row r="104">
          <cell r="BE104"/>
        </row>
        <row r="105">
          <cell r="BE105"/>
        </row>
        <row r="106">
          <cell r="BE106"/>
        </row>
        <row r="107">
          <cell r="BE107"/>
        </row>
        <row r="108">
          <cell r="BE108"/>
        </row>
        <row r="109">
          <cell r="BE109"/>
        </row>
        <row r="110">
          <cell r="BE110"/>
        </row>
        <row r="111">
          <cell r="BE111"/>
        </row>
        <row r="112">
          <cell r="BE112"/>
        </row>
        <row r="113">
          <cell r="BE113"/>
        </row>
        <row r="114">
          <cell r="BE114"/>
        </row>
        <row r="115">
          <cell r="BE115"/>
        </row>
        <row r="116">
          <cell r="BE116"/>
        </row>
        <row r="117">
          <cell r="BE117"/>
        </row>
        <row r="118">
          <cell r="BE118"/>
        </row>
        <row r="119">
          <cell r="BE119"/>
        </row>
        <row r="120">
          <cell r="BE120"/>
        </row>
        <row r="121">
          <cell r="BE121"/>
        </row>
        <row r="122">
          <cell r="BE122"/>
        </row>
        <row r="123">
          <cell r="BE123"/>
        </row>
        <row r="124">
          <cell r="BE124"/>
        </row>
        <row r="125">
          <cell r="BE125"/>
        </row>
        <row r="126">
          <cell r="BE126"/>
        </row>
        <row r="127">
          <cell r="BE127"/>
        </row>
        <row r="128">
          <cell r="BE128"/>
        </row>
        <row r="129">
          <cell r="BE129"/>
        </row>
        <row r="130">
          <cell r="BE130"/>
        </row>
        <row r="131">
          <cell r="BE131"/>
        </row>
        <row r="132">
          <cell r="BE132"/>
        </row>
        <row r="133">
          <cell r="BE133"/>
        </row>
        <row r="134">
          <cell r="BE134"/>
        </row>
        <row r="135">
          <cell r="BE135"/>
        </row>
        <row r="136">
          <cell r="BE136"/>
        </row>
        <row r="137">
          <cell r="BE137"/>
        </row>
        <row r="138">
          <cell r="BE138"/>
        </row>
        <row r="139">
          <cell r="BE139"/>
        </row>
        <row r="140">
          <cell r="BE140"/>
        </row>
        <row r="141">
          <cell r="BE141"/>
        </row>
        <row r="142">
          <cell r="BE142"/>
        </row>
        <row r="143">
          <cell r="BE143"/>
        </row>
        <row r="144">
          <cell r="BE144"/>
        </row>
        <row r="145">
          <cell r="BE145"/>
        </row>
        <row r="146">
          <cell r="BE146"/>
        </row>
        <row r="147">
          <cell r="BE147"/>
        </row>
        <row r="148">
          <cell r="BE148"/>
        </row>
        <row r="149">
          <cell r="BE149"/>
        </row>
        <row r="150">
          <cell r="BE150"/>
        </row>
        <row r="151">
          <cell r="BE151"/>
        </row>
        <row r="152">
          <cell r="BE152"/>
        </row>
        <row r="153">
          <cell r="BE153"/>
        </row>
        <row r="154">
          <cell r="BE154"/>
        </row>
        <row r="155">
          <cell r="BE155"/>
        </row>
        <row r="156">
          <cell r="BE156"/>
        </row>
        <row r="157">
          <cell r="BE157"/>
        </row>
        <row r="158">
          <cell r="BE158"/>
        </row>
        <row r="159">
          <cell r="BE159"/>
        </row>
        <row r="160">
          <cell r="BE160"/>
        </row>
        <row r="161">
          <cell r="BE161"/>
        </row>
        <row r="162">
          <cell r="BE162"/>
        </row>
        <row r="163">
          <cell r="BE163"/>
        </row>
        <row r="164">
          <cell r="BE164"/>
        </row>
        <row r="165">
          <cell r="BE165"/>
        </row>
        <row r="166">
          <cell r="BE166"/>
        </row>
        <row r="167">
          <cell r="BE167"/>
        </row>
        <row r="168">
          <cell r="BE168"/>
        </row>
        <row r="169">
          <cell r="BE169"/>
        </row>
        <row r="170">
          <cell r="BE170"/>
        </row>
        <row r="171">
          <cell r="BE171"/>
        </row>
        <row r="172">
          <cell r="BE172"/>
        </row>
        <row r="173">
          <cell r="BE173"/>
        </row>
        <row r="174">
          <cell r="BE174"/>
        </row>
        <row r="175">
          <cell r="BE175"/>
        </row>
        <row r="176">
          <cell r="BE176"/>
        </row>
        <row r="177">
          <cell r="BE177"/>
        </row>
        <row r="178">
          <cell r="BE178"/>
        </row>
        <row r="179">
          <cell r="BE179"/>
        </row>
        <row r="180">
          <cell r="BE180"/>
        </row>
        <row r="181">
          <cell r="BE181"/>
        </row>
        <row r="182">
          <cell r="BE182"/>
        </row>
        <row r="183">
          <cell r="BE183"/>
        </row>
        <row r="184">
          <cell r="BE184"/>
        </row>
        <row r="185">
          <cell r="BE185"/>
        </row>
        <row r="186">
          <cell r="BE186"/>
        </row>
        <row r="187">
          <cell r="BE187"/>
        </row>
        <row r="188">
          <cell r="BE188"/>
        </row>
        <row r="189">
          <cell r="BE189"/>
        </row>
        <row r="190">
          <cell r="BE190"/>
        </row>
        <row r="191">
          <cell r="BE191"/>
        </row>
        <row r="192">
          <cell r="BE192"/>
        </row>
        <row r="193">
          <cell r="BE193"/>
        </row>
        <row r="194">
          <cell r="BE194"/>
        </row>
        <row r="195">
          <cell r="BE195"/>
        </row>
        <row r="196">
          <cell r="BE196"/>
        </row>
        <row r="197">
          <cell r="BE197"/>
        </row>
        <row r="198">
          <cell r="BE198"/>
        </row>
        <row r="199">
          <cell r="BE199"/>
        </row>
        <row r="200">
          <cell r="BE200"/>
        </row>
        <row r="201">
          <cell r="BE201"/>
        </row>
        <row r="202">
          <cell r="BE202"/>
        </row>
        <row r="203">
          <cell r="BE203"/>
        </row>
        <row r="204">
          <cell r="BE204"/>
        </row>
        <row r="205">
          <cell r="BE205"/>
        </row>
        <row r="206">
          <cell r="BE206"/>
        </row>
        <row r="207">
          <cell r="BE207"/>
        </row>
        <row r="208">
          <cell r="BE208"/>
        </row>
        <row r="209">
          <cell r="BE209"/>
        </row>
        <row r="210">
          <cell r="BE210"/>
        </row>
        <row r="211">
          <cell r="BE211"/>
        </row>
        <row r="212">
          <cell r="BE212"/>
        </row>
        <row r="213">
          <cell r="BE213"/>
        </row>
        <row r="214">
          <cell r="BE214"/>
        </row>
        <row r="215">
          <cell r="BE215"/>
        </row>
        <row r="216">
          <cell r="BE216"/>
        </row>
        <row r="217">
          <cell r="BE217"/>
        </row>
        <row r="218">
          <cell r="BE218"/>
        </row>
        <row r="219">
          <cell r="BE219"/>
        </row>
        <row r="220">
          <cell r="BE220"/>
        </row>
        <row r="221">
          <cell r="BE221"/>
        </row>
        <row r="222">
          <cell r="BE222"/>
        </row>
        <row r="223">
          <cell r="BE223"/>
        </row>
        <row r="224">
          <cell r="BE224"/>
        </row>
        <row r="225">
          <cell r="BE225"/>
        </row>
        <row r="226">
          <cell r="BE226"/>
        </row>
        <row r="227">
          <cell r="BE227"/>
        </row>
        <row r="228">
          <cell r="BE228"/>
        </row>
        <row r="229">
          <cell r="BE229"/>
        </row>
        <row r="230">
          <cell r="BE230"/>
        </row>
        <row r="231">
          <cell r="BE231"/>
        </row>
        <row r="232">
          <cell r="BE232"/>
        </row>
        <row r="233">
          <cell r="BE233"/>
        </row>
        <row r="234">
          <cell r="BE234"/>
        </row>
        <row r="235">
          <cell r="BE235"/>
        </row>
        <row r="236">
          <cell r="BE236"/>
        </row>
        <row r="237">
          <cell r="BE237"/>
        </row>
        <row r="238">
          <cell r="BE238"/>
        </row>
        <row r="239">
          <cell r="BE239"/>
        </row>
        <row r="240">
          <cell r="BE240"/>
        </row>
        <row r="241">
          <cell r="BE241"/>
        </row>
        <row r="242">
          <cell r="BE242"/>
        </row>
        <row r="243">
          <cell r="BE243"/>
        </row>
        <row r="244">
          <cell r="BE244"/>
        </row>
        <row r="245">
          <cell r="BE245"/>
        </row>
        <row r="246">
          <cell r="BE246"/>
        </row>
        <row r="247">
          <cell r="BE247"/>
        </row>
        <row r="248">
          <cell r="BE248"/>
        </row>
        <row r="249">
          <cell r="BE249"/>
        </row>
        <row r="250">
          <cell r="BE250"/>
        </row>
        <row r="251">
          <cell r="BE251"/>
        </row>
        <row r="252">
          <cell r="BE252"/>
        </row>
        <row r="253">
          <cell r="BE253"/>
        </row>
        <row r="254">
          <cell r="BE254"/>
        </row>
        <row r="255">
          <cell r="BE255"/>
        </row>
        <row r="256">
          <cell r="BE256"/>
        </row>
        <row r="257">
          <cell r="BE257"/>
        </row>
        <row r="258">
          <cell r="BE258"/>
        </row>
        <row r="259">
          <cell r="BE259"/>
        </row>
        <row r="260">
          <cell r="BE260"/>
        </row>
        <row r="261">
          <cell r="BE261"/>
        </row>
        <row r="262">
          <cell r="BE262"/>
        </row>
        <row r="263">
          <cell r="BE263"/>
        </row>
        <row r="264">
          <cell r="BE264"/>
        </row>
        <row r="265">
          <cell r="BE265"/>
        </row>
        <row r="266">
          <cell r="BE266"/>
        </row>
        <row r="267">
          <cell r="BE267"/>
        </row>
        <row r="268">
          <cell r="BE268"/>
        </row>
        <row r="269">
          <cell r="BE269"/>
        </row>
        <row r="270">
          <cell r="BE270"/>
        </row>
        <row r="271">
          <cell r="BE271"/>
        </row>
        <row r="272">
          <cell r="BE272"/>
        </row>
        <row r="273">
          <cell r="BE273"/>
        </row>
        <row r="274">
          <cell r="BE274"/>
        </row>
        <row r="275">
          <cell r="BE275"/>
        </row>
        <row r="276">
          <cell r="BE276"/>
        </row>
        <row r="277">
          <cell r="BE277"/>
        </row>
        <row r="278">
          <cell r="BE278"/>
        </row>
        <row r="279">
          <cell r="BE279"/>
        </row>
        <row r="280">
          <cell r="BE280"/>
        </row>
        <row r="281">
          <cell r="BE281"/>
        </row>
        <row r="282">
          <cell r="BE282"/>
        </row>
        <row r="283">
          <cell r="BE283"/>
        </row>
        <row r="284">
          <cell r="BE284"/>
        </row>
        <row r="285">
          <cell r="BE285"/>
        </row>
        <row r="286">
          <cell r="BE286"/>
        </row>
        <row r="287">
          <cell r="BE287"/>
        </row>
        <row r="288">
          <cell r="BE288"/>
        </row>
        <row r="289">
          <cell r="BE289"/>
        </row>
        <row r="290">
          <cell r="BE290"/>
        </row>
        <row r="291">
          <cell r="BE291"/>
        </row>
        <row r="292">
          <cell r="BE292"/>
        </row>
        <row r="293">
          <cell r="BE293"/>
        </row>
        <row r="294">
          <cell r="BE294"/>
        </row>
        <row r="295">
          <cell r="BE295"/>
        </row>
        <row r="296">
          <cell r="BE296"/>
        </row>
        <row r="297">
          <cell r="BE297"/>
        </row>
        <row r="298">
          <cell r="BE298"/>
        </row>
        <row r="299">
          <cell r="BE299"/>
        </row>
        <row r="300">
          <cell r="BE300"/>
        </row>
        <row r="301">
          <cell r="BE301"/>
        </row>
        <row r="302">
          <cell r="BE302"/>
        </row>
        <row r="303">
          <cell r="BE303"/>
        </row>
        <row r="304">
          <cell r="BE304"/>
        </row>
        <row r="305">
          <cell r="BE305"/>
        </row>
        <row r="306">
          <cell r="BE306"/>
        </row>
        <row r="307">
          <cell r="BE307"/>
        </row>
        <row r="308">
          <cell r="BE308"/>
        </row>
        <row r="309">
          <cell r="BE309"/>
        </row>
        <row r="310">
          <cell r="BE310"/>
        </row>
        <row r="311">
          <cell r="BE311"/>
        </row>
        <row r="312">
          <cell r="BE312"/>
        </row>
        <row r="313">
          <cell r="BE313"/>
        </row>
        <row r="314">
          <cell r="BE314"/>
        </row>
        <row r="315">
          <cell r="BE315"/>
        </row>
        <row r="316">
          <cell r="BE316"/>
        </row>
        <row r="317">
          <cell r="BE317"/>
        </row>
        <row r="318">
          <cell r="BE318"/>
        </row>
        <row r="319">
          <cell r="BE319"/>
        </row>
        <row r="320">
          <cell r="BE320"/>
        </row>
        <row r="321">
          <cell r="BE321"/>
        </row>
        <row r="322">
          <cell r="BE322"/>
        </row>
        <row r="323">
          <cell r="BE323"/>
        </row>
        <row r="324">
          <cell r="BE324"/>
        </row>
        <row r="325">
          <cell r="BE325"/>
        </row>
        <row r="326">
          <cell r="BE326"/>
        </row>
        <row r="327">
          <cell r="BE327"/>
        </row>
        <row r="328">
          <cell r="BE328"/>
        </row>
        <row r="329">
          <cell r="BE329"/>
        </row>
        <row r="330">
          <cell r="BE330"/>
        </row>
        <row r="331">
          <cell r="BE331"/>
        </row>
        <row r="332">
          <cell r="BE332"/>
        </row>
        <row r="333">
          <cell r="BE333"/>
        </row>
        <row r="334">
          <cell r="BE334"/>
        </row>
        <row r="335">
          <cell r="BE335"/>
        </row>
        <row r="336">
          <cell r="BE336"/>
        </row>
        <row r="337">
          <cell r="BE337"/>
        </row>
        <row r="338">
          <cell r="BE338"/>
        </row>
        <row r="339">
          <cell r="BE339"/>
        </row>
        <row r="340">
          <cell r="BE340"/>
        </row>
        <row r="341">
          <cell r="BE341"/>
        </row>
        <row r="342">
          <cell r="BE342"/>
        </row>
        <row r="343">
          <cell r="BE343"/>
        </row>
        <row r="344">
          <cell r="BE344"/>
        </row>
        <row r="345">
          <cell r="BE345"/>
        </row>
        <row r="346">
          <cell r="BE346"/>
        </row>
        <row r="347">
          <cell r="BE347"/>
        </row>
        <row r="348">
          <cell r="BE348"/>
        </row>
        <row r="349">
          <cell r="BE349"/>
        </row>
        <row r="350">
          <cell r="BE350"/>
        </row>
        <row r="351">
          <cell r="BE351"/>
        </row>
        <row r="352">
          <cell r="BE352"/>
        </row>
        <row r="353">
          <cell r="BE353"/>
        </row>
        <row r="354">
          <cell r="BE354"/>
        </row>
        <row r="355">
          <cell r="BE355"/>
        </row>
        <row r="356">
          <cell r="BE356"/>
        </row>
        <row r="357">
          <cell r="BE357"/>
        </row>
        <row r="358">
          <cell r="BE358"/>
        </row>
        <row r="359">
          <cell r="BE359"/>
        </row>
        <row r="360">
          <cell r="BE360"/>
        </row>
        <row r="361">
          <cell r="BE361"/>
        </row>
        <row r="362">
          <cell r="BE362"/>
        </row>
        <row r="363">
          <cell r="BE363"/>
        </row>
        <row r="364">
          <cell r="BE364"/>
        </row>
        <row r="365">
          <cell r="BE365"/>
        </row>
        <row r="366">
          <cell r="BE366"/>
        </row>
        <row r="367">
          <cell r="BE367"/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5년"/>
      <sheetName val="2026년"/>
    </sheetNames>
    <sheetDataSet>
      <sheetData sheetId="0">
        <row r="2">
          <cell r="G2">
            <v>1290</v>
          </cell>
        </row>
        <row r="3">
          <cell r="G3">
            <v>0</v>
          </cell>
        </row>
        <row r="4">
          <cell r="G4">
            <v>0</v>
          </cell>
        </row>
        <row r="5">
          <cell r="G5">
            <v>31892</v>
          </cell>
        </row>
        <row r="6">
          <cell r="G6">
            <v>0</v>
          </cell>
        </row>
        <row r="7">
          <cell r="G7">
            <v>0</v>
          </cell>
        </row>
        <row r="8">
          <cell r="G8">
            <v>59192</v>
          </cell>
        </row>
        <row r="9">
          <cell r="G9">
            <v>31420</v>
          </cell>
        </row>
        <row r="10">
          <cell r="G10">
            <v>81008</v>
          </cell>
        </row>
        <row r="11">
          <cell r="G11">
            <v>74726</v>
          </cell>
        </row>
        <row r="12">
          <cell r="G12">
            <v>36237</v>
          </cell>
        </row>
        <row r="13">
          <cell r="G13">
            <v>0</v>
          </cell>
        </row>
        <row r="14">
          <cell r="G14">
            <v>49551</v>
          </cell>
        </row>
        <row r="15">
          <cell r="G15">
            <v>62984</v>
          </cell>
        </row>
        <row r="16">
          <cell r="G16">
            <v>0</v>
          </cell>
        </row>
        <row r="17">
          <cell r="G17">
            <v>39968</v>
          </cell>
        </row>
        <row r="18">
          <cell r="G18">
            <v>33018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76042</v>
          </cell>
        </row>
        <row r="30">
          <cell r="G30">
            <v>64075</v>
          </cell>
        </row>
        <row r="31">
          <cell r="G31">
            <v>8763</v>
          </cell>
        </row>
        <row r="32">
          <cell r="G32">
            <v>8</v>
          </cell>
        </row>
        <row r="33">
          <cell r="G33">
            <v>65316</v>
          </cell>
        </row>
        <row r="34">
          <cell r="G34">
            <v>87284</v>
          </cell>
        </row>
        <row r="35">
          <cell r="G35">
            <v>90583</v>
          </cell>
        </row>
        <row r="36">
          <cell r="G36">
            <v>88655</v>
          </cell>
        </row>
        <row r="37">
          <cell r="G37">
            <v>90628</v>
          </cell>
        </row>
        <row r="38">
          <cell r="G38">
            <v>85357</v>
          </cell>
        </row>
        <row r="39">
          <cell r="G39">
            <v>86815</v>
          </cell>
        </row>
        <row r="40">
          <cell r="G40">
            <v>65373</v>
          </cell>
        </row>
        <row r="41">
          <cell r="G41">
            <v>34904</v>
          </cell>
        </row>
        <row r="42">
          <cell r="G42">
            <v>85883</v>
          </cell>
        </row>
        <row r="43">
          <cell r="G43">
            <v>77581</v>
          </cell>
        </row>
        <row r="44">
          <cell r="G44">
            <v>53298</v>
          </cell>
        </row>
        <row r="45">
          <cell r="G45">
            <v>74977</v>
          </cell>
        </row>
        <row r="46">
          <cell r="G46">
            <v>38601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54090</v>
          </cell>
        </row>
        <row r="50">
          <cell r="G50">
            <v>50132</v>
          </cell>
        </row>
        <row r="51">
          <cell r="G51">
            <v>54671</v>
          </cell>
        </row>
        <row r="52">
          <cell r="G52">
            <v>55785</v>
          </cell>
        </row>
        <row r="53">
          <cell r="G53">
            <v>52556</v>
          </cell>
        </row>
        <row r="54">
          <cell r="G54">
            <v>7340</v>
          </cell>
        </row>
        <row r="55">
          <cell r="G55">
            <v>13314</v>
          </cell>
        </row>
        <row r="56">
          <cell r="G56">
            <v>65457</v>
          </cell>
        </row>
        <row r="57">
          <cell r="G57">
            <v>25127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51888</v>
          </cell>
        </row>
        <row r="64">
          <cell r="G64">
            <v>50516</v>
          </cell>
        </row>
        <row r="65">
          <cell r="G65">
            <v>56085</v>
          </cell>
        </row>
        <row r="66">
          <cell r="G66">
            <v>35232</v>
          </cell>
        </row>
        <row r="67">
          <cell r="G67">
            <v>45333</v>
          </cell>
        </row>
        <row r="68">
          <cell r="G68">
            <v>29759</v>
          </cell>
        </row>
        <row r="69">
          <cell r="G69">
            <v>20922</v>
          </cell>
        </row>
        <row r="70">
          <cell r="G70">
            <v>30463</v>
          </cell>
        </row>
        <row r="71">
          <cell r="G71">
            <v>29269</v>
          </cell>
        </row>
        <row r="72">
          <cell r="G72">
            <v>35559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32126</v>
          </cell>
        </row>
        <row r="78">
          <cell r="G78">
            <v>46656</v>
          </cell>
        </row>
        <row r="79">
          <cell r="G79">
            <v>48833</v>
          </cell>
        </row>
        <row r="80">
          <cell r="G80">
            <v>46742</v>
          </cell>
        </row>
        <row r="81">
          <cell r="G81">
            <v>16907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32520</v>
          </cell>
        </row>
        <row r="89">
          <cell r="G89">
            <v>16894</v>
          </cell>
        </row>
        <row r="90">
          <cell r="G90">
            <v>20124</v>
          </cell>
        </row>
        <row r="91">
          <cell r="G91">
            <v>50108</v>
          </cell>
        </row>
        <row r="92">
          <cell r="G92">
            <v>43717</v>
          </cell>
        </row>
        <row r="93">
          <cell r="G93">
            <v>0</v>
          </cell>
        </row>
        <row r="94">
          <cell r="G94">
            <v>35630</v>
          </cell>
        </row>
        <row r="95">
          <cell r="G95">
            <v>18804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23336</v>
          </cell>
        </row>
        <row r="99">
          <cell r="G99">
            <v>17234</v>
          </cell>
        </row>
        <row r="100">
          <cell r="G100">
            <v>29645</v>
          </cell>
        </row>
        <row r="101">
          <cell r="G101">
            <v>0</v>
          </cell>
        </row>
        <row r="102">
          <cell r="G102">
            <v>16464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41586</v>
          </cell>
        </row>
        <row r="106">
          <cell r="G106">
            <v>38935</v>
          </cell>
        </row>
        <row r="107">
          <cell r="G107">
            <v>30143</v>
          </cell>
        </row>
        <row r="108">
          <cell r="G108">
            <v>0</v>
          </cell>
        </row>
        <row r="109">
          <cell r="G109">
            <v>17709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22448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23460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22296</v>
          </cell>
        </row>
        <row r="120">
          <cell r="G120">
            <v>0</v>
          </cell>
        </row>
        <row r="121">
          <cell r="G121">
            <v>41695</v>
          </cell>
        </row>
        <row r="122">
          <cell r="G122">
            <v>0</v>
          </cell>
        </row>
        <row r="123">
          <cell r="G123">
            <v>4733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45923</v>
          </cell>
        </row>
        <row r="129">
          <cell r="G129">
            <v>0</v>
          </cell>
        </row>
        <row r="130">
          <cell r="G130">
            <v>24546</v>
          </cell>
        </row>
        <row r="131">
          <cell r="G131">
            <v>53503</v>
          </cell>
        </row>
        <row r="132">
          <cell r="G132">
            <v>6603</v>
          </cell>
        </row>
        <row r="133">
          <cell r="G133">
            <v>4286</v>
          </cell>
        </row>
        <row r="134">
          <cell r="G134">
            <v>4830</v>
          </cell>
        </row>
        <row r="135">
          <cell r="G135">
            <v>4579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3669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3290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4476</v>
          </cell>
        </row>
        <row r="190">
          <cell r="G190">
            <v>4497</v>
          </cell>
        </row>
        <row r="191">
          <cell r="G191">
            <v>7623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4147</v>
          </cell>
        </row>
        <row r="211">
          <cell r="G211">
            <v>3167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0</v>
          </cell>
        </row>
        <row r="226">
          <cell r="G226">
            <v>0</v>
          </cell>
        </row>
        <row r="227">
          <cell r="G227">
            <v>0</v>
          </cell>
        </row>
        <row r="228">
          <cell r="G228">
            <v>0</v>
          </cell>
        </row>
        <row r="229">
          <cell r="G229">
            <v>0</v>
          </cell>
        </row>
        <row r="230">
          <cell r="G230">
            <v>0</v>
          </cell>
        </row>
        <row r="231">
          <cell r="G231">
            <v>3168</v>
          </cell>
        </row>
        <row r="232">
          <cell r="G232">
            <v>1577</v>
          </cell>
        </row>
        <row r="233">
          <cell r="G233">
            <v>0</v>
          </cell>
        </row>
        <row r="234">
          <cell r="G234">
            <v>4930</v>
          </cell>
        </row>
        <row r="235">
          <cell r="G235">
            <v>3397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4489</v>
          </cell>
        </row>
        <row r="239">
          <cell r="G239">
            <v>10181</v>
          </cell>
        </row>
        <row r="240">
          <cell r="G240">
            <v>0</v>
          </cell>
        </row>
        <row r="241">
          <cell r="G241">
            <v>0</v>
          </cell>
        </row>
        <row r="242">
          <cell r="G242">
            <v>0</v>
          </cell>
        </row>
        <row r="243">
          <cell r="G243">
            <v>0</v>
          </cell>
        </row>
        <row r="244">
          <cell r="G244">
            <v>0</v>
          </cell>
        </row>
        <row r="245">
          <cell r="G245">
            <v>4165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0</v>
          </cell>
        </row>
        <row r="249">
          <cell r="G249">
            <v>0</v>
          </cell>
        </row>
        <row r="250">
          <cell r="G250">
            <v>0</v>
          </cell>
        </row>
        <row r="251">
          <cell r="G251">
            <v>0</v>
          </cell>
        </row>
        <row r="252">
          <cell r="G252">
            <v>0</v>
          </cell>
        </row>
        <row r="253">
          <cell r="G253">
            <v>0</v>
          </cell>
        </row>
        <row r="254">
          <cell r="G254">
            <v>0</v>
          </cell>
        </row>
        <row r="255">
          <cell r="G255">
            <v>0</v>
          </cell>
        </row>
        <row r="256">
          <cell r="G256">
            <v>0</v>
          </cell>
        </row>
        <row r="257">
          <cell r="G257">
            <v>0</v>
          </cell>
        </row>
        <row r="258">
          <cell r="G258">
            <v>0</v>
          </cell>
        </row>
        <row r="259">
          <cell r="G259">
            <v>0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0</v>
          </cell>
        </row>
        <row r="264">
          <cell r="G264">
            <v>0</v>
          </cell>
        </row>
        <row r="265">
          <cell r="G265">
            <v>0</v>
          </cell>
        </row>
        <row r="266">
          <cell r="G266">
            <v>0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0</v>
          </cell>
        </row>
        <row r="270">
          <cell r="G270">
            <v>0</v>
          </cell>
        </row>
        <row r="271">
          <cell r="G271">
            <v>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0</v>
          </cell>
        </row>
        <row r="275">
          <cell r="G275">
            <v>0</v>
          </cell>
        </row>
        <row r="276">
          <cell r="G276">
            <v>0</v>
          </cell>
        </row>
        <row r="277">
          <cell r="G277">
            <v>0</v>
          </cell>
        </row>
        <row r="278">
          <cell r="G278">
            <v>0</v>
          </cell>
        </row>
        <row r="279">
          <cell r="G279">
            <v>0</v>
          </cell>
        </row>
        <row r="280">
          <cell r="G280">
            <v>0</v>
          </cell>
        </row>
        <row r="281">
          <cell r="G281">
            <v>0</v>
          </cell>
        </row>
        <row r="282">
          <cell r="G282">
            <v>0</v>
          </cell>
        </row>
        <row r="283">
          <cell r="G283">
            <v>0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0</v>
          </cell>
        </row>
        <row r="288">
          <cell r="G288">
            <v>0</v>
          </cell>
        </row>
        <row r="289">
          <cell r="G289">
            <v>0</v>
          </cell>
        </row>
        <row r="290">
          <cell r="G290">
            <v>0</v>
          </cell>
        </row>
        <row r="291">
          <cell r="G291">
            <v>0</v>
          </cell>
        </row>
        <row r="292">
          <cell r="G292">
            <v>0</v>
          </cell>
        </row>
        <row r="293">
          <cell r="G293">
            <v>0</v>
          </cell>
        </row>
        <row r="294">
          <cell r="G294">
            <v>8876</v>
          </cell>
        </row>
        <row r="295">
          <cell r="G295">
            <v>0</v>
          </cell>
        </row>
        <row r="296">
          <cell r="G296">
            <v>0</v>
          </cell>
        </row>
        <row r="297">
          <cell r="G297">
            <v>0</v>
          </cell>
        </row>
        <row r="298">
          <cell r="G298">
            <v>0</v>
          </cell>
        </row>
        <row r="299">
          <cell r="G299">
            <v>0</v>
          </cell>
        </row>
        <row r="300">
          <cell r="G300">
            <v>0</v>
          </cell>
        </row>
        <row r="301">
          <cell r="G301">
            <v>0</v>
          </cell>
        </row>
        <row r="302">
          <cell r="G302">
            <v>0</v>
          </cell>
        </row>
        <row r="303">
          <cell r="G303">
            <v>0</v>
          </cell>
        </row>
        <row r="304">
          <cell r="G304">
            <v>0</v>
          </cell>
        </row>
        <row r="305">
          <cell r="G305">
            <v>0</v>
          </cell>
        </row>
        <row r="306">
          <cell r="G306">
            <v>0</v>
          </cell>
        </row>
        <row r="307">
          <cell r="G307">
            <v>0</v>
          </cell>
        </row>
        <row r="308">
          <cell r="G308">
            <v>0</v>
          </cell>
        </row>
        <row r="309">
          <cell r="G309">
            <v>8847</v>
          </cell>
        </row>
        <row r="310">
          <cell r="G310">
            <v>0</v>
          </cell>
        </row>
        <row r="311">
          <cell r="G311">
            <v>0</v>
          </cell>
        </row>
        <row r="312">
          <cell r="G312">
            <v>0</v>
          </cell>
        </row>
        <row r="313">
          <cell r="G313">
            <v>0</v>
          </cell>
        </row>
        <row r="314">
          <cell r="G314">
            <v>0</v>
          </cell>
        </row>
        <row r="315">
          <cell r="G315">
            <v>0</v>
          </cell>
        </row>
        <row r="316">
          <cell r="G316">
            <v>0</v>
          </cell>
        </row>
        <row r="317">
          <cell r="G317">
            <v>0</v>
          </cell>
        </row>
        <row r="318">
          <cell r="G318">
            <v>0</v>
          </cell>
        </row>
        <row r="319">
          <cell r="G319">
            <v>0</v>
          </cell>
        </row>
        <row r="320">
          <cell r="G320">
            <v>0</v>
          </cell>
        </row>
        <row r="321">
          <cell r="G321">
            <v>0</v>
          </cell>
        </row>
        <row r="322">
          <cell r="G322">
            <v>30666</v>
          </cell>
        </row>
        <row r="323">
          <cell r="G323">
            <v>51132</v>
          </cell>
        </row>
        <row r="324">
          <cell r="G324">
            <v>36019</v>
          </cell>
        </row>
        <row r="325">
          <cell r="G325">
            <v>26372</v>
          </cell>
        </row>
        <row r="326">
          <cell r="G326">
            <v>41902</v>
          </cell>
        </row>
        <row r="327">
          <cell r="G327">
            <v>15289</v>
          </cell>
        </row>
        <row r="328">
          <cell r="G328">
            <v>0</v>
          </cell>
        </row>
        <row r="329">
          <cell r="G329">
            <v>39379</v>
          </cell>
        </row>
        <row r="330">
          <cell r="G330">
            <v>38033</v>
          </cell>
        </row>
        <row r="331">
          <cell r="G331">
            <v>30366</v>
          </cell>
        </row>
        <row r="332">
          <cell r="G332">
            <v>32159</v>
          </cell>
        </row>
        <row r="333">
          <cell r="G333">
            <v>45282</v>
          </cell>
        </row>
        <row r="334">
          <cell r="G334">
            <v>1534</v>
          </cell>
        </row>
        <row r="335">
          <cell r="G335">
            <v>0</v>
          </cell>
        </row>
        <row r="336">
          <cell r="G336">
            <v>42731</v>
          </cell>
        </row>
        <row r="337">
          <cell r="G337">
            <v>49536</v>
          </cell>
        </row>
        <row r="338">
          <cell r="G338">
            <v>52633</v>
          </cell>
        </row>
        <row r="339">
          <cell r="G339">
            <v>56408</v>
          </cell>
        </row>
        <row r="340">
          <cell r="G340">
            <v>65560</v>
          </cell>
        </row>
        <row r="341">
          <cell r="G341">
            <v>47396</v>
          </cell>
        </row>
        <row r="342">
          <cell r="G342">
            <v>2223</v>
          </cell>
        </row>
        <row r="343">
          <cell r="G343">
            <v>44801</v>
          </cell>
        </row>
        <row r="344">
          <cell r="G344">
            <v>25676</v>
          </cell>
        </row>
        <row r="345">
          <cell r="G345">
            <v>43821</v>
          </cell>
        </row>
        <row r="346">
          <cell r="G346">
            <v>53715</v>
          </cell>
        </row>
        <row r="347">
          <cell r="G347">
            <v>41431</v>
          </cell>
        </row>
        <row r="348">
          <cell r="G348">
            <v>16527</v>
          </cell>
        </row>
        <row r="349">
          <cell r="G349">
            <v>20108</v>
          </cell>
        </row>
        <row r="350">
          <cell r="G350">
            <v>46551</v>
          </cell>
        </row>
        <row r="351">
          <cell r="G351">
            <v>49428</v>
          </cell>
        </row>
        <row r="352">
          <cell r="G352">
            <v>43952</v>
          </cell>
        </row>
        <row r="353">
          <cell r="G353">
            <v>42545</v>
          </cell>
        </row>
        <row r="354">
          <cell r="G354">
            <v>48112</v>
          </cell>
        </row>
        <row r="355">
          <cell r="G355">
            <v>11592</v>
          </cell>
        </row>
        <row r="356">
          <cell r="G356">
            <v>23002</v>
          </cell>
        </row>
        <row r="357">
          <cell r="G357">
            <v>61311</v>
          </cell>
        </row>
        <row r="358">
          <cell r="G358">
            <v>50998</v>
          </cell>
        </row>
        <row r="359">
          <cell r="G359">
            <v>43409</v>
          </cell>
        </row>
        <row r="360">
          <cell r="G360">
            <v>73857</v>
          </cell>
        </row>
        <row r="361">
          <cell r="G361">
            <v>75529</v>
          </cell>
        </row>
        <row r="362">
          <cell r="G362">
            <v>66858</v>
          </cell>
        </row>
        <row r="363">
          <cell r="G363">
            <v>71334</v>
          </cell>
        </row>
        <row r="364">
          <cell r="G364">
            <v>59275</v>
          </cell>
        </row>
        <row r="365">
          <cell r="G365">
            <v>63025</v>
          </cell>
        </row>
        <row r="366">
          <cell r="G366">
            <v>62358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강 다혜" id="{21F968B3-D0A9-4B52-88E7-127C54FF8C10}" userId="S::dh@withie.co.kr::3f150c22-cc72-4fc6-825b-88355013af05" providerId="AD"/>
  <person displayName="라 호진" id="{5F3B45C8-C6B7-4894-B11B-677978D251FB}" userId="S::nasubang1@withie.co.kr::1d35cff8-27af-46eb-b0ff-f66f72ac4d9a" providerId="AD"/>
  <person displayName="남 길우" id="{E2BBB104-37B1-4CCA-B3BF-92DB911D817A}" userId="S::nko910730@withie.co.kr::aada67cd-7f53-4293-9e1f-f6a5627b2fc1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3" dT="2026-01-23T00:26:26.66" personId="{21F968B3-D0A9-4B52-88E7-127C54FF8C10}" id="{09889533-6B7A-46E9-9FC7-15207744F02C}">
    <text xml:space="preserve">열병합발전 : 51.39Gcal/h  
온수보일러 : 68.8Gcal/h x 3기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X3" dT="2026-01-23T00:26:26.66" personId="{21F968B3-D0A9-4B52-88E7-127C54FF8C10}" id="{DBF68595-312F-4007-9741-FF1F2A705BC6}">
    <text xml:space="preserve">열병합발전 : 51.39Gcal/h  
온수보일러 : 68.8Gcal/h x 3기 </text>
  </threadedComment>
  <threadedComment ref="AL4" dT="2026-02-03T00:35:51.31" personId="{21F968B3-D0A9-4B52-88E7-127C54FF8C10}" id="{F2588F72-A389-4863-A5F0-43D8BA729A6F}">
    <text>직접 기입</text>
  </threadedComment>
  <threadedComment ref="O41" dT="2026-02-06T00:34:53.55" personId="{21F968B3-D0A9-4B52-88E7-127C54FF8C10}" id="{0940C130-0CB0-42E7-A948-49CCFC497C75}">
    <text>밸브 미잠금으로 폐수발생량 많은것으로 예상
2/6 9:00 운영교대 발견 및 공유
 - 지하 TCV-8610 드레인 열림
 - 지하 청소용 시수 열림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4" dT="2026-01-22T00:30:35.03" personId="{21F968B3-D0A9-4B52-88E7-127C54FF8C10}" id="{B602C519-4E63-44FF-B247-FAF05D4DFFD4}">
    <text>='[2026년 위드운전실적(비번356).xlsx]key-in(LO)'!AA</text>
  </threadedComment>
  <threadedComment ref="D4" dT="2025-06-24T04:41:42.28" personId="{5F3B45C8-C6B7-4894-B11B-677978D251FB}" id="{B68331CB-529C-463F-B31A-048E6045397D}">
    <text>수처리동 PC</text>
  </threadedComment>
  <threadedComment ref="E4" dT="2025-06-24T04:40:48.97" personId="{5F3B45C8-C6B7-4894-B11B-677978D251FB}" id="{222875CC-4B60-428C-AD0B-6A7C47336C3A}">
    <text>4F 공조기실</text>
  </threadedComment>
  <threadedComment ref="F4" dT="2025-06-24T04:40:36.21" personId="{5F3B45C8-C6B7-4894-B11B-677978D251FB}" id="{2908CA7C-EACA-4086-ADBE-2912A0998F5C}">
    <text>열원동 H/C P/P 앞</text>
  </threadedComment>
  <threadedComment ref="G4" dT="2025-06-24T04:38:57.80" personId="{5F3B45C8-C6B7-4894-B11B-677978D251FB}" id="{E863B8D7-9794-4398-83FE-D4349FEBE1A1}">
    <text>수처리동 전기실</text>
  </threadedComment>
  <threadedComment ref="H4" dT="2025-06-24T04:38:44.36" personId="{5F3B45C8-C6B7-4894-B11B-677978D251FB}" id="{1A6151EB-1D7F-4E1E-BDB8-A0BDE16C9CD7}">
    <text>수처리동지하</text>
  </threadedComment>
  <threadedComment ref="J4" dT="2026-01-22T00:31:00.32" personId="{21F968B3-D0A9-4B52-88E7-127C54FF8C10}" id="{24B03DDC-F1E1-41A8-95EA-8B0B604AF626}">
    <text>='[2026년 위드운전실적(비번356).xlsx]key-in(ACO)'!$AR</text>
  </threadedComment>
  <threadedComment ref="K4" dT="2026-01-22T00:31:10.13" personId="{21F968B3-D0A9-4B52-88E7-127C54FF8C10}" id="{2A9B94CD-31A4-4CF6-AD43-C62ED8038EEF}">
    <text>='[2026년 위드운전실적(비번356).xlsx]key-in(ACO)'!$AS</text>
  </threadedComment>
  <threadedComment ref="L4" dT="2026-01-22T00:31:17.54" personId="{21F968B3-D0A9-4B52-88E7-127C54FF8C10}" id="{959F6464-7770-421D-815D-DD4BDBC2D363}">
    <text>='[2026년 위드운전실적(비번356).xlsx]key-in(ACO)'!$AV</text>
  </threadedComment>
  <threadedComment ref="M4" dT="2026-01-22T00:31:27.63" personId="{21F968B3-D0A9-4B52-88E7-127C54FF8C10}" id="{FA7A8534-10FF-497B-8D76-EC0F29C9CC79}">
    <text>='[2026년 위드운전실적(비번356).xlsx]생산'!BA23</text>
  </threadedComment>
  <threadedComment ref="N4" dT="2026-01-22T00:26:20.82" personId="{21F968B3-D0A9-4B52-88E7-127C54FF8C10}" id="{3E3ADAB3-D8D1-4FCB-A496-A063E99782C7}">
    <text>='[2026년 위드운전실적(비번356).xlsx]생산'!BB</text>
  </threadedComment>
  <threadedComment ref="O4" dT="2026-01-22T00:26:49.95" personId="{21F968B3-D0A9-4B52-88E7-127C54FF8C10}" id="{AADF8CB7-D3AB-49C8-A502-85ABCDA38B84}">
    <text>='[2026년 위드운전실적(비번356).xlsx]생산'!BC</text>
  </threadedComment>
  <threadedComment ref="P4" dT="2026-01-22T00:27:35.41" personId="{21F968B3-D0A9-4B52-88E7-127C54FF8C10}" id="{22D21C71-5DD3-4A09-A2E0-422266B9653D}">
    <text>='[2026년 위드운전실적(비번356).xlsx]생산'!BD</text>
  </threadedComment>
  <threadedComment ref="Q4" dT="2026-01-22T00:27:48.51" personId="{21F968B3-D0A9-4B52-88E7-127C54FF8C10}" id="{C535BB44-070B-489E-80DA-1C11BA0D199E}">
    <text>='[2026년 위드운전실적(비번356).xlsx]생산'!BE</text>
  </threadedComment>
  <threadedComment ref="R4" dT="2026-01-22T00:28:10.25" personId="{21F968B3-D0A9-4B52-88E7-127C54FF8C10}" id="{0944DF29-B9BB-4812-B378-AA7FAD2F998E}">
    <text>='[2026년 위드운전실적(비번356).xlsx]생산'!BF</text>
  </threadedComment>
  <threadedComment ref="S4" dT="2026-01-22T00:35:58.65" personId="{21F968B3-D0A9-4B52-88E7-127C54FF8C10}" id="{8F107094-6BD0-4284-8602-E216CFC237D8}">
    <text>='[2026년 위드운전실적(비번356).xlsx]운전시간외'!C3</text>
  </threadedComment>
  <threadedComment ref="T4" dT="2026-01-22T00:36:17.39" personId="{21F968B3-D0A9-4B52-88E7-127C54FF8C10}" id="{15D7CA4B-0FB1-4F67-B675-247E338C40D1}">
    <text>='[2026년 위드운전실적(비번356).xlsx]운전시간외'!D3</text>
  </threadedComment>
  <threadedComment ref="U4" dT="2026-01-22T00:36:35.59" personId="{21F968B3-D0A9-4B52-88E7-127C54FF8C10}" id="{E2826956-9ECD-48FF-B77D-3827B5AF6BC4}">
    <text>='[2026년 위드운전실적(비번356).xlsx]운전시간외'!E3</text>
  </threadedComment>
  <threadedComment ref="V4" dT="2026-01-22T00:36:43.91" personId="{21F968B3-D0A9-4B52-88E7-127C54FF8C10}" id="{7F0C4704-975C-4810-9730-E771AE9BD7A0}">
    <text>='[2026년 위드운전실적(비번356).xlsx]운전시간외'!F3</text>
  </threadedComment>
  <threadedComment ref="W4" dT="2026-01-23T00:16:02.76" personId="{21F968B3-D0A9-4B52-88E7-127C54FF8C10}" id="{740FEA20-7C06-4698-A70E-FCAADDB85C50}">
    <text>='[2026년 위드운전실적(비번356).xlsx]생산'!F3</text>
  </threadedComment>
  <threadedComment ref="X4" dT="2026-01-23T00:20:02.13" personId="{21F968B3-D0A9-4B52-88E7-127C54FF8C10}" id="{7F836311-DB65-467B-979C-75A7AECB0025}">
    <text>='[2026년 위드운전실적(비번356).xlsx]생산'!G3</text>
  </threadedComment>
  <threadedComment ref="Y4" dT="2026-01-23T00:20:15.77" personId="{21F968B3-D0A9-4B52-88E7-127C54FF8C10}" id="{DD2F0F22-8C6A-4DE2-92FB-2E517D82A320}">
    <text xml:space="preserve">='[2026년 위드운전실적(비번356).xlsx]생산'!H3
</text>
  </threadedComment>
  <threadedComment ref="Z4" dT="2026-01-23T00:20:25.63" personId="{21F968B3-D0A9-4B52-88E7-127C54FF8C10}" id="{4A8DE119-FBB9-442A-9D16-1E83934D7492}">
    <text xml:space="preserve">='[2026년 위드운전실적(비번356).xlsx]생산'!I3
</text>
  </threadedComment>
  <threadedComment ref="AA4" dT="2026-01-23T00:20:38.06" personId="{21F968B3-D0A9-4B52-88E7-127C54FF8C10}" id="{96C914A2-6367-4BD6-A70A-CCBF1BA1BC26}">
    <text>='[2026년 위드운전실적(비번356).xlsx]생산'!J3</text>
  </threadedComment>
  <threadedComment ref="AB4" dT="2026-01-23T00:20:53.44" personId="{21F968B3-D0A9-4B52-88E7-127C54FF8C10}" id="{2677D3B7-E5F4-4568-8469-8AACE689BAE6}">
    <text xml:space="preserve">='[2026년 위드운전실적(비번356).xlsx]생산'!K3
</text>
  </threadedComment>
  <threadedComment ref="AC4" dT="2026-04-07T06:38:56.24" personId="{E2BBB104-37B1-4CCA-B3BF-92DB911D817A}" id="{D72012C8-FB51-485E-9340-E12B9EE56B4A}">
    <text>사업장대기오염물질관리시스템 다운로드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4" dT="2026-02-06T00:45:21.65" personId="{21F968B3-D0A9-4B52-88E7-127C54FF8C10}" id="{45757A23-6F46-48BD-9B2B-B168FDEDC4FF}">
    <text>2~3 톤/hr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5F58E1-F945-4FBB-BAC3-F5ADF58967EA}">
  <we:reference id="WA200005502" version="1.0.0.12" store="Omex" storeType="OMEX"/>
  <we:alternateReferences>
    <we:reference id="WA200005502" version="1.0.0.12" store="WA200005502" storeType="OMEX"/>
  </we:alternateReferences>
  <we:properties>
    <we:property name="docId" value="&quot;KZMQbXALWJFS0lJDESJP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1059-11FB-47CA-9E73-C8DA23470221}">
  <dimension ref="A1:Y10"/>
  <sheetViews>
    <sheetView showGridLines="0" zoomScale="70" zoomScaleNormal="70" workbookViewId="0">
      <selection activeCell="A7" sqref="A7:C7"/>
    </sheetView>
  </sheetViews>
  <sheetFormatPr defaultRowHeight="16.5"/>
  <sheetData>
    <row r="1" spans="1:25" s="35" customFormat="1" ht="31.5" customHeight="1">
      <c r="A1" s="220">
        <v>2026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</row>
    <row r="2" spans="1:25" s="35" customFormat="1" ht="22.5" customHeight="1" thickBot="1">
      <c r="A2" s="221" t="s">
        <v>0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</row>
    <row r="3" spans="1:25" s="35" customFormat="1" ht="15" customHeight="1"/>
    <row r="4" spans="1:25" s="35" customFormat="1" ht="15" customHeight="1">
      <c r="A4" s="233" t="s">
        <v>1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N4" s="228" t="s">
        <v>2</v>
      </c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</row>
    <row r="5" spans="1:25" s="35" customFormat="1" ht="15" customHeight="1"/>
    <row r="6" spans="1:25" s="35" customFormat="1" ht="18" customHeight="1">
      <c r="A6" s="235" t="s">
        <v>3</v>
      </c>
      <c r="B6" s="235"/>
      <c r="C6" s="235"/>
      <c r="D6" s="236" t="s">
        <v>4</v>
      </c>
      <c r="E6" s="211"/>
      <c r="F6" s="211"/>
      <c r="G6" s="237" t="s">
        <v>5</v>
      </c>
      <c r="H6" s="213"/>
      <c r="I6" s="213"/>
      <c r="J6" s="238" t="s">
        <v>6</v>
      </c>
      <c r="K6" s="215"/>
      <c r="L6" s="215"/>
      <c r="N6" s="230" t="s">
        <v>7</v>
      </c>
      <c r="O6" s="230"/>
      <c r="P6" s="230"/>
      <c r="Q6" s="231" t="s">
        <v>8</v>
      </c>
      <c r="R6" s="225"/>
      <c r="S6" s="225"/>
      <c r="T6" s="232" t="s">
        <v>9</v>
      </c>
      <c r="U6" s="232"/>
      <c r="V6" s="232"/>
      <c r="W6" s="222" t="s">
        <v>10</v>
      </c>
      <c r="X6" s="222"/>
      <c r="Y6" s="222"/>
    </row>
    <row r="7" spans="1:25" s="35" customFormat="1" ht="28.5" customHeight="1">
      <c r="A7" s="209">
        <f>월별!R17</f>
        <v>-232220</v>
      </c>
      <c r="B7" s="209"/>
      <c r="C7" s="209"/>
      <c r="D7" s="210">
        <f>월별!D17+월별!F17</f>
        <v>37650</v>
      </c>
      <c r="E7" s="211"/>
      <c r="F7" s="211"/>
      <c r="G7" s="212">
        <f>월별!P17</f>
        <v>25486</v>
      </c>
      <c r="H7" s="213"/>
      <c r="I7" s="213"/>
      <c r="J7" s="214">
        <f>월별!N17</f>
        <v>262.19999999999993</v>
      </c>
      <c r="K7" s="215"/>
      <c r="L7" s="215"/>
      <c r="N7" s="223">
        <f>월별!AF17</f>
        <v>2211</v>
      </c>
      <c r="O7" s="223"/>
      <c r="P7" s="223"/>
      <c r="Q7" s="224">
        <f>월별!Z17</f>
        <v>14906252.100000016</v>
      </c>
      <c r="R7" s="225"/>
      <c r="S7" s="225"/>
      <c r="T7" s="226">
        <f>월별!AG17</f>
        <v>0</v>
      </c>
      <c r="U7" s="226"/>
      <c r="V7" s="226"/>
      <c r="W7" s="227">
        <f>월별!AA17</f>
        <v>591</v>
      </c>
      <c r="X7" s="227"/>
      <c r="Y7" s="227"/>
    </row>
    <row r="8" spans="1:25" s="35" customFormat="1" ht="16.5" customHeight="1">
      <c r="A8" s="216" t="s">
        <v>11</v>
      </c>
      <c r="B8" s="216"/>
      <c r="C8" s="216"/>
      <c r="D8" s="217" t="s">
        <v>11</v>
      </c>
      <c r="E8" s="211"/>
      <c r="F8" s="211"/>
      <c r="G8" s="218" t="s">
        <v>12</v>
      </c>
      <c r="H8" s="213"/>
      <c r="I8" s="213"/>
      <c r="J8" s="219" t="s">
        <v>13</v>
      </c>
      <c r="K8" s="215"/>
      <c r="L8" s="215"/>
      <c r="N8" s="239" t="s">
        <v>14</v>
      </c>
      <c r="O8" s="239"/>
      <c r="P8" s="239"/>
      <c r="Q8" s="240" t="s">
        <v>15</v>
      </c>
      <c r="R8" s="225"/>
      <c r="S8" s="225"/>
      <c r="T8" s="241" t="s">
        <v>16</v>
      </c>
      <c r="U8" s="241"/>
      <c r="V8" s="241"/>
      <c r="W8" s="242" t="s">
        <v>17</v>
      </c>
      <c r="X8" s="242"/>
      <c r="Y8" s="242"/>
    </row>
    <row r="9" spans="1:25" s="35" customFormat="1" ht="16.5" customHeight="1">
      <c r="A9" s="216" t="s">
        <v>18</v>
      </c>
      <c r="B9" s="216"/>
      <c r="C9" s="216"/>
      <c r="D9" s="217" t="s">
        <v>18</v>
      </c>
      <c r="E9" s="211"/>
      <c r="F9" s="211"/>
      <c r="G9" s="243" t="s">
        <v>19</v>
      </c>
      <c r="H9" s="213"/>
      <c r="I9" s="213"/>
      <c r="J9" s="219" t="s">
        <v>20</v>
      </c>
      <c r="K9" s="215"/>
      <c r="L9" s="215"/>
      <c r="N9" s="244" t="s">
        <v>21</v>
      </c>
      <c r="O9" s="239"/>
      <c r="P9" s="239"/>
      <c r="Q9" s="245" t="s">
        <v>22</v>
      </c>
      <c r="R9" s="246"/>
      <c r="S9" s="246"/>
      <c r="T9" s="241" t="s">
        <v>23</v>
      </c>
      <c r="U9" s="241"/>
      <c r="V9" s="241"/>
      <c r="W9" s="247" t="s">
        <v>22</v>
      </c>
      <c r="X9" s="242"/>
      <c r="Y9" s="242"/>
    </row>
    <row r="10" spans="1:25" s="35" customFormat="1" ht="15" customHeight="1"/>
  </sheetData>
  <mergeCells count="36">
    <mergeCell ref="N8:P8"/>
    <mergeCell ref="Q8:S8"/>
    <mergeCell ref="T8:V8"/>
    <mergeCell ref="W8:Y8"/>
    <mergeCell ref="A9:C9"/>
    <mergeCell ref="D9:F9"/>
    <mergeCell ref="G9:I9"/>
    <mergeCell ref="J9:L9"/>
    <mergeCell ref="N9:P9"/>
    <mergeCell ref="Q9:S9"/>
    <mergeCell ref="T9:V9"/>
    <mergeCell ref="W9:Y9"/>
    <mergeCell ref="A1:Y1"/>
    <mergeCell ref="A2:Y2"/>
    <mergeCell ref="W6:Y6"/>
    <mergeCell ref="N7:P7"/>
    <mergeCell ref="Q7:S7"/>
    <mergeCell ref="T7:V7"/>
    <mergeCell ref="W7:Y7"/>
    <mergeCell ref="N4:Y4"/>
    <mergeCell ref="N6:P6"/>
    <mergeCell ref="Q6:S6"/>
    <mergeCell ref="T6:V6"/>
    <mergeCell ref="A4:L4"/>
    <mergeCell ref="A6:C6"/>
    <mergeCell ref="D6:F6"/>
    <mergeCell ref="G6:I6"/>
    <mergeCell ref="J6:L6"/>
    <mergeCell ref="A7:C7"/>
    <mergeCell ref="D7:F7"/>
    <mergeCell ref="G7:I7"/>
    <mergeCell ref="J7:L7"/>
    <mergeCell ref="A8:C8"/>
    <mergeCell ref="D8:F8"/>
    <mergeCell ref="G8:I8"/>
    <mergeCell ref="J8:L8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9435-3A37-4CE9-B722-8A7A7E7242B4}">
  <sheetPr>
    <tabColor rgb="FFFFC000"/>
  </sheetPr>
  <dimension ref="A1:R23"/>
  <sheetViews>
    <sheetView showGridLines="0" zoomScale="85" zoomScaleNormal="85" workbookViewId="0">
      <selection activeCell="A2" sqref="A2:H2"/>
    </sheetView>
  </sheetViews>
  <sheetFormatPr defaultRowHeight="16.5"/>
  <cols>
    <col min="2" max="2" width="10.375" customWidth="1"/>
    <col min="3" max="3" width="10.375" style="46" customWidth="1"/>
    <col min="4" max="4" width="10.375" customWidth="1"/>
    <col min="5" max="5" width="10.375" style="47" customWidth="1"/>
    <col min="6" max="6" width="10.375" customWidth="1"/>
    <col min="7" max="7" width="10.375" style="47" customWidth="1"/>
    <col min="8" max="13" width="10.375" customWidth="1"/>
    <col min="14" max="14" width="10.375" style="47" customWidth="1"/>
    <col min="15" max="15" width="10.375" customWidth="1"/>
    <col min="16" max="16" width="8.625" style="47"/>
  </cols>
  <sheetData>
    <row r="1" spans="1:18" s="35" customFormat="1" ht="31.5" customHeight="1">
      <c r="A1" s="220">
        <v>2026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</row>
    <row r="2" spans="1:18" s="35" customFormat="1" ht="22.5" customHeight="1" thickBot="1">
      <c r="A2" s="248">
        <f ca="1">TODAY()-2</f>
        <v>46117</v>
      </c>
      <c r="B2" s="248"/>
      <c r="C2" s="248"/>
      <c r="D2" s="248"/>
      <c r="E2" s="248"/>
      <c r="F2" s="248"/>
      <c r="G2" s="248"/>
      <c r="H2" s="248"/>
      <c r="I2" s="249" t="s">
        <v>24</v>
      </c>
      <c r="J2" s="249"/>
      <c r="K2" s="249"/>
      <c r="L2" s="249"/>
      <c r="M2" s="249"/>
      <c r="N2" s="249"/>
      <c r="O2" s="249"/>
      <c r="P2" s="249"/>
      <c r="Q2" s="249"/>
      <c r="R2" s="249"/>
    </row>
    <row r="4" spans="1:18" s="54" customFormat="1">
      <c r="B4" s="68" t="s">
        <v>25</v>
      </c>
      <c r="C4" s="69"/>
      <c r="D4" s="70"/>
      <c r="E4" s="69"/>
      <c r="F4" s="70"/>
      <c r="G4" s="71"/>
      <c r="H4" s="55"/>
      <c r="I4" s="83" t="s">
        <v>26</v>
      </c>
      <c r="J4" s="84"/>
      <c r="K4" s="84"/>
      <c r="L4" s="84"/>
      <c r="M4" s="84"/>
      <c r="N4" s="85"/>
      <c r="O4" s="84"/>
      <c r="P4" s="86"/>
      <c r="Q4" s="56" t="s">
        <v>27</v>
      </c>
      <c r="R4" s="57" t="s">
        <v>28</v>
      </c>
    </row>
    <row r="5" spans="1:18">
      <c r="B5" s="63" t="s">
        <v>29</v>
      </c>
      <c r="C5" s="60">
        <f>일별!Q2</f>
        <v>17</v>
      </c>
      <c r="D5" s="63" t="s">
        <v>30</v>
      </c>
      <c r="E5" s="66">
        <f>일별!I2</f>
        <v>9</v>
      </c>
      <c r="F5" s="48" t="s">
        <v>31</v>
      </c>
      <c r="G5" s="66">
        <f>일별!K2</f>
        <v>11</v>
      </c>
      <c r="H5" s="48"/>
      <c r="I5" s="63" t="s">
        <v>32</v>
      </c>
      <c r="J5" s="49">
        <f>일별!AD2</f>
        <v>30</v>
      </c>
      <c r="K5" s="80" t="s">
        <v>8</v>
      </c>
      <c r="L5" s="81">
        <f>일별!X2</f>
        <v>24</v>
      </c>
      <c r="M5" s="80" t="s">
        <v>33</v>
      </c>
      <c r="N5" s="81">
        <f>일별!AX2</f>
        <v>50</v>
      </c>
      <c r="O5" s="48" t="s">
        <v>34</v>
      </c>
      <c r="P5" s="66">
        <v>45</v>
      </c>
      <c r="Q5" s="50" t="s">
        <v>35</v>
      </c>
      <c r="R5" s="51" t="s">
        <v>36</v>
      </c>
    </row>
    <row r="6" spans="1:18" s="48" customFormat="1">
      <c r="B6" s="64" t="e">
        <f ca="1">VLOOKUP($A$2,일별!$A$5:$BG$370,C5,0)</f>
        <v>#N/A</v>
      </c>
      <c r="C6" s="61" t="e">
        <f ca="1">B6-B7</f>
        <v>#N/A</v>
      </c>
      <c r="D6" s="64" t="e">
        <f ca="1">VLOOKUP($A$2,일별!$A$5:$BG$370,E5,0)</f>
        <v>#N/A</v>
      </c>
      <c r="E6" s="59" t="e">
        <f ca="1">D6-D7</f>
        <v>#N/A</v>
      </c>
      <c r="F6" s="58" t="e">
        <f ca="1">VLOOKUP($A$2,일별!$A$5:$BG$370,G5,0)</f>
        <v>#N/A</v>
      </c>
      <c r="G6" s="59" t="e">
        <f ca="1">F6-F7</f>
        <v>#N/A</v>
      </c>
      <c r="I6" s="64" t="e">
        <f ca="1">VLOOKUP($A$2,일별!$A$5:$BG$370,J5,0)</f>
        <v>#N/A</v>
      </c>
      <c r="J6" s="76" t="e">
        <f ca="1">I6-I7</f>
        <v>#N/A</v>
      </c>
      <c r="K6" s="64" t="e">
        <f ca="1">VLOOKUP($A$2,일별!$A$5:$BG$370,L5,0)</f>
        <v>#N/A</v>
      </c>
      <c r="L6" s="82" t="e">
        <f ca="1">K6-K7</f>
        <v>#N/A</v>
      </c>
      <c r="M6" s="64" t="e">
        <f ca="1">VLOOKUP($A$2,일별!$A$5:$BG$370,N5,0)</f>
        <v>#N/A</v>
      </c>
      <c r="N6" s="59" t="e">
        <f ca="1">M6-M7</f>
        <v>#N/A</v>
      </c>
      <c r="O6" s="77" t="e">
        <f ca="1">VLOOKUP($A$2,일별!$A$5:$BG$370,P5,0)</f>
        <v>#N/A</v>
      </c>
      <c r="P6" s="59"/>
    </row>
    <row r="7" spans="1:18" s="53" customFormat="1">
      <c r="A7" s="50"/>
      <c r="B7" s="65" t="e">
        <f ca="1">VLOOKUP($A$2-1,일별!$A$5:$BG$370,C5,0)</f>
        <v>#N/A</v>
      </c>
      <c r="C7" s="62"/>
      <c r="D7" s="65" t="e">
        <f ca="1">VLOOKUP($A$2-1,일별!$A$5:$BG$370,E5,0)</f>
        <v>#N/A</v>
      </c>
      <c r="E7" s="67"/>
      <c r="F7" s="52" t="e">
        <f ca="1">VLOOKUP($A$2-1,일별!$A$5:$BG$370,G5,0)</f>
        <v>#N/A</v>
      </c>
      <c r="G7" s="67"/>
      <c r="H7" s="50"/>
      <c r="I7" s="65" t="e">
        <f ca="1">VLOOKUP($A$2-1,일별!$A$5:$BG$370,J5,0)</f>
        <v>#N/A</v>
      </c>
      <c r="J7" s="50"/>
      <c r="K7" s="65" t="e">
        <f ca="1">VLOOKUP($A$2-1,일별!$A$5:$BG$370,L5,0)</f>
        <v>#N/A</v>
      </c>
      <c r="L7" s="67"/>
      <c r="M7" s="65" t="e">
        <f ca="1">VLOOKUP($A$2-1,일별!$A$5:$BG$370,N5,0)</f>
        <v>#N/A</v>
      </c>
      <c r="N7" s="67"/>
      <c r="O7" s="78" t="e">
        <f ca="1">VLOOKUP($A$2-1,일별!$A$5:$BG$370,P5,0)</f>
        <v>#N/A</v>
      </c>
      <c r="P7" s="67"/>
      <c r="Q7" s="50"/>
    </row>
    <row r="8" spans="1:18">
      <c r="B8" s="72"/>
      <c r="C8" s="73"/>
      <c r="D8" s="72"/>
      <c r="E8" s="74"/>
      <c r="F8" s="75"/>
      <c r="G8" s="74"/>
      <c r="H8" s="48"/>
      <c r="I8" s="72"/>
      <c r="J8" s="79"/>
      <c r="K8" s="72"/>
      <c r="L8" s="74"/>
      <c r="M8" s="72"/>
      <c r="N8" s="74"/>
      <c r="O8" s="75"/>
      <c r="P8" s="74"/>
      <c r="Q8" s="48"/>
    </row>
    <row r="9" spans="1:18" s="54" customFormat="1">
      <c r="B9" s="68" t="s">
        <v>37</v>
      </c>
      <c r="C9" s="69"/>
      <c r="D9" s="68" t="s">
        <v>38</v>
      </c>
      <c r="E9" s="69"/>
      <c r="F9" s="70"/>
      <c r="G9" s="71"/>
      <c r="H9" s="55"/>
      <c r="I9" s="87" t="s">
        <v>39</v>
      </c>
      <c r="J9" s="88"/>
      <c r="K9" s="88"/>
      <c r="L9" s="88"/>
      <c r="M9" s="88"/>
      <c r="N9" s="89"/>
      <c r="O9" s="88"/>
      <c r="P9" s="90"/>
      <c r="Q9" s="55"/>
    </row>
    <row r="10" spans="1:18">
      <c r="B10" s="63" t="s">
        <v>40</v>
      </c>
      <c r="C10" s="60">
        <f>일별!W2</f>
        <v>23</v>
      </c>
      <c r="D10" s="63" t="s">
        <v>41</v>
      </c>
      <c r="E10" s="66">
        <f>일별!E2</f>
        <v>5</v>
      </c>
      <c r="F10" s="48" t="s">
        <v>42</v>
      </c>
      <c r="G10" s="66">
        <f>일별!G2</f>
        <v>7</v>
      </c>
      <c r="H10" s="48"/>
      <c r="I10" s="63" t="s">
        <v>32</v>
      </c>
      <c r="J10" s="49">
        <f>일별!AE2</f>
        <v>31</v>
      </c>
      <c r="K10" s="80" t="s">
        <v>8</v>
      </c>
      <c r="L10" s="81">
        <f>일별!Y2</f>
        <v>25</v>
      </c>
      <c r="M10" s="80" t="s">
        <v>33</v>
      </c>
      <c r="N10" s="81">
        <f>일별!AY2</f>
        <v>51</v>
      </c>
      <c r="O10" s="48" t="s">
        <v>34</v>
      </c>
      <c r="P10" s="66">
        <v>47</v>
      </c>
      <c r="Q10" s="48"/>
    </row>
    <row r="11" spans="1:18" s="48" customFormat="1">
      <c r="B11" s="64" t="e">
        <f ca="1">VLOOKUP($A$2,일별!$A$5:$BG$370,C10,0)</f>
        <v>#N/A</v>
      </c>
      <c r="C11" s="61" t="e">
        <f ca="1">B11-B12</f>
        <v>#N/A</v>
      </c>
      <c r="D11" s="64" t="e">
        <f ca="1">VLOOKUP($A$2,일별!$A$5:$BG$370,E10,0)</f>
        <v>#N/A</v>
      </c>
      <c r="E11" s="59" t="e">
        <f ca="1">D11-D12</f>
        <v>#N/A</v>
      </c>
      <c r="F11" s="58" t="e">
        <f ca="1">VLOOKUP($A$2,일별!$A$5:$BG$370,G10,0)</f>
        <v>#N/A</v>
      </c>
      <c r="G11" s="59" t="e">
        <f ca="1">F11-F12</f>
        <v>#N/A</v>
      </c>
      <c r="I11" s="64" t="e">
        <f ca="1">VLOOKUP($A$2,일별!$A$5:$BG$370,J10,0)</f>
        <v>#N/A</v>
      </c>
      <c r="J11" s="61" t="e">
        <f ca="1">I11-I12</f>
        <v>#N/A</v>
      </c>
      <c r="K11" s="64" t="e">
        <f ca="1">VLOOKUP($A$2,일별!$A$5:$BG$370,L10,0)</f>
        <v>#N/A</v>
      </c>
      <c r="L11" s="59" t="e">
        <f ca="1">K11-K12</f>
        <v>#N/A</v>
      </c>
      <c r="M11" s="64" t="e">
        <f ca="1">VLOOKUP($A$2,일별!$A$5:$BG$370,N10,0)</f>
        <v>#N/A</v>
      </c>
      <c r="N11" s="59" t="e">
        <f ca="1">M11-M12</f>
        <v>#N/A</v>
      </c>
      <c r="O11" s="95" t="e">
        <f ca="1">VLOOKUP($A$2,일별!$A$5:$BG$370,P10,0)</f>
        <v>#N/A</v>
      </c>
      <c r="P11" s="59"/>
    </row>
    <row r="12" spans="1:18" s="53" customFormat="1">
      <c r="B12" s="65" t="e">
        <f ca="1">VLOOKUP($A$2-1,일별!$A$5:$BG$370,C10,0)</f>
        <v>#N/A</v>
      </c>
      <c r="C12" s="62"/>
      <c r="D12" s="65" t="e">
        <f ca="1">VLOOKUP($A$2-1,일별!$A$5:$BG$370,E10,0)</f>
        <v>#N/A</v>
      </c>
      <c r="E12" s="67"/>
      <c r="F12" s="52" t="e">
        <f ca="1">VLOOKUP($A$2-1,일별!$A$5:$BG$370,G10,0)</f>
        <v>#N/A</v>
      </c>
      <c r="G12" s="67"/>
      <c r="H12" s="50"/>
      <c r="I12" s="65" t="e">
        <f ca="1">VLOOKUP($A$2-1,일별!$A$5:$BG$370,J10,0)</f>
        <v>#N/A</v>
      </c>
      <c r="J12" s="50"/>
      <c r="K12" s="65" t="e">
        <f ca="1">VLOOKUP($A$2-1,일별!$A$5:$BG$370,L10,0)</f>
        <v>#N/A</v>
      </c>
      <c r="L12" s="67"/>
      <c r="M12" s="65" t="e">
        <f ca="1">VLOOKUP($A$2-1,일별!$A$5:$BG$370,N10,0)</f>
        <v>#N/A</v>
      </c>
      <c r="N12" s="67"/>
      <c r="O12" s="96" t="e">
        <f ca="1">VLOOKUP($A$2-1,일별!$A$5:$BG$370,P10,0)</f>
        <v>#N/A</v>
      </c>
      <c r="P12" s="67"/>
      <c r="Q12" s="50"/>
    </row>
    <row r="13" spans="1:18">
      <c r="B13" s="63"/>
      <c r="C13" s="60"/>
      <c r="D13" s="63"/>
      <c r="E13" s="66"/>
      <c r="F13" s="75"/>
      <c r="G13" s="74"/>
      <c r="H13" s="48"/>
      <c r="I13" s="72"/>
      <c r="J13" s="79"/>
      <c r="K13" s="72"/>
      <c r="L13" s="74"/>
      <c r="M13" s="72"/>
      <c r="N13" s="74"/>
      <c r="O13" s="75"/>
      <c r="P13" s="74"/>
      <c r="Q13" s="48"/>
    </row>
    <row r="14" spans="1:18" s="54" customFormat="1">
      <c r="B14" s="68" t="s">
        <v>43</v>
      </c>
      <c r="C14" s="69"/>
      <c r="D14" s="70"/>
      <c r="E14" s="71"/>
      <c r="F14" s="55"/>
      <c r="G14" s="94"/>
      <c r="H14" s="55"/>
      <c r="I14" s="87" t="s">
        <v>44</v>
      </c>
      <c r="J14" s="88"/>
      <c r="K14" s="88"/>
      <c r="L14" s="88"/>
      <c r="M14" s="88"/>
      <c r="N14" s="89"/>
      <c r="O14" s="88"/>
      <c r="P14" s="90"/>
      <c r="Q14" s="55"/>
    </row>
    <row r="15" spans="1:18">
      <c r="B15" s="63" t="s">
        <v>5</v>
      </c>
      <c r="C15" s="60">
        <f>일별!O2</f>
        <v>15</v>
      </c>
      <c r="D15" s="80" t="s">
        <v>45</v>
      </c>
      <c r="E15" s="93">
        <f>일별!M2</f>
        <v>13</v>
      </c>
      <c r="F15" s="48"/>
      <c r="G15" s="49"/>
      <c r="H15" s="48"/>
      <c r="I15" s="63" t="s">
        <v>32</v>
      </c>
      <c r="J15" s="49">
        <f>일별!AF2</f>
        <v>32</v>
      </c>
      <c r="K15" s="80" t="s">
        <v>8</v>
      </c>
      <c r="L15" s="81">
        <f>일별!Z2</f>
        <v>26</v>
      </c>
      <c r="M15" s="80" t="s">
        <v>33</v>
      </c>
      <c r="N15" s="81"/>
      <c r="O15" s="48" t="s">
        <v>34</v>
      </c>
      <c r="P15" s="66"/>
      <c r="Q15" s="48"/>
    </row>
    <row r="16" spans="1:18">
      <c r="B16" s="64" t="e">
        <f ca="1">VLOOKUP($A$2,일별!$A$5:$BG$370,C15,0)</f>
        <v>#N/A</v>
      </c>
      <c r="C16" s="61" t="e">
        <f ca="1">B16-B17</f>
        <v>#N/A</v>
      </c>
      <c r="D16" s="113" t="e">
        <f ca="1">VLOOKUP($A$2,일별!$A$5:$BG$370,E15,0)</f>
        <v>#N/A</v>
      </c>
      <c r="E16" s="114" t="e">
        <f ca="1">D16-D17</f>
        <v>#N/A</v>
      </c>
      <c r="F16" s="48"/>
      <c r="G16" s="49"/>
      <c r="H16" s="48"/>
      <c r="I16" s="64" t="e">
        <f ca="1">VLOOKUP($A$2,일별!$A$5:$BG$370,J15,0)</f>
        <v>#N/A</v>
      </c>
      <c r="J16" s="76"/>
      <c r="K16" s="64" t="e">
        <f ca="1">VLOOKUP($A$2,일별!$A$5:$BG$370,L15,0)</f>
        <v>#N/A</v>
      </c>
      <c r="L16" s="82"/>
      <c r="M16" s="64" t="s">
        <v>46</v>
      </c>
      <c r="N16" s="59"/>
      <c r="O16" s="77" t="s">
        <v>46</v>
      </c>
      <c r="P16" s="59"/>
      <c r="Q16" s="48"/>
    </row>
    <row r="17" spans="2:17">
      <c r="B17" s="65" t="e">
        <f ca="1">VLOOKUP($A$2-1,일별!$A$5:$BG$370,C15,0)</f>
        <v>#N/A</v>
      </c>
      <c r="C17" s="62"/>
      <c r="D17" s="112" t="e">
        <f ca="1">VLOOKUP($A$2-1,일별!$A$5:$BG$370,E15,0)</f>
        <v>#N/A</v>
      </c>
      <c r="E17" s="67"/>
      <c r="F17" s="52"/>
      <c r="G17" s="49"/>
      <c r="H17" s="48"/>
      <c r="I17" s="65" t="e">
        <f ca="1">VLOOKUP($A$2-1,일별!$A$5:$BG$370,J15,0)</f>
        <v>#N/A</v>
      </c>
      <c r="J17" s="50"/>
      <c r="K17" s="65" t="e">
        <f ca="1">VLOOKUP($A$2-1,일별!$A$5:$BG$370,L15,0)</f>
        <v>#N/A</v>
      </c>
      <c r="L17" s="67"/>
      <c r="M17" s="65" t="s">
        <v>47</v>
      </c>
      <c r="N17" s="67"/>
      <c r="O17" s="78" t="s">
        <v>47</v>
      </c>
      <c r="P17" s="67"/>
      <c r="Q17" s="48"/>
    </row>
    <row r="18" spans="2:17">
      <c r="B18" s="72"/>
      <c r="C18" s="73"/>
      <c r="D18" s="72"/>
      <c r="E18" s="74"/>
      <c r="F18" s="48"/>
      <c r="G18" s="49"/>
      <c r="H18" s="48"/>
      <c r="I18" s="72"/>
      <c r="J18" s="79"/>
      <c r="K18" s="72"/>
      <c r="L18" s="74"/>
      <c r="M18" s="72"/>
      <c r="N18" s="74"/>
      <c r="O18" s="75"/>
      <c r="P18" s="74"/>
      <c r="Q18" s="48"/>
    </row>
    <row r="19" spans="2:17" s="54" customFormat="1">
      <c r="B19" s="68" t="s">
        <v>48</v>
      </c>
      <c r="C19" s="69"/>
      <c r="D19" s="91"/>
      <c r="E19" s="92"/>
      <c r="F19" s="70"/>
      <c r="G19" s="71"/>
      <c r="H19" s="55"/>
      <c r="I19" s="87" t="s">
        <v>49</v>
      </c>
      <c r="J19" s="88"/>
      <c r="K19" s="88"/>
      <c r="L19" s="88"/>
      <c r="M19" s="88"/>
      <c r="N19" s="89"/>
      <c r="O19" s="88"/>
      <c r="P19" s="90"/>
      <c r="Q19" s="55"/>
    </row>
    <row r="20" spans="2:17">
      <c r="B20" s="63" t="s">
        <v>50</v>
      </c>
      <c r="C20" s="60">
        <f>일별!T2</f>
        <v>20</v>
      </c>
      <c r="D20" s="63" t="s">
        <v>40</v>
      </c>
      <c r="E20" s="66">
        <f>일별!R2</f>
        <v>18</v>
      </c>
      <c r="F20" s="48" t="s">
        <v>51</v>
      </c>
      <c r="G20" s="66">
        <f>일별!C2</f>
        <v>3</v>
      </c>
      <c r="H20" s="48"/>
      <c r="I20" s="63" t="s">
        <v>32</v>
      </c>
      <c r="J20" s="49">
        <f>일별!AG2</f>
        <v>33</v>
      </c>
      <c r="K20" s="80" t="s">
        <v>8</v>
      </c>
      <c r="L20" s="81">
        <f>일별!AA2</f>
        <v>27</v>
      </c>
      <c r="M20" s="80" t="s">
        <v>33</v>
      </c>
      <c r="N20" s="81">
        <v>40</v>
      </c>
      <c r="O20" s="48" t="s">
        <v>34</v>
      </c>
      <c r="P20" s="66"/>
      <c r="Q20" s="48"/>
    </row>
    <row r="21" spans="2:17">
      <c r="B21" s="97" t="e">
        <f ca="1">VLOOKUP($A$2,일별!$A$5:$BG$370,C20,0)</f>
        <v>#N/A</v>
      </c>
      <c r="C21" s="99" t="e">
        <f ca="1">B21-B22</f>
        <v>#N/A</v>
      </c>
      <c r="D21" s="97" t="e">
        <f ca="1">VLOOKUP($A$2,일별!$A$5:$BG$370,E20,0)</f>
        <v>#N/A</v>
      </c>
      <c r="E21" s="100" t="e">
        <f ca="1">D21-D22</f>
        <v>#N/A</v>
      </c>
      <c r="F21" s="58" t="e">
        <f ca="1">VLOOKUP($A$2,일별!$A$5:$BG$370,G20,0)</f>
        <v>#N/A</v>
      </c>
      <c r="G21" s="59" t="e">
        <f ca="1">F21-F22</f>
        <v>#N/A</v>
      </c>
      <c r="H21" s="48"/>
      <c r="I21" s="64" t="e">
        <f ca="1">VLOOKUP($A$2,일별!$A$5:$BG$370,J20,0)</f>
        <v>#N/A</v>
      </c>
      <c r="J21" s="76"/>
      <c r="K21" s="64" t="e">
        <f ca="1">VLOOKUP($A$2,일별!$A$5:$BG$370,L20,0)</f>
        <v>#N/A</v>
      </c>
      <c r="L21" s="82"/>
      <c r="M21" s="64" t="s">
        <v>46</v>
      </c>
      <c r="N21" s="59"/>
      <c r="O21" s="77" t="s">
        <v>46</v>
      </c>
      <c r="P21" s="59"/>
      <c r="Q21" s="48"/>
    </row>
    <row r="22" spans="2:17">
      <c r="B22" s="98" t="e">
        <f ca="1">VLOOKUP($A$2-1,일별!$A$5:$BG$370,C20,0)</f>
        <v>#N/A</v>
      </c>
      <c r="C22" s="62"/>
      <c r="D22" s="98" t="e">
        <f ca="1">VLOOKUP($A$2-1,일별!$A$5:$BG$370,E20,0)</f>
        <v>#N/A</v>
      </c>
      <c r="E22" s="67"/>
      <c r="F22" s="52" t="e">
        <f ca="1">VLOOKUP($A$2-1,일별!$A$5:$BG$370,G20,0)</f>
        <v>#N/A</v>
      </c>
      <c r="G22" s="67"/>
      <c r="H22" s="48"/>
      <c r="I22" s="65" t="e">
        <f ca="1">VLOOKUP($A$2-1,일별!$A$5:$BG$370,J20,0)</f>
        <v>#N/A</v>
      </c>
      <c r="J22" s="50"/>
      <c r="K22" s="65" t="e">
        <f ca="1">VLOOKUP($A$2-1,일별!$A$5:$BG$370,L20,0)</f>
        <v>#N/A</v>
      </c>
      <c r="L22" s="67"/>
      <c r="M22" s="65" t="s">
        <v>47</v>
      </c>
      <c r="N22" s="67"/>
      <c r="O22" s="78" t="s">
        <v>47</v>
      </c>
      <c r="P22" s="67"/>
      <c r="Q22" s="48"/>
    </row>
    <row r="23" spans="2:17">
      <c r="B23" s="72"/>
      <c r="C23" s="73"/>
      <c r="D23" s="72"/>
      <c r="E23" s="74"/>
      <c r="F23" s="75"/>
      <c r="G23" s="74"/>
      <c r="I23" s="72"/>
      <c r="J23" s="79"/>
      <c r="K23" s="72"/>
      <c r="L23" s="74"/>
      <c r="M23" s="72"/>
      <c r="N23" s="74"/>
      <c r="O23" s="75"/>
      <c r="P23" s="74"/>
    </row>
  </sheetData>
  <mergeCells count="3">
    <mergeCell ref="A2:H2"/>
    <mergeCell ref="I2:R2"/>
    <mergeCell ref="A1:R1"/>
  </mergeCells>
  <phoneticPr fontId="3" type="noConversion"/>
  <conditionalFormatting sqref="C6 C16 E16 E6 G6 J6 L6 N6 C11 E11 G11 C21 E21 G21 J11 L11 N11">
    <cfRule type="iconSet" priority="5">
      <iconSet iconSet="3Arrows">
        <cfvo type="percent" val="0"/>
        <cfvo type="num" val="0"/>
        <cfvo type="num" val="1"/>
      </iconSet>
    </cfRule>
  </conditionalFormatting>
  <conditionalFormatting sqref="C16 E6 G6 C6 E11 G11 C11 E21 G21 C21">
    <cfRule type="iconSet" priority="6">
      <iconSet iconSet="3Arrows">
        <cfvo type="percent" val="0"/>
        <cfvo type="num" val="0"/>
        <cfvo type="percent" val="1" gte="0"/>
      </iconSet>
    </cfRule>
  </conditionalFormatting>
  <conditionalFormatting sqref="J6 L6 J11 L11">
    <cfRule type="iconSet" priority="7">
      <iconSet iconSet="3Arrows">
        <cfvo type="percent" val="0"/>
        <cfvo type="num" val="0"/>
        <cfvo type="num" val="1"/>
      </iconSet>
    </cfRule>
  </conditionalFormatting>
  <conditionalFormatting sqref="J16 L16 N16">
    <cfRule type="iconSet" priority="3">
      <iconSet iconSet="3Arrows">
        <cfvo type="percent" val="0"/>
        <cfvo type="num" val="0"/>
        <cfvo type="num" val="1"/>
      </iconSet>
    </cfRule>
  </conditionalFormatting>
  <conditionalFormatting sqref="J16 L16">
    <cfRule type="iconSet" priority="4">
      <iconSet iconSet="3Arrows">
        <cfvo type="percent" val="0"/>
        <cfvo type="num" val="0"/>
        <cfvo type="num" val="1"/>
      </iconSet>
    </cfRule>
  </conditionalFormatting>
  <conditionalFormatting sqref="J21 L21 N21">
    <cfRule type="iconSet" priority="1">
      <iconSet iconSet="3Arrows">
        <cfvo type="percent" val="0"/>
        <cfvo type="num" val="0"/>
        <cfvo type="num" val="1"/>
      </iconSet>
    </cfRule>
  </conditionalFormatting>
  <conditionalFormatting sqref="J21 L21">
    <cfRule type="iconSet" priority="2">
      <iconSet iconSet="3Arrows">
        <cfvo type="percent" val="0"/>
        <cfvo type="num" val="0"/>
        <cfvo type="num" val="1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5F1D-B6F7-44B3-867E-258B7B25AEB5}">
  <dimension ref="A2:DI17"/>
  <sheetViews>
    <sheetView showGridLines="0" zoomScale="85" zoomScaleNormal="85" workbookViewId="0">
      <selection activeCell="R13" sqref="R13"/>
    </sheetView>
  </sheetViews>
  <sheetFormatPr defaultRowHeight="16.5"/>
  <cols>
    <col min="1" max="1" width="11" bestFit="1" customWidth="1"/>
    <col min="26" max="29" width="11.625" customWidth="1"/>
    <col min="30" max="30" width="15" bestFit="1" customWidth="1"/>
    <col min="31" max="31" width="11.625" customWidth="1"/>
    <col min="36" max="36" width="11.625" bestFit="1" customWidth="1"/>
    <col min="42" max="43" width="8.875" bestFit="1" customWidth="1"/>
    <col min="44" max="44" width="10.625" bestFit="1" customWidth="1"/>
    <col min="45" max="45" width="8.875" bestFit="1" customWidth="1"/>
    <col min="46" max="46" width="10.625" bestFit="1" customWidth="1"/>
    <col min="47" max="91" width="8.875" bestFit="1" customWidth="1"/>
  </cols>
  <sheetData>
    <row r="2" spans="1:113">
      <c r="A2" s="169"/>
      <c r="B2" s="30" t="s">
        <v>52</v>
      </c>
      <c r="C2" s="30" t="s">
        <v>53</v>
      </c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69"/>
      <c r="BQ2" s="169"/>
    </row>
    <row r="3" spans="1:113">
      <c r="A3" s="24" t="s">
        <v>54</v>
      </c>
      <c r="B3" s="23" t="s">
        <v>55</v>
      </c>
      <c r="C3" s="22"/>
      <c r="D3" s="23" t="s">
        <v>56</v>
      </c>
      <c r="E3" s="22"/>
      <c r="F3" s="23" t="s">
        <v>57</v>
      </c>
      <c r="G3" s="22"/>
      <c r="H3" s="21" t="s">
        <v>58</v>
      </c>
      <c r="I3" s="21"/>
      <c r="J3" s="23" t="s">
        <v>59</v>
      </c>
      <c r="K3" s="22"/>
      <c r="L3" s="23" t="s">
        <v>60</v>
      </c>
      <c r="M3" s="22"/>
      <c r="N3" s="23" t="s">
        <v>61</v>
      </c>
      <c r="O3" s="22"/>
      <c r="P3" s="23" t="s">
        <v>62</v>
      </c>
      <c r="Q3" s="22"/>
      <c r="R3" s="23" t="s">
        <v>63</v>
      </c>
      <c r="S3" s="22"/>
      <c r="T3" s="23" t="s">
        <v>64</v>
      </c>
      <c r="U3" s="22"/>
      <c r="V3" s="23" t="s">
        <v>65</v>
      </c>
      <c r="W3" s="22"/>
      <c r="X3" s="23" t="s">
        <v>66</v>
      </c>
      <c r="Y3" s="22"/>
      <c r="Z3" s="23" t="s">
        <v>67</v>
      </c>
      <c r="AA3" s="21"/>
      <c r="AB3" s="21"/>
      <c r="AC3" s="21"/>
      <c r="AD3" s="21"/>
      <c r="AE3" s="22"/>
      <c r="AF3" s="23" t="s">
        <v>68</v>
      </c>
      <c r="AG3" s="21"/>
      <c r="AH3" s="21"/>
      <c r="AI3" s="22"/>
      <c r="AJ3" s="34" t="s">
        <v>69</v>
      </c>
      <c r="AK3" s="33"/>
      <c r="AL3" s="33"/>
      <c r="AM3" s="33"/>
      <c r="AN3" s="33"/>
      <c r="AO3" s="39"/>
      <c r="AP3" s="23" t="s">
        <v>70</v>
      </c>
      <c r="AQ3" s="21"/>
      <c r="AR3" s="21"/>
      <c r="AS3" s="22"/>
      <c r="AT3" s="21"/>
      <c r="AU3" s="22"/>
      <c r="AV3" s="250" t="s">
        <v>71</v>
      </c>
      <c r="AW3" s="251"/>
      <c r="AX3" s="251"/>
      <c r="AY3" s="251"/>
      <c r="AZ3" s="251"/>
      <c r="BA3" s="251"/>
      <c r="BB3" s="251"/>
      <c r="BC3" s="251"/>
      <c r="BD3" s="251"/>
      <c r="BE3" s="251"/>
      <c r="BF3" s="251"/>
      <c r="BG3" s="251"/>
      <c r="BH3" s="251"/>
      <c r="BI3" s="251"/>
      <c r="BJ3" s="251"/>
      <c r="BK3" s="251"/>
      <c r="BL3" s="251"/>
      <c r="BM3" s="251"/>
      <c r="BN3" s="251"/>
      <c r="BO3" s="251"/>
      <c r="BP3" s="251"/>
      <c r="BQ3" s="252"/>
      <c r="BR3" s="250" t="s">
        <v>72</v>
      </c>
      <c r="BS3" s="251"/>
      <c r="BT3" s="251"/>
      <c r="BU3" s="251"/>
      <c r="BV3" s="251"/>
      <c r="BW3" s="251"/>
      <c r="BX3" s="251"/>
      <c r="BY3" s="251"/>
      <c r="BZ3" s="251"/>
      <c r="CA3" s="251"/>
      <c r="CB3" s="251"/>
      <c r="CC3" s="251"/>
      <c r="CD3" s="251"/>
      <c r="CE3" s="251"/>
      <c r="CF3" s="251"/>
      <c r="CG3" s="251"/>
      <c r="CH3" s="251"/>
      <c r="CI3" s="251"/>
      <c r="CJ3" s="251"/>
      <c r="CK3" s="251"/>
      <c r="CL3" s="251"/>
      <c r="CM3" s="252"/>
      <c r="CN3" s="250" t="s">
        <v>73</v>
      </c>
      <c r="CO3" s="251"/>
      <c r="CP3" s="251"/>
      <c r="CQ3" s="251"/>
      <c r="CR3" s="251"/>
      <c r="CS3" s="251"/>
      <c r="CT3" s="251"/>
      <c r="CU3" s="251"/>
      <c r="CV3" s="251"/>
      <c r="CW3" s="251"/>
      <c r="CX3" s="251"/>
      <c r="CY3" s="251"/>
      <c r="CZ3" s="251"/>
      <c r="DA3" s="251"/>
      <c r="DB3" s="251"/>
      <c r="DC3" s="251"/>
      <c r="DD3" s="251"/>
      <c r="DE3" s="251"/>
      <c r="DF3" s="251"/>
      <c r="DG3" s="251"/>
      <c r="DH3" s="251"/>
      <c r="DI3" s="252"/>
    </row>
    <row r="4" spans="1:113">
      <c r="A4" s="207">
        <v>46388</v>
      </c>
      <c r="B4" s="17" t="s">
        <v>12</v>
      </c>
      <c r="C4" s="5" t="s">
        <v>74</v>
      </c>
      <c r="D4" s="17" t="s">
        <v>12</v>
      </c>
      <c r="E4" s="5" t="s">
        <v>74</v>
      </c>
      <c r="F4" s="17" t="s">
        <v>12</v>
      </c>
      <c r="G4" s="5" t="s">
        <v>74</v>
      </c>
      <c r="H4" s="7"/>
      <c r="I4" s="7"/>
      <c r="J4" s="17" t="s">
        <v>12</v>
      </c>
      <c r="K4" s="5" t="s">
        <v>74</v>
      </c>
      <c r="L4" s="17" t="s">
        <v>12</v>
      </c>
      <c r="M4" s="5" t="s">
        <v>74</v>
      </c>
      <c r="N4" s="17" t="s">
        <v>13</v>
      </c>
      <c r="O4" s="14"/>
      <c r="P4" s="17" t="s">
        <v>12</v>
      </c>
      <c r="Q4" s="5" t="s">
        <v>74</v>
      </c>
      <c r="R4" s="17" t="s">
        <v>12</v>
      </c>
      <c r="S4" s="5" t="s">
        <v>74</v>
      </c>
      <c r="T4" s="37"/>
      <c r="U4" s="38"/>
      <c r="V4" s="37"/>
      <c r="W4" s="38"/>
      <c r="X4" s="37"/>
      <c r="Y4" s="38"/>
      <c r="Z4" s="17" t="s">
        <v>75</v>
      </c>
      <c r="AA4" s="7" t="s">
        <v>76</v>
      </c>
      <c r="AB4" s="7" t="s">
        <v>77</v>
      </c>
      <c r="AC4" s="7" t="s">
        <v>78</v>
      </c>
      <c r="AD4" s="7" t="s">
        <v>79</v>
      </c>
      <c r="AE4" s="5" t="s">
        <v>80</v>
      </c>
      <c r="AF4" s="17" t="s">
        <v>81</v>
      </c>
      <c r="AG4" s="7" t="s">
        <v>82</v>
      </c>
      <c r="AH4" s="7" t="s">
        <v>83</v>
      </c>
      <c r="AI4" s="5" t="s">
        <v>84</v>
      </c>
      <c r="AJ4" s="17" t="s">
        <v>85</v>
      </c>
      <c r="AK4" s="7" t="s">
        <v>86</v>
      </c>
      <c r="AL4" s="7" t="s">
        <v>87</v>
      </c>
      <c r="AM4" s="7" t="s">
        <v>88</v>
      </c>
      <c r="AN4" s="7" t="s">
        <v>89</v>
      </c>
      <c r="AO4" s="5" t="s">
        <v>90</v>
      </c>
      <c r="AP4" s="17" t="s">
        <v>32</v>
      </c>
      <c r="AQ4" s="7" t="s">
        <v>53</v>
      </c>
      <c r="AR4" s="7" t="s">
        <v>8</v>
      </c>
      <c r="AS4" s="7" t="s">
        <v>53</v>
      </c>
      <c r="AT4" s="7" t="s">
        <v>91</v>
      </c>
      <c r="AU4" s="5" t="s">
        <v>53</v>
      </c>
      <c r="AV4" s="168">
        <v>1</v>
      </c>
      <c r="AW4" s="30">
        <v>2</v>
      </c>
      <c r="AX4" s="30">
        <v>3</v>
      </c>
      <c r="AY4" s="30">
        <v>4</v>
      </c>
      <c r="AZ4" s="30">
        <v>5</v>
      </c>
      <c r="BA4" s="30">
        <v>6</v>
      </c>
      <c r="BB4" s="30">
        <v>7</v>
      </c>
      <c r="BC4" s="30">
        <v>8</v>
      </c>
      <c r="BD4" s="30">
        <v>9</v>
      </c>
      <c r="BE4" s="30">
        <v>10</v>
      </c>
      <c r="BF4" s="30">
        <v>11</v>
      </c>
      <c r="BG4" s="30">
        <v>12</v>
      </c>
      <c r="BH4" s="30">
        <v>13</v>
      </c>
      <c r="BI4" s="30">
        <v>14</v>
      </c>
      <c r="BJ4" s="30">
        <v>15</v>
      </c>
      <c r="BK4" s="30">
        <v>16</v>
      </c>
      <c r="BL4" s="30">
        <v>17</v>
      </c>
      <c r="BM4" s="30">
        <v>18</v>
      </c>
      <c r="BN4" s="30">
        <v>19</v>
      </c>
      <c r="BO4" s="30">
        <v>20</v>
      </c>
      <c r="BP4" s="30">
        <v>21</v>
      </c>
      <c r="BQ4" s="171">
        <v>22</v>
      </c>
      <c r="BR4" s="168">
        <v>1</v>
      </c>
      <c r="BS4" s="30">
        <v>2</v>
      </c>
      <c r="BT4" s="30">
        <v>3</v>
      </c>
      <c r="BU4" s="30">
        <v>4</v>
      </c>
      <c r="BV4" s="30">
        <v>5</v>
      </c>
      <c r="BW4" s="30">
        <v>6</v>
      </c>
      <c r="BX4" s="30">
        <v>7</v>
      </c>
      <c r="BY4" s="30">
        <v>8</v>
      </c>
      <c r="BZ4" s="30">
        <v>9</v>
      </c>
      <c r="CA4" s="30">
        <v>10</v>
      </c>
      <c r="CB4" s="30">
        <v>11</v>
      </c>
      <c r="CC4" s="30">
        <v>12</v>
      </c>
      <c r="CD4" s="30">
        <v>13</v>
      </c>
      <c r="CE4" s="30">
        <v>14</v>
      </c>
      <c r="CF4" s="30">
        <v>15</v>
      </c>
      <c r="CG4" s="30">
        <v>16</v>
      </c>
      <c r="CH4" s="30">
        <v>17</v>
      </c>
      <c r="CI4" s="30">
        <v>18</v>
      </c>
      <c r="CJ4" s="30">
        <v>19</v>
      </c>
      <c r="CK4" s="30">
        <v>20</v>
      </c>
      <c r="CL4" s="30">
        <v>21</v>
      </c>
      <c r="CM4" s="171">
        <v>22</v>
      </c>
      <c r="CN4" s="168">
        <v>1</v>
      </c>
      <c r="CO4" s="30">
        <v>2</v>
      </c>
      <c r="CP4" s="30">
        <v>3</v>
      </c>
      <c r="CQ4" s="30">
        <v>4</v>
      </c>
      <c r="CR4" s="30">
        <v>5</v>
      </c>
      <c r="CS4" s="30">
        <v>6</v>
      </c>
      <c r="CT4" s="30">
        <v>7</v>
      </c>
      <c r="CU4" s="30">
        <v>8</v>
      </c>
      <c r="CV4" s="30">
        <v>9</v>
      </c>
      <c r="CW4" s="30">
        <v>10</v>
      </c>
      <c r="CX4" s="30">
        <v>11</v>
      </c>
      <c r="CY4" s="30">
        <v>12</v>
      </c>
      <c r="CZ4" s="30">
        <v>13</v>
      </c>
      <c r="DA4" s="30">
        <v>14</v>
      </c>
      <c r="DB4" s="30">
        <v>15</v>
      </c>
      <c r="DC4" s="30">
        <v>16</v>
      </c>
      <c r="DD4" s="30">
        <v>17</v>
      </c>
      <c r="DE4" s="30">
        <v>18</v>
      </c>
      <c r="DF4" s="30">
        <v>19</v>
      </c>
      <c r="DG4" s="30">
        <v>20</v>
      </c>
      <c r="DH4" s="30">
        <v>21</v>
      </c>
      <c r="DI4" s="171">
        <v>22</v>
      </c>
    </row>
    <row r="5" spans="1:113">
      <c r="A5" s="25">
        <v>45658</v>
      </c>
      <c r="B5" s="44">
        <f>SUMIFS(일별!C:C,
       일별!$A:$A, "&gt;="&amp;월별!$A5,
       일별!$A:$A, "&lt;"&amp;월별!$A6)</f>
        <v>816</v>
      </c>
      <c r="C5" s="45">
        <f>B5/(월별!$A6 - 월별!$A5)</f>
        <v>26.322580645161292</v>
      </c>
      <c r="D5" s="44">
        <f>SUMIFS(일별!E:E,
       일별!$A:$A, "&gt;="&amp;월별!$A5,
       일별!$A:$A, "&lt;"&amp;월별!$A6)</f>
        <v>2540</v>
      </c>
      <c r="E5" s="45">
        <f>D5/(월별!$A6 - 월별!$A5)</f>
        <v>81.935483870967744</v>
      </c>
      <c r="F5" s="118">
        <f>SUMIFS(일별!G:G,
       일별!$A:$A, "&gt;="&amp;월별!$A5,
       일별!$A:$A, "&lt;"&amp;월별!$A6)</f>
        <v>2588</v>
      </c>
      <c r="G5" s="45">
        <f>F5/(월별!$A6 - 월별!$A5)</f>
        <v>83.483870967741936</v>
      </c>
      <c r="H5" s="44">
        <f>D5+F5</f>
        <v>5128</v>
      </c>
      <c r="I5" s="45">
        <f>E5+G5</f>
        <v>165.41935483870969</v>
      </c>
      <c r="J5" s="118">
        <f>SUMIFS(일별!I:I,
       일별!$A:$A, "&gt;="&amp;월별!$A5,
       일별!$A:$A, "&lt;"&amp;월별!$A6)</f>
        <v>100</v>
      </c>
      <c r="K5" s="45">
        <f>J5/(월별!$A6 - 월별!$A5)</f>
        <v>3.225806451612903</v>
      </c>
      <c r="L5" s="118">
        <f>SUMIFS(일별!K:K,
       일별!$A:$A, "&gt;="&amp;월별!$A5,
       일별!$A:$A, "&lt;"&amp;월별!$A6)</f>
        <v>100</v>
      </c>
      <c r="M5" s="45">
        <f>L5/(월별!$A6 - 월별!$A5)</f>
        <v>3.225806451612903</v>
      </c>
      <c r="N5" s="118">
        <f>SUMIFS(일별!M:M,
       일별!$A:$A, "&gt;="&amp;월별!$A5,
       일별!$A:$A, "&lt;"&amp;월별!$A6)</f>
        <v>25.19999999999991</v>
      </c>
      <c r="O5" s="119">
        <f>N5/(월별!$A6 - 월별!$A5)</f>
        <v>0.81290322580644869</v>
      </c>
      <c r="P5" s="118">
        <f>SUMIFS(일별!O:O,
       일별!$A:$A, "&gt;="&amp;월별!$A5,
       일별!$A:$A, "&lt;"&amp;월별!$A6)</f>
        <v>2483</v>
      </c>
      <c r="Q5" s="45">
        <f>P5/(월별!$A6 - 월별!$A5)</f>
        <v>80.096774193548384</v>
      </c>
      <c r="R5" s="118">
        <f>SUMIFS(일별!Q:Q,
       일별!$A:$A, "&gt;="&amp;월별!$A5,
       일별!$A:$A, "&lt;"&amp;월별!$A6)</f>
        <v>6661</v>
      </c>
      <c r="S5" s="45">
        <f>R5/(월별!$A6 - 월별!$A5)</f>
        <v>214.87096774193549</v>
      </c>
      <c r="T5" s="118">
        <f>SUMIFS(일별!S:S,
       일별!$A:$A, "&gt;="&amp;월별!$A5,
       일별!$A:$A, "&lt;"&amp;월별!$A6)</f>
        <v>-0.59999999999999787</v>
      </c>
      <c r="U5" s="45">
        <f>T5/(월별!$A6 - 월별!$A5)</f>
        <v>-1.9354838709677351E-2</v>
      </c>
      <c r="V5" s="118">
        <f>SUMIFS(일별!U:U,
       일별!$A:$A, "&gt;="&amp;월별!$A5,
       일별!$A:$A, "&lt;"&amp;월별!$A6)</f>
        <v>0.58299999999999841</v>
      </c>
      <c r="W5" s="45">
        <f>V5/(월별!$A6 - 월별!$A5)</f>
        <v>1.8806451612903174E-2</v>
      </c>
      <c r="X5" s="118">
        <f>SUMIFS(일별!W:W,
       일별!$A:$A, "&gt;="&amp;월별!$A5,
       일별!$A:$A, "&lt;"&amp;월별!$A6)</f>
        <v>0</v>
      </c>
      <c r="Y5" s="45">
        <f>X5/(월별!$A6 - 월별!$A5)</f>
        <v>0</v>
      </c>
      <c r="Z5" s="15">
        <f>SUMIFS(일별!X:X,
       일별!$A:$A, "&gt;="&amp;월별!$A5,
       일별!$A:$A, "&lt;"&amp;월별!$A6)</f>
        <v>1684005.700000002</v>
      </c>
      <c r="AA5" s="12">
        <f>SUMIFS(일별!Y:Y,
       일별!$A:$A, "&gt;="&amp;월별!$A5,
       일별!$A:$A, "&lt;"&amp;월별!$A6)</f>
        <v>0</v>
      </c>
      <c r="AB5" s="12">
        <f>SUMIFS(일별!Z:Z,
       일별!$A:$A, "&gt;="&amp;월별!$A5,
       일별!$A:$A, "&lt;"&amp;월별!$A6)</f>
        <v>0</v>
      </c>
      <c r="AC5" s="12">
        <f>SUMIFS(일별!AA:AA,
       일별!$A:$A, "&gt;="&amp;월별!$A5,
       일별!$A:$A, "&lt;"&amp;월별!$A6)</f>
        <v>140277</v>
      </c>
      <c r="AD5" s="12">
        <f>SUMIFS(일별!AB:AB,
       일별!$A:$A, "&gt;="&amp;월별!$A5,
       일별!$A:$A, "&lt;"&amp;월별!$A6)</f>
        <v>0</v>
      </c>
      <c r="AE5" s="16">
        <f>SUMIFS(일별!AC:AC,
       일별!$A:$A, "&gt;="&amp;월별!$A5,
       일별!$A:$A, "&lt;"&amp;월별!$A6)</f>
        <v>140277</v>
      </c>
      <c r="AF5" s="15">
        <f>SUMIFS(일별!AD:AD,
       일별!$A:$A, "&gt;="&amp;월별!$A5,
       일별!$A:$A, "&lt;"&amp;월별!$A6)</f>
        <v>239</v>
      </c>
      <c r="AG5" s="12">
        <f>SUMIFS(일별!AE:AE,
       일별!$A:$A, "&gt;="&amp;월별!$A5,
       일별!$A:$A, "&lt;"&amp;월별!$A6)</f>
        <v>0</v>
      </c>
      <c r="AH5" s="12">
        <f>SUMIFS(일별!AF:AF,
       일별!$A:$A, "&gt;="&amp;월별!$A5,
       일별!$A:$A, "&lt;"&amp;월별!$A6)</f>
        <v>0</v>
      </c>
      <c r="AI5" s="16">
        <f>SUMIFS(일별!AG:AG,
       일별!$A:$A, "&gt;="&amp;월별!$A5,
       일별!$A:$A, "&lt;"&amp;월별!$A6)</f>
        <v>25.5</v>
      </c>
      <c r="AJ5" s="15">
        <f>SUMIFS(일별!AX:AX,
       일별!$A:$A, "&gt;="&amp;월별!$A5,
       일별!$A:$A, "&lt;"&amp;월별!$A6)</f>
        <v>10762</v>
      </c>
      <c r="AK5" s="12">
        <f>SUMIFS(일별!AY:AY,
       일별!$A:$A, "&gt;="&amp;월별!$A5,
       일별!$A:$A, "&lt;"&amp;월별!$A6)</f>
        <v>0</v>
      </c>
      <c r="AL5" s="12">
        <f>SUMIFS(일별!AZ:AZ,
       일별!$A:$A, "&gt;="&amp;월별!$A5,
       일별!$A:$A, "&lt;"&amp;월별!$A6)</f>
        <v>0</v>
      </c>
      <c r="AM5" s="12">
        <f>SUMIFS(일별!BA:BA,
       일별!$A:$A, "&gt;="&amp;월별!$A5,
       일별!$A:$A, "&lt;"&amp;월별!$A6)</f>
        <v>1245</v>
      </c>
      <c r="AN5" s="12">
        <f>SUMIFS(일별!BB:BB,
       일별!$A:$A, "&gt;="&amp;월별!$A5,
       일별!$A:$A, "&lt;"&amp;월별!$A6)</f>
        <v>1245</v>
      </c>
      <c r="AO5" s="16">
        <f>SUMIFS(일별!BC:BC,
       일별!$A:$A, "&gt;="&amp;월별!$A5,
       일별!$A:$A, "&lt;"&amp;월별!$A6)</f>
        <v>12007</v>
      </c>
      <c r="AP5" s="172" t="e" cm="1">
        <f t="array" ref="AP5">SUM(_xlfn._xlws.FILTER(일별!#REF!, (일별!$A:$A &gt;= 월별!$A5) * (일별!$A:$A &lt; 월별!$A6), 0))</f>
        <v>#REF!</v>
      </c>
      <c r="AQ5" s="173" t="e">
        <f>AP5/(월별!$A6 - 월별!$A5)</f>
        <v>#REF!</v>
      </c>
      <c r="AR5" s="173" t="e" cm="1">
        <f t="array" ref="AR5">SUM(_xlfn._xlws.FILTER(일별!#REF!, (일별!$A:$A &gt;= 월별!$A5) * (일별!$A:$A &lt; 월별!$A6), 0))</f>
        <v>#REF!</v>
      </c>
      <c r="AS5" s="20" t="e">
        <f>AR5/(월별!$A6 - 월별!$A5)</f>
        <v>#REF!</v>
      </c>
      <c r="AT5" s="20" t="e" cm="1">
        <f t="array" ref="AT5">SUM(_xlfn._xlws.FILTER(일별!#REF!, (일별!$A:$A &gt;= 월별!$A5) * (일별!$A:$A &lt; 월별!$A6), 0))</f>
        <v>#REF!</v>
      </c>
      <c r="AU5" s="20" t="e">
        <f>AT5/(월별!$A6 - 월별!$A5)</f>
        <v>#REF!</v>
      </c>
      <c r="AV5" s="172" t="e" cm="1">
        <f t="array" ref="AV5">SUM(_xlfn._xlws.FILTER(일별!#REF!, (일별!$A:$A &gt;= 월별!$A5) * (일별!$A:$A &lt; 월별!$A6), 0))</f>
        <v>#REF!</v>
      </c>
      <c r="AW5" s="173" t="e" cm="1">
        <f t="array" ref="AW5">SUM(_xlfn._xlws.FILTER(일별!#REF!, (일별!$A:$A &gt;= 월별!$A5) * (일별!$A:$A &lt; 월별!$A6), 0))</f>
        <v>#REF!</v>
      </c>
      <c r="AX5" s="173" t="e" cm="1">
        <f t="array" ref="AX5">SUM(_xlfn._xlws.FILTER(일별!#REF!, (일별!$A:$A &gt;= 월별!$A5) * (일별!$A:$A &lt; 월별!$A6), 0))</f>
        <v>#REF!</v>
      </c>
      <c r="AY5" s="173" t="e" cm="1">
        <f t="array" ref="AY5">SUM(_xlfn._xlws.FILTER(일별!#REF!, (일별!$A:$A &gt;= 월별!$A5) * (일별!$A:$A &lt; 월별!$A6), 0))</f>
        <v>#REF!</v>
      </c>
      <c r="AZ5" s="173" t="e" cm="1">
        <f t="array" ref="AZ5">SUM(_xlfn._xlws.FILTER(일별!#REF!, (일별!$A:$A &gt;= 월별!$A5) * (일별!$A:$A &lt; 월별!$A6), 0))</f>
        <v>#REF!</v>
      </c>
      <c r="BA5" s="173" t="e" cm="1">
        <f t="array" ref="BA5">SUM(_xlfn._xlws.FILTER(일별!#REF!, (일별!$A:$A &gt;= 월별!$A5) * (일별!$A:$A &lt; 월별!$A6), 0))</f>
        <v>#REF!</v>
      </c>
      <c r="BB5" s="173" t="e" cm="1">
        <f t="array" ref="BB5">SUM(_xlfn._xlws.FILTER(일별!#REF!, (일별!$A:$A &gt;= 월별!$A5) * (일별!$A:$A &lt; 월별!$A6), 0))</f>
        <v>#REF!</v>
      </c>
      <c r="BC5" s="173" t="e" cm="1">
        <f t="array" ref="BC5">SUM(_xlfn._xlws.FILTER(일별!#REF!, (일별!$A:$A &gt;= 월별!$A5) * (일별!$A:$A &lt; 월별!$A6), 0))</f>
        <v>#REF!</v>
      </c>
      <c r="BD5" s="173" t="e" cm="1">
        <f t="array" ref="BD5">SUM(_xlfn._xlws.FILTER(일별!#REF!, (일별!$A:$A &gt;= 월별!$A5) * (일별!$A:$A &lt; 월별!$A6), 0))</f>
        <v>#REF!</v>
      </c>
      <c r="BE5" s="173" t="e" cm="1">
        <f t="array" ref="BE5">SUM(_xlfn._xlws.FILTER(일별!#REF!, (일별!$A:$A &gt;= 월별!$A5) * (일별!$A:$A &lt; 월별!$A6), 0))</f>
        <v>#REF!</v>
      </c>
      <c r="BF5" s="173" t="e" cm="1">
        <f t="array" ref="BF5">SUM(_xlfn._xlws.FILTER(일별!#REF!, (일별!$A:$A &gt;= 월별!$A5) * (일별!$A:$A &lt; 월별!$A6), 0))</f>
        <v>#REF!</v>
      </c>
      <c r="BG5" s="173" t="e" cm="1">
        <f t="array" ref="BG5">SUM(_xlfn._xlws.FILTER(일별!#REF!, (일별!$A:$A &gt;= 월별!$A5) * (일별!$A:$A &lt; 월별!$A6), 0))</f>
        <v>#REF!</v>
      </c>
      <c r="BH5" s="173" t="e" cm="1">
        <f t="array" ref="BH5">SUM(_xlfn._xlws.FILTER(일별!#REF!, (일별!$A:$A &gt;= 월별!$A5) * (일별!$A:$A &lt; 월별!$A6), 0))</f>
        <v>#REF!</v>
      </c>
      <c r="BI5" s="173" t="e" cm="1">
        <f t="array" ref="BI5">SUM(_xlfn._xlws.FILTER(일별!#REF!, (일별!$A:$A &gt;= 월별!$A5) * (일별!$A:$A &lt; 월별!$A6), 0))</f>
        <v>#REF!</v>
      </c>
      <c r="BJ5" s="173" t="e" cm="1">
        <f t="array" ref="BJ5">SUM(_xlfn._xlws.FILTER(일별!#REF!, (일별!$A:$A &gt;= 월별!$A5) * (일별!$A:$A &lt; 월별!$A6), 0))</f>
        <v>#REF!</v>
      </c>
      <c r="BK5" s="173" t="e" cm="1">
        <f t="array" ref="BK5">SUM(_xlfn._xlws.FILTER(일별!#REF!, (일별!$A:$A &gt;= 월별!$A5) * (일별!$A:$A &lt; 월별!$A6), 0))</f>
        <v>#REF!</v>
      </c>
      <c r="BL5" s="173" t="e" cm="1">
        <f t="array" ref="BL5">SUM(_xlfn._xlws.FILTER(일별!#REF!, (일별!$A:$A &gt;= 월별!$A5) * (일별!$A:$A &lt; 월별!$A6), 0))</f>
        <v>#REF!</v>
      </c>
      <c r="BM5" s="173" t="e" cm="1">
        <f t="array" ref="BM5">SUM(_xlfn._xlws.FILTER(일별!#REF!, (일별!$A:$A &gt;= 월별!$A5) * (일별!$A:$A &lt; 월별!$A6), 0))</f>
        <v>#REF!</v>
      </c>
      <c r="BN5" s="173" t="e" cm="1">
        <f t="array" ref="BN5">SUM(_xlfn._xlws.FILTER(일별!#REF!, (일별!$A:$A &gt;= 월별!$A5) * (일별!$A:$A &lt; 월별!$A6), 0))</f>
        <v>#REF!</v>
      </c>
      <c r="BO5" s="173" t="e" cm="1">
        <f t="array" ref="BO5">SUM(_xlfn._xlws.FILTER(일별!#REF!, (일별!$A:$A &gt;= 월별!$A5) * (일별!$A:$A &lt; 월별!$A6), 0))</f>
        <v>#REF!</v>
      </c>
      <c r="BP5" s="173" t="e" cm="1">
        <f t="array" ref="BP5">SUM(_xlfn._xlws.FILTER(일별!#REF!, (일별!$A:$A &gt;= 월별!$A5) * (일별!$A:$A &lt; 월별!$A6), 0))</f>
        <v>#REF!</v>
      </c>
      <c r="BQ5" s="174" t="e" cm="1">
        <f t="array" ref="BQ5">SUM(_xlfn._xlws.FILTER(일별!#REF!, (일별!$A:$A &gt;= 월별!$A5) * (일별!$A:$A &lt; 월별!$A6), 0))</f>
        <v>#REF!</v>
      </c>
      <c r="BR5" s="172" t="e" cm="1">
        <f t="array" ref="BR5">SUM(_xlfn._xlws.FILTER(일별!#REF!, (일별!$A:$A &gt;= 월별!$A5) * (일별!$A:$A &lt; 월별!$A6), 0))</f>
        <v>#REF!</v>
      </c>
      <c r="BS5" s="173" t="e" cm="1">
        <f t="array" ref="BS5">SUM(_xlfn._xlws.FILTER(일별!#REF!, (일별!$A:$A &gt;= 월별!$A5) * (일별!$A:$A &lt; 월별!$A6), 0))</f>
        <v>#REF!</v>
      </c>
      <c r="BT5" s="173" t="e" cm="1">
        <f t="array" ref="BT5">SUM(_xlfn._xlws.FILTER(일별!#REF!, (일별!$A:$A &gt;= 월별!$A5) * (일별!$A:$A &lt; 월별!$A6), 0))</f>
        <v>#REF!</v>
      </c>
      <c r="BU5" s="173" t="e" cm="1">
        <f t="array" ref="BU5">SUM(_xlfn._xlws.FILTER(일별!#REF!, (일별!$A:$A &gt;= 월별!$A5) * (일별!$A:$A &lt; 월별!$A6), 0))</f>
        <v>#REF!</v>
      </c>
      <c r="BV5" s="173" t="e" cm="1">
        <f t="array" ref="BV5">SUM(_xlfn._xlws.FILTER(일별!#REF!, (일별!$A:$A &gt;= 월별!$A5) * (일별!$A:$A &lt; 월별!$A6), 0))</f>
        <v>#REF!</v>
      </c>
      <c r="BW5" s="173" t="e" cm="1">
        <f t="array" ref="BW5">SUM(_xlfn._xlws.FILTER(일별!#REF!, (일별!$A:$A &gt;= 월별!$A5) * (일별!$A:$A &lt; 월별!$A6), 0))</f>
        <v>#REF!</v>
      </c>
      <c r="BX5" s="173" t="e" cm="1">
        <f t="array" ref="BX5">SUM(_xlfn._xlws.FILTER(일별!#REF!, (일별!$A:$A &gt;= 월별!$A5) * (일별!$A:$A &lt; 월별!$A6), 0))</f>
        <v>#REF!</v>
      </c>
      <c r="BY5" s="173" t="e" cm="1">
        <f t="array" ref="BY5">SUM(_xlfn._xlws.FILTER(일별!#REF!, (일별!$A:$A &gt;= 월별!$A5) * (일별!$A:$A &lt; 월별!$A6), 0))</f>
        <v>#REF!</v>
      </c>
      <c r="BZ5" s="173" t="e" cm="1">
        <f t="array" ref="BZ5">SUM(_xlfn._xlws.FILTER(일별!#REF!, (일별!$A:$A &gt;= 월별!$A5) * (일별!$A:$A &lt; 월별!$A6), 0))</f>
        <v>#REF!</v>
      </c>
      <c r="CA5" s="173" t="e" cm="1">
        <f t="array" ref="CA5">SUM(_xlfn._xlws.FILTER(일별!#REF!, (일별!$A:$A &gt;= 월별!$A5) * (일별!$A:$A &lt; 월별!$A6), 0))</f>
        <v>#REF!</v>
      </c>
      <c r="CB5" s="173" t="e" cm="1">
        <f t="array" ref="CB5">SUM(_xlfn._xlws.FILTER(일별!#REF!, (일별!$A:$A &gt;= 월별!$A5) * (일별!$A:$A &lt; 월별!$A6), 0))</f>
        <v>#REF!</v>
      </c>
      <c r="CC5" s="173" t="e" cm="1">
        <f t="array" ref="CC5">SUM(_xlfn._xlws.FILTER(일별!#REF!, (일별!$A:$A &gt;= 월별!$A5) * (일별!$A:$A &lt; 월별!$A6), 0))</f>
        <v>#REF!</v>
      </c>
      <c r="CD5" s="173" t="e" cm="1">
        <f t="array" ref="CD5">SUM(_xlfn._xlws.FILTER(일별!#REF!, (일별!$A:$A &gt;= 월별!$A5) * (일별!$A:$A &lt; 월별!$A6), 0))</f>
        <v>#REF!</v>
      </c>
      <c r="CE5" s="173" t="e" cm="1">
        <f t="array" ref="CE5">SUM(_xlfn._xlws.FILTER(일별!#REF!, (일별!$A:$A &gt;= 월별!$A5) * (일별!$A:$A &lt; 월별!$A6), 0))</f>
        <v>#REF!</v>
      </c>
      <c r="CF5" s="173" t="e" cm="1">
        <f t="array" ref="CF5">SUM(_xlfn._xlws.FILTER(일별!#REF!, (일별!$A:$A &gt;= 월별!$A5) * (일별!$A:$A &lt; 월별!$A6), 0))</f>
        <v>#REF!</v>
      </c>
      <c r="CG5" s="173" t="e" cm="1">
        <f t="array" ref="CG5">SUM(_xlfn._xlws.FILTER(일별!#REF!, (일별!$A:$A &gt;= 월별!$A5) * (일별!$A:$A &lt; 월별!$A6), 0))</f>
        <v>#REF!</v>
      </c>
      <c r="CH5" s="173" t="e" cm="1">
        <f t="array" ref="CH5">SUM(_xlfn._xlws.FILTER(일별!#REF!, (일별!$A:$A &gt;= 월별!$A5) * (일별!$A:$A &lt; 월별!$A6), 0))</f>
        <v>#REF!</v>
      </c>
      <c r="CI5" s="173" t="e" cm="1">
        <f t="array" ref="CI5">SUM(_xlfn._xlws.FILTER(일별!#REF!, (일별!$A:$A &gt;= 월별!$A5) * (일별!$A:$A &lt; 월별!$A6), 0))</f>
        <v>#REF!</v>
      </c>
      <c r="CJ5" s="173" t="e" cm="1">
        <f t="array" ref="CJ5">SUM(_xlfn._xlws.FILTER(일별!#REF!, (일별!$A:$A &gt;= 월별!$A5) * (일별!$A:$A &lt; 월별!$A6), 0))</f>
        <v>#REF!</v>
      </c>
      <c r="CK5" s="173" t="e" cm="1">
        <f t="array" ref="CK5">SUM(_xlfn._xlws.FILTER(일별!#REF!, (일별!$A:$A &gt;= 월별!$A5) * (일별!$A:$A &lt; 월별!$A6), 0))</f>
        <v>#REF!</v>
      </c>
      <c r="CL5" s="173" t="e" cm="1">
        <f t="array" ref="CL5">SUM(_xlfn._xlws.FILTER(일별!#REF!, (일별!$A:$A &gt;= 월별!$A5) * (일별!$A:$A &lt; 월별!$A6), 0))</f>
        <v>#REF!</v>
      </c>
      <c r="CM5" s="174" t="e" cm="1">
        <f t="array" ref="CM5">SUM(_xlfn._xlws.FILTER(일별!#REF!, (일별!$A:$A &gt;= 월별!$A5) * (일별!$A:$A &lt; 월별!$A6), 0))</f>
        <v>#REF!</v>
      </c>
      <c r="CN5" s="172" t="e" cm="1">
        <f t="array" ref="CN5">SUM(_xlfn._xlws.FILTER(일별!#REF!, (일별!$A:$A &gt;= 월별!$A5) * (일별!$A:$A &lt; 월별!$A6), 0))</f>
        <v>#REF!</v>
      </c>
      <c r="CO5" s="173" t="e" cm="1">
        <f t="array" ref="CO5">SUM(_xlfn._xlws.FILTER(일별!#REF!, (일별!$A:$A &gt;= 월별!$A5) * (일별!$A:$A &lt; 월별!$A6), 0))</f>
        <v>#REF!</v>
      </c>
      <c r="CP5" s="173" t="e" cm="1">
        <f t="array" ref="CP5">SUM(_xlfn._xlws.FILTER(일별!#REF!, (일별!$A:$A &gt;= 월별!$A5) * (일별!$A:$A &lt; 월별!$A6), 0))</f>
        <v>#REF!</v>
      </c>
      <c r="CQ5" s="173" t="e" cm="1">
        <f t="array" ref="CQ5">SUM(_xlfn._xlws.FILTER(일별!#REF!, (일별!$A:$A &gt;= 월별!$A5) * (일별!$A:$A &lt; 월별!$A6), 0))</f>
        <v>#REF!</v>
      </c>
      <c r="CR5" s="173" t="e" cm="1">
        <f t="array" ref="CR5">SUM(_xlfn._xlws.FILTER(일별!#REF!, (일별!$A:$A &gt;= 월별!$A5) * (일별!$A:$A &lt; 월별!$A6), 0))</f>
        <v>#REF!</v>
      </c>
      <c r="CS5" s="173" t="e" cm="1">
        <f t="array" ref="CS5">SUM(_xlfn._xlws.FILTER(일별!#REF!, (일별!$A:$A &gt;= 월별!$A5) * (일별!$A:$A &lt; 월별!$A6), 0))</f>
        <v>#REF!</v>
      </c>
      <c r="CT5" s="173" t="e" cm="1">
        <f t="array" ref="CT5">SUM(_xlfn._xlws.FILTER(일별!#REF!, (일별!$A:$A &gt;= 월별!$A5) * (일별!$A:$A &lt; 월별!$A6), 0))</f>
        <v>#REF!</v>
      </c>
      <c r="CU5" s="173" t="e" cm="1">
        <f t="array" ref="CU5">SUM(_xlfn._xlws.FILTER(일별!#REF!, (일별!$A:$A &gt;= 월별!$A5) * (일별!$A:$A &lt; 월별!$A6), 0))</f>
        <v>#REF!</v>
      </c>
      <c r="CV5" s="173" t="e" cm="1">
        <f t="array" ref="CV5">SUM(_xlfn._xlws.FILTER(일별!#REF!, (일별!$A:$A &gt;= 월별!$A5) * (일별!$A:$A &lt; 월별!$A6), 0))</f>
        <v>#REF!</v>
      </c>
      <c r="CW5" s="173" t="e" cm="1">
        <f t="array" ref="CW5">SUM(_xlfn._xlws.FILTER(일별!#REF!, (일별!$A:$A &gt;= 월별!$A5) * (일별!$A:$A &lt; 월별!$A6), 0))</f>
        <v>#REF!</v>
      </c>
      <c r="CX5" s="173" t="e" cm="1">
        <f t="array" ref="CX5">SUM(_xlfn._xlws.FILTER(일별!#REF!, (일별!$A:$A &gt;= 월별!$A5) * (일별!$A:$A &lt; 월별!$A6), 0))</f>
        <v>#REF!</v>
      </c>
      <c r="CY5" s="173" t="e" cm="1">
        <f t="array" ref="CY5">SUM(_xlfn._xlws.FILTER(일별!#REF!, (일별!$A:$A &gt;= 월별!$A5) * (일별!$A:$A &lt; 월별!$A6), 0))</f>
        <v>#REF!</v>
      </c>
      <c r="CZ5" s="173" t="e" cm="1">
        <f t="array" ref="CZ5">SUM(_xlfn._xlws.FILTER(일별!#REF!, (일별!$A:$A &gt;= 월별!$A5) * (일별!$A:$A &lt; 월별!$A6), 0))</f>
        <v>#REF!</v>
      </c>
      <c r="DA5" s="173" t="e" cm="1">
        <f t="array" ref="DA5">SUM(_xlfn._xlws.FILTER(일별!#REF!, (일별!$A:$A &gt;= 월별!$A5) * (일별!$A:$A &lt; 월별!$A6), 0))</f>
        <v>#REF!</v>
      </c>
      <c r="DB5" s="173" t="e" cm="1">
        <f t="array" ref="DB5">SUM(_xlfn._xlws.FILTER(일별!#REF!, (일별!$A:$A &gt;= 월별!$A5) * (일별!$A:$A &lt; 월별!$A6), 0))</f>
        <v>#REF!</v>
      </c>
      <c r="DC5" s="173" t="e" cm="1">
        <f t="array" ref="DC5">SUM(_xlfn._xlws.FILTER(일별!#REF!, (일별!$A:$A &gt;= 월별!$A5) * (일별!$A:$A &lt; 월별!$A6), 0))</f>
        <v>#REF!</v>
      </c>
      <c r="DD5" s="173" t="e" cm="1">
        <f t="array" ref="DD5">SUM(_xlfn._xlws.FILTER(일별!#REF!, (일별!$A:$A &gt;= 월별!$A5) * (일별!$A:$A &lt; 월별!$A6), 0))</f>
        <v>#REF!</v>
      </c>
      <c r="DE5" s="173" t="e" cm="1">
        <f t="array" ref="DE5">SUM(_xlfn._xlws.FILTER(일별!#REF!, (일별!$A:$A &gt;= 월별!$A5) * (일별!$A:$A &lt; 월별!$A6), 0))</f>
        <v>#REF!</v>
      </c>
      <c r="DF5" s="173" t="e" cm="1">
        <f t="array" ref="DF5">SUM(_xlfn._xlws.FILTER(일별!#REF!, (일별!$A:$A &gt;= 월별!$A5) * (일별!$A:$A &lt; 월별!$A6), 0))</f>
        <v>#REF!</v>
      </c>
      <c r="DG5" s="173" t="e" cm="1">
        <f t="array" ref="DG5">SUM(_xlfn._xlws.FILTER(일별!#REF!, (일별!$A:$A &gt;= 월별!$A5) * (일별!$A:$A &lt; 월별!$A6), 0))</f>
        <v>#REF!</v>
      </c>
      <c r="DH5" s="173" t="e" cm="1">
        <f t="array" ref="DH5">SUM(_xlfn._xlws.FILTER(일별!#REF!, (일별!$A:$A &gt;= 월별!$A5) * (일별!$A:$A &lt; 월별!$A6), 0))</f>
        <v>#REF!</v>
      </c>
      <c r="DI5" s="174" t="e" cm="1">
        <f t="array" ref="DI5">SUM(_xlfn._xlws.FILTER(일별!#REF!, (일별!$A:$A &gt;= 월별!$A5) * (일별!$A:$A &lt; 월별!$A6), 0))</f>
        <v>#REF!</v>
      </c>
    </row>
    <row r="6" spans="1:113">
      <c r="A6" s="25">
        <v>45689</v>
      </c>
      <c r="B6" s="15">
        <f>SUMIFS(일별!$C:$C,
       일별!$A:$A, "&gt;="&amp;월별!$A6,
       일별!$A:$A, "&lt;"&amp;월별!$A7)</f>
        <v>660</v>
      </c>
      <c r="C6" s="16">
        <f>B6/(월별!$A7 - 월별!$A6)</f>
        <v>23.571428571428573</v>
      </c>
      <c r="D6" s="15">
        <f>SUMIFS(일별!E:E,
       일별!$A:$A, "&gt;="&amp;월별!$A6,
       일별!$A:$A, "&lt;"&amp;월별!$A7)</f>
        <v>2251</v>
      </c>
      <c r="E6" s="16">
        <f>D6/(월별!$A7 - 월별!$A6)</f>
        <v>80.392857142857139</v>
      </c>
      <c r="F6" s="12">
        <f>SUMIFS(일별!G:G,
       일별!$A:$A, "&gt;="&amp;월별!$A6,
       일별!$A:$A, "&lt;"&amp;월별!$A7)</f>
        <v>2332</v>
      </c>
      <c r="G6" s="16">
        <f>F6/(월별!$A7 - 월별!$A6)</f>
        <v>83.285714285714292</v>
      </c>
      <c r="H6" s="15">
        <f t="shared" ref="H6:H16" si="0">D6+F6</f>
        <v>4583</v>
      </c>
      <c r="I6" s="16">
        <f t="shared" ref="I6:I16" si="1">E6+G6</f>
        <v>163.67857142857144</v>
      </c>
      <c r="J6" s="12">
        <f>SUMIFS(일별!I:I,
       일별!$A:$A, "&gt;="&amp;월별!$A6,
       일별!$A:$A, "&lt;"&amp;월별!$A7)</f>
        <v>109</v>
      </c>
      <c r="K6" s="16">
        <f>J6/(월별!$A7 - 월별!$A6)</f>
        <v>3.8928571428571428</v>
      </c>
      <c r="L6" s="12">
        <f>SUMIFS(일별!K:K,
       일별!$A:$A, "&gt;="&amp;월별!$A6,
       일별!$A:$A, "&lt;"&amp;월별!$A7)</f>
        <v>109</v>
      </c>
      <c r="M6" s="16">
        <f>L6/(월별!$A7 - 월별!$A6)</f>
        <v>3.8928571428571428</v>
      </c>
      <c r="N6" s="12">
        <f>SUMIFS(일별!M:M,
       일별!$A:$A, "&gt;="&amp;월별!$A6,
       일별!$A:$A, "&lt;"&amp;월별!$A7)</f>
        <v>25.200000000000273</v>
      </c>
      <c r="O6" s="31">
        <f>N6/(월별!$A7 - 월별!$A6)</f>
        <v>0.90000000000000979</v>
      </c>
      <c r="P6" s="12">
        <f>SUMIFS(일별!O:O,
       일별!$A:$A, "&gt;="&amp;월별!$A6,
       일별!$A:$A, "&lt;"&amp;월별!$A7)</f>
        <v>2754</v>
      </c>
      <c r="Q6" s="16">
        <f>P6/(월별!$A7 - 월별!$A6)</f>
        <v>98.357142857142861</v>
      </c>
      <c r="R6" s="12">
        <f>SUMIFS(일별!Q:Q,
       일별!$A:$A, "&gt;="&amp;월별!$A6,
       일별!$A:$A, "&lt;"&amp;월별!$A7)</f>
        <v>6425</v>
      </c>
      <c r="S6" s="16">
        <f>R6/(월별!$A7 - 월별!$A6)</f>
        <v>229.46428571428572</v>
      </c>
      <c r="T6" s="12">
        <f>SUMIFS(일별!S:S,
       일별!$A:$A, "&gt;="&amp;월별!$A6,
       일별!$A:$A, "&lt;"&amp;월별!$A7)</f>
        <v>0.35999999999999943</v>
      </c>
      <c r="U6" s="16">
        <f>T6/(월별!$A7 - 월별!$A6)</f>
        <v>1.2857142857142836E-2</v>
      </c>
      <c r="V6" s="12">
        <f>SUMIFS(일별!U:U,
       일별!$A:$A, "&gt;="&amp;월별!$A6,
       일별!$A:$A, "&lt;"&amp;월별!$A7)</f>
        <v>-0.53000000000000114</v>
      </c>
      <c r="W6" s="16">
        <f>V6/(월별!$A7 - 월별!$A6)</f>
        <v>-1.8928571428571468E-2</v>
      </c>
      <c r="X6" s="12">
        <f>SUMIFS(일별!W:W,
       일별!$A:$A, "&gt;="&amp;월별!$A6,
       일별!$A:$A, "&lt;"&amp;월별!$A7)</f>
        <v>0</v>
      </c>
      <c r="Y6" s="16">
        <f>X6/(월별!$A7 - 월별!$A6)</f>
        <v>0</v>
      </c>
      <c r="Z6" s="15">
        <f>SUMIFS(일별!X:X,
       일별!$A:$A, "&gt;="&amp;월별!$A6,
       일별!$A:$A, "&lt;"&amp;월별!$A7)</f>
        <v>3558569.9999999986</v>
      </c>
      <c r="AA6" s="12">
        <f>SUMIFS(일별!Y:Y,
       일별!$A:$A, "&gt;="&amp;월별!$A6,
       일별!$A:$A, "&lt;"&amp;월별!$A7)</f>
        <v>188</v>
      </c>
      <c r="AB6" s="12">
        <f>SUMIFS(일별!Z:Z,
       일별!$A:$A, "&gt;="&amp;월별!$A6,
       일별!$A:$A, "&lt;"&amp;월별!$A7)</f>
        <v>0</v>
      </c>
      <c r="AC6" s="12">
        <f>SUMIFS(일별!AA:AA,
       일별!$A:$A, "&gt;="&amp;월별!$A6,
       일별!$A:$A, "&lt;"&amp;월별!$A7)</f>
        <v>0</v>
      </c>
      <c r="AD6" s="12">
        <f>SUMIFS(일별!AB:AB,
       일별!$A:$A, "&gt;="&amp;월별!$A6,
       일별!$A:$A, "&lt;"&amp;월별!$A7)</f>
        <v>0</v>
      </c>
      <c r="AE6" s="16">
        <f>SUMIFS(일별!AC:AC,
       일별!$A:$A, "&gt;="&amp;월별!$A6,
       일별!$A:$A, "&lt;"&amp;월별!$A7)</f>
        <v>188</v>
      </c>
      <c r="AF6" s="15">
        <f>SUMIFS(일별!AD:AD,
       일별!$A:$A, "&gt;="&amp;월별!$A6,
       일별!$A:$A, "&lt;"&amp;월별!$A7)</f>
        <v>454</v>
      </c>
      <c r="AG6" s="12">
        <f>SUMIFS(일별!AE:AE,
       일별!$A:$A, "&gt;="&amp;월별!$A6,
       일별!$A:$A, "&lt;"&amp;월별!$A7)</f>
        <v>0</v>
      </c>
      <c r="AH6" s="12">
        <f>SUMIFS(일별!AF:AF,
       일별!$A:$A, "&gt;="&amp;월별!$A6,
       일별!$A:$A, "&lt;"&amp;월별!$A7)</f>
        <v>0</v>
      </c>
      <c r="AI6" s="16">
        <f>SUMIFS(일별!AG:AG,
       일별!$A:$A, "&gt;="&amp;월별!$A6,
       일별!$A:$A, "&lt;"&amp;월별!$A7)</f>
        <v>0</v>
      </c>
      <c r="AJ6" s="15">
        <f>SUMIFS(일별!AX:AX,
       일별!$A:$A, "&gt;="&amp;월별!$A6,
       일별!$A:$A, "&lt;"&amp;월별!$A7)</f>
        <v>22695.8</v>
      </c>
      <c r="AK6" s="12">
        <f>SUMIFS(일별!AY:AY,
       일별!$A:$A, "&gt;="&amp;월별!$A6,
       일별!$A:$A, "&lt;"&amp;월별!$A7)</f>
        <v>0</v>
      </c>
      <c r="AL6" s="12">
        <f>SUMIFS(일별!AZ:AZ,
       일별!$A:$A, "&gt;="&amp;월별!$A6,
       일별!$A:$A, "&lt;"&amp;월별!$A7)</f>
        <v>0</v>
      </c>
      <c r="AM6" s="12">
        <f>SUMIFS(일별!BA:BA,
       일별!$A:$A, "&gt;="&amp;월별!$A6,
       일별!$A:$A, "&lt;"&amp;월별!$A7)</f>
        <v>0</v>
      </c>
      <c r="AN6" s="12">
        <f>SUMIFS(일별!BB:BB,
       일별!$A:$A, "&gt;="&amp;월별!$A6,
       일별!$A:$A, "&lt;"&amp;월별!$A7)</f>
        <v>0</v>
      </c>
      <c r="AO6" s="16">
        <f>SUMIFS(일별!BC:BC,
       일별!$A:$A, "&gt;="&amp;월별!$A6,
       일별!$A:$A, "&lt;"&amp;월별!$A7)</f>
        <v>22695.8</v>
      </c>
      <c r="AP6" s="18" t="e" cm="1">
        <f t="array" ref="AP6">SUM(_xlfn._xlws.FILTER(일별!#REF!, (일별!$A:$A &gt;= 월별!$A6) * (일별!$A:$A &lt; 월별!$A7), 0))</f>
        <v>#REF!</v>
      </c>
      <c r="AQ6" s="20" t="e">
        <f>AP6/(월별!$A7 - 월별!$A6)</f>
        <v>#REF!</v>
      </c>
      <c r="AR6" s="20" t="e" cm="1">
        <f t="array" ref="AR6">SUM(_xlfn._xlws.FILTER(일별!#REF!, (일별!$A:$A &gt;= 월별!$A6) * (일별!$A:$A &lt; 월별!$A7), 0))</f>
        <v>#REF!</v>
      </c>
      <c r="AS6" s="20" t="e">
        <f>AR6/(월별!$A7 - 월별!$A6)</f>
        <v>#REF!</v>
      </c>
      <c r="AT6" s="20" t="e" cm="1">
        <f t="array" ref="AT6">SUM(_xlfn._xlws.FILTER(일별!#REF!, (일별!$A:$A &gt;= 월별!$A6) * (일별!$A:$A &lt; 월별!$A7), 0))</f>
        <v>#REF!</v>
      </c>
      <c r="AU6" s="20" t="e">
        <f>AT6/(월별!$A7 - 월별!$A6)</f>
        <v>#REF!</v>
      </c>
      <c r="AV6" s="18" t="e" cm="1">
        <f t="array" ref="AV6">SUM(_xlfn._xlws.FILTER(일별!#REF!, (일별!$A:$A &gt;= 월별!$A6) * (일별!$A:$A &lt; 월별!$A7), 0))</f>
        <v>#REF!</v>
      </c>
      <c r="AW6" s="20" t="e" cm="1">
        <f t="array" ref="AW6">SUM(_xlfn._xlws.FILTER(일별!#REF!, (일별!$A:$A &gt;= 월별!$A6) * (일별!$A:$A &lt; 월별!$A7), 0))</f>
        <v>#REF!</v>
      </c>
      <c r="AX6" s="20" t="e" cm="1">
        <f t="array" ref="AX6">SUM(_xlfn._xlws.FILTER(일별!#REF!, (일별!$A:$A &gt;= 월별!$A6) * (일별!$A:$A &lt; 월별!$A7), 0))</f>
        <v>#REF!</v>
      </c>
      <c r="AY6" s="20" t="e" cm="1">
        <f t="array" ref="AY6">SUM(_xlfn._xlws.FILTER(일별!#REF!, (일별!$A:$A &gt;= 월별!$A6) * (일별!$A:$A &lt; 월별!$A7), 0))</f>
        <v>#REF!</v>
      </c>
      <c r="AZ6" s="20" t="e" cm="1">
        <f t="array" ref="AZ6">SUM(_xlfn._xlws.FILTER(일별!#REF!, (일별!$A:$A &gt;= 월별!$A6) * (일별!$A:$A &lt; 월별!$A7), 0))</f>
        <v>#REF!</v>
      </c>
      <c r="BA6" s="20" t="e" cm="1">
        <f t="array" ref="BA6">SUM(_xlfn._xlws.FILTER(일별!#REF!, (일별!$A:$A &gt;= 월별!$A6) * (일별!$A:$A &lt; 월별!$A7), 0))</f>
        <v>#REF!</v>
      </c>
      <c r="BB6" s="20" t="e" cm="1">
        <f t="array" ref="BB6">SUM(_xlfn._xlws.FILTER(일별!#REF!, (일별!$A:$A &gt;= 월별!$A6) * (일별!$A:$A &lt; 월별!$A7), 0))</f>
        <v>#REF!</v>
      </c>
      <c r="BC6" s="20" t="e" cm="1">
        <f t="array" ref="BC6">SUM(_xlfn._xlws.FILTER(일별!#REF!, (일별!$A:$A &gt;= 월별!$A6) * (일별!$A:$A &lt; 월별!$A7), 0))</f>
        <v>#REF!</v>
      </c>
      <c r="BD6" s="20" t="e" cm="1">
        <f t="array" ref="BD6">SUM(_xlfn._xlws.FILTER(일별!#REF!, (일별!$A:$A &gt;= 월별!$A6) * (일별!$A:$A &lt; 월별!$A7), 0))</f>
        <v>#REF!</v>
      </c>
      <c r="BE6" s="20" t="e" cm="1">
        <f t="array" ref="BE6">SUM(_xlfn._xlws.FILTER(일별!#REF!, (일별!$A:$A &gt;= 월별!$A6) * (일별!$A:$A &lt; 월별!$A7), 0))</f>
        <v>#REF!</v>
      </c>
      <c r="BF6" s="20" t="e" cm="1">
        <f t="array" ref="BF6">SUM(_xlfn._xlws.FILTER(일별!#REF!, (일별!$A:$A &gt;= 월별!$A6) * (일별!$A:$A &lt; 월별!$A7), 0))</f>
        <v>#REF!</v>
      </c>
      <c r="BG6" s="20" t="e" cm="1">
        <f t="array" ref="BG6">SUM(_xlfn._xlws.FILTER(일별!#REF!, (일별!$A:$A &gt;= 월별!$A6) * (일별!$A:$A &lt; 월별!$A7), 0))</f>
        <v>#REF!</v>
      </c>
      <c r="BH6" s="20" t="e" cm="1">
        <f t="array" ref="BH6">SUM(_xlfn._xlws.FILTER(일별!#REF!, (일별!$A:$A &gt;= 월별!$A6) * (일별!$A:$A &lt; 월별!$A7), 0))</f>
        <v>#REF!</v>
      </c>
      <c r="BI6" s="20" t="e" cm="1">
        <f t="array" ref="BI6">SUM(_xlfn._xlws.FILTER(일별!#REF!, (일별!$A:$A &gt;= 월별!$A6) * (일별!$A:$A &lt; 월별!$A7), 0))</f>
        <v>#REF!</v>
      </c>
      <c r="BJ6" s="20" t="e" cm="1">
        <f t="array" ref="BJ6">SUM(_xlfn._xlws.FILTER(일별!#REF!, (일별!$A:$A &gt;= 월별!$A6) * (일별!$A:$A &lt; 월별!$A7), 0))</f>
        <v>#REF!</v>
      </c>
      <c r="BK6" s="20" t="e" cm="1">
        <f t="array" ref="BK6">SUM(_xlfn._xlws.FILTER(일별!#REF!, (일별!$A:$A &gt;= 월별!$A6) * (일별!$A:$A &lt; 월별!$A7), 0))</f>
        <v>#REF!</v>
      </c>
      <c r="BL6" s="20" t="e" cm="1">
        <f t="array" ref="BL6">SUM(_xlfn._xlws.FILTER(일별!#REF!, (일별!$A:$A &gt;= 월별!$A6) * (일별!$A:$A &lt; 월별!$A7), 0))</f>
        <v>#REF!</v>
      </c>
      <c r="BM6" s="20" t="e" cm="1">
        <f t="array" ref="BM6">SUM(_xlfn._xlws.FILTER(일별!#REF!, (일별!$A:$A &gt;= 월별!$A6) * (일별!$A:$A &lt; 월별!$A7), 0))</f>
        <v>#REF!</v>
      </c>
      <c r="BN6" s="20" t="e" cm="1">
        <f t="array" ref="BN6">SUM(_xlfn._xlws.FILTER(일별!#REF!, (일별!$A:$A &gt;= 월별!$A6) * (일별!$A:$A &lt; 월별!$A7), 0))</f>
        <v>#REF!</v>
      </c>
      <c r="BO6" s="20" t="e" cm="1">
        <f t="array" ref="BO6">SUM(_xlfn._xlws.FILTER(일별!#REF!, (일별!$A:$A &gt;= 월별!$A6) * (일별!$A:$A &lt; 월별!$A7), 0))</f>
        <v>#REF!</v>
      </c>
      <c r="BP6" s="20" t="e" cm="1">
        <f t="array" ref="BP6">SUM(_xlfn._xlws.FILTER(일별!#REF!, (일별!$A:$A &gt;= 월별!$A6) * (일별!$A:$A &lt; 월별!$A7), 0))</f>
        <v>#REF!</v>
      </c>
      <c r="BQ6" s="19" t="e" cm="1">
        <f t="array" ref="BQ6">SUM(_xlfn._xlws.FILTER(일별!#REF!, (일별!$A:$A &gt;= 월별!$A6) * (일별!$A:$A &lt; 월별!$A7), 0))</f>
        <v>#REF!</v>
      </c>
      <c r="BR6" s="18" t="e" cm="1">
        <f t="array" ref="BR6">SUM(_xlfn._xlws.FILTER(일별!#REF!, (일별!$A:$A &gt;= 월별!$A6) * (일별!$A:$A &lt; 월별!$A7), 0))</f>
        <v>#REF!</v>
      </c>
      <c r="BS6" s="20" t="e" cm="1">
        <f t="array" ref="BS6">SUM(_xlfn._xlws.FILTER(일별!#REF!, (일별!$A:$A &gt;= 월별!$A6) * (일별!$A:$A &lt; 월별!$A7), 0))</f>
        <v>#REF!</v>
      </c>
      <c r="BT6" s="20" t="e" cm="1">
        <f t="array" ref="BT6">SUM(_xlfn._xlws.FILTER(일별!#REF!, (일별!$A:$A &gt;= 월별!$A6) * (일별!$A:$A &lt; 월별!$A7), 0))</f>
        <v>#REF!</v>
      </c>
      <c r="BU6" s="20" t="e" cm="1">
        <f t="array" ref="BU6">SUM(_xlfn._xlws.FILTER(일별!#REF!, (일별!$A:$A &gt;= 월별!$A6) * (일별!$A:$A &lt; 월별!$A7), 0))</f>
        <v>#REF!</v>
      </c>
      <c r="BV6" s="20" t="e" cm="1">
        <f t="array" ref="BV6">SUM(_xlfn._xlws.FILTER(일별!#REF!, (일별!$A:$A &gt;= 월별!$A6) * (일별!$A:$A &lt; 월별!$A7), 0))</f>
        <v>#REF!</v>
      </c>
      <c r="BW6" s="20" t="e" cm="1">
        <f t="array" ref="BW6">SUM(_xlfn._xlws.FILTER(일별!#REF!, (일별!$A:$A &gt;= 월별!$A6) * (일별!$A:$A &lt; 월별!$A7), 0))</f>
        <v>#REF!</v>
      </c>
      <c r="BX6" s="20" t="e" cm="1">
        <f t="array" ref="BX6">SUM(_xlfn._xlws.FILTER(일별!#REF!, (일별!$A:$A &gt;= 월별!$A6) * (일별!$A:$A &lt; 월별!$A7), 0))</f>
        <v>#REF!</v>
      </c>
      <c r="BY6" s="20" t="e" cm="1">
        <f t="array" ref="BY6">SUM(_xlfn._xlws.FILTER(일별!#REF!, (일별!$A:$A &gt;= 월별!$A6) * (일별!$A:$A &lt; 월별!$A7), 0))</f>
        <v>#REF!</v>
      </c>
      <c r="BZ6" s="20" t="e" cm="1">
        <f t="array" ref="BZ6">SUM(_xlfn._xlws.FILTER(일별!#REF!, (일별!$A:$A &gt;= 월별!$A6) * (일별!$A:$A &lt; 월별!$A7), 0))</f>
        <v>#REF!</v>
      </c>
      <c r="CA6" s="20" t="e" cm="1">
        <f t="array" ref="CA6">SUM(_xlfn._xlws.FILTER(일별!#REF!, (일별!$A:$A &gt;= 월별!$A6) * (일별!$A:$A &lt; 월별!$A7), 0))</f>
        <v>#REF!</v>
      </c>
      <c r="CB6" s="20" t="e" cm="1">
        <f t="array" ref="CB6">SUM(_xlfn._xlws.FILTER(일별!#REF!, (일별!$A:$A &gt;= 월별!$A6) * (일별!$A:$A &lt; 월별!$A7), 0))</f>
        <v>#REF!</v>
      </c>
      <c r="CC6" s="20" t="e" cm="1">
        <f t="array" ref="CC6">SUM(_xlfn._xlws.FILTER(일별!#REF!, (일별!$A:$A &gt;= 월별!$A6) * (일별!$A:$A &lt; 월별!$A7), 0))</f>
        <v>#REF!</v>
      </c>
      <c r="CD6" s="20" t="e" cm="1">
        <f t="array" ref="CD6">SUM(_xlfn._xlws.FILTER(일별!#REF!, (일별!$A:$A &gt;= 월별!$A6) * (일별!$A:$A &lt; 월별!$A7), 0))</f>
        <v>#REF!</v>
      </c>
      <c r="CE6" s="20" t="e" cm="1">
        <f t="array" ref="CE6">SUM(_xlfn._xlws.FILTER(일별!#REF!, (일별!$A:$A &gt;= 월별!$A6) * (일별!$A:$A &lt; 월별!$A7), 0))</f>
        <v>#REF!</v>
      </c>
      <c r="CF6" s="20" t="e" cm="1">
        <f t="array" ref="CF6">SUM(_xlfn._xlws.FILTER(일별!#REF!, (일별!$A:$A &gt;= 월별!$A6) * (일별!$A:$A &lt; 월별!$A7), 0))</f>
        <v>#REF!</v>
      </c>
      <c r="CG6" s="20" t="e" cm="1">
        <f t="array" ref="CG6">SUM(_xlfn._xlws.FILTER(일별!#REF!, (일별!$A:$A &gt;= 월별!$A6) * (일별!$A:$A &lt; 월별!$A7), 0))</f>
        <v>#REF!</v>
      </c>
      <c r="CH6" s="20" t="e" cm="1">
        <f t="array" ref="CH6">SUM(_xlfn._xlws.FILTER(일별!#REF!, (일별!$A:$A &gt;= 월별!$A6) * (일별!$A:$A &lt; 월별!$A7), 0))</f>
        <v>#REF!</v>
      </c>
      <c r="CI6" s="20" t="e" cm="1">
        <f t="array" ref="CI6">SUM(_xlfn._xlws.FILTER(일별!#REF!, (일별!$A:$A &gt;= 월별!$A6) * (일별!$A:$A &lt; 월별!$A7), 0))</f>
        <v>#REF!</v>
      </c>
      <c r="CJ6" s="20" t="e" cm="1">
        <f t="array" ref="CJ6">SUM(_xlfn._xlws.FILTER(일별!#REF!, (일별!$A:$A &gt;= 월별!$A6) * (일별!$A:$A &lt; 월별!$A7), 0))</f>
        <v>#REF!</v>
      </c>
      <c r="CK6" s="20" t="e" cm="1">
        <f t="array" ref="CK6">SUM(_xlfn._xlws.FILTER(일별!#REF!, (일별!$A:$A &gt;= 월별!$A6) * (일별!$A:$A &lt; 월별!$A7), 0))</f>
        <v>#REF!</v>
      </c>
      <c r="CL6" s="20" t="e" cm="1">
        <f t="array" ref="CL6">SUM(_xlfn._xlws.FILTER(일별!#REF!, (일별!$A:$A &gt;= 월별!$A6) * (일별!$A:$A &lt; 월별!$A7), 0))</f>
        <v>#REF!</v>
      </c>
      <c r="CM6" s="19" t="e" cm="1">
        <f t="array" ref="CM6">SUM(_xlfn._xlws.FILTER(일별!#REF!, (일별!$A:$A &gt;= 월별!$A6) * (일별!$A:$A &lt; 월별!$A7), 0))</f>
        <v>#REF!</v>
      </c>
      <c r="CN6" s="18" t="e" cm="1">
        <f t="array" ref="CN6">SUM(_xlfn._xlws.FILTER(일별!#REF!, (일별!$A:$A &gt;= 월별!$A6) * (일별!$A:$A &lt; 월별!$A7), 0))</f>
        <v>#REF!</v>
      </c>
      <c r="CO6" s="20" t="e" cm="1">
        <f t="array" ref="CO6">SUM(_xlfn._xlws.FILTER(일별!#REF!, (일별!$A:$A &gt;= 월별!$A6) * (일별!$A:$A &lt; 월별!$A7), 0))</f>
        <v>#REF!</v>
      </c>
      <c r="CP6" s="20" t="e" cm="1">
        <f t="array" ref="CP6">SUM(_xlfn._xlws.FILTER(일별!#REF!, (일별!$A:$A &gt;= 월별!$A6) * (일별!$A:$A &lt; 월별!$A7), 0))</f>
        <v>#REF!</v>
      </c>
      <c r="CQ6" s="20" t="e" cm="1">
        <f t="array" ref="CQ6">SUM(_xlfn._xlws.FILTER(일별!#REF!, (일별!$A:$A &gt;= 월별!$A6) * (일별!$A:$A &lt; 월별!$A7), 0))</f>
        <v>#REF!</v>
      </c>
      <c r="CR6" s="20" t="e" cm="1">
        <f t="array" ref="CR6">SUM(_xlfn._xlws.FILTER(일별!#REF!, (일별!$A:$A &gt;= 월별!$A6) * (일별!$A:$A &lt; 월별!$A7), 0))</f>
        <v>#REF!</v>
      </c>
      <c r="CS6" s="20" t="e" cm="1">
        <f t="array" ref="CS6">SUM(_xlfn._xlws.FILTER(일별!#REF!, (일별!$A:$A &gt;= 월별!$A6) * (일별!$A:$A &lt; 월별!$A7), 0))</f>
        <v>#REF!</v>
      </c>
      <c r="CT6" s="20" t="e" cm="1">
        <f t="array" ref="CT6">SUM(_xlfn._xlws.FILTER(일별!#REF!, (일별!$A:$A &gt;= 월별!$A6) * (일별!$A:$A &lt; 월별!$A7), 0))</f>
        <v>#REF!</v>
      </c>
      <c r="CU6" s="20" t="e" cm="1">
        <f t="array" ref="CU6">SUM(_xlfn._xlws.FILTER(일별!#REF!, (일별!$A:$A &gt;= 월별!$A6) * (일별!$A:$A &lt; 월별!$A7), 0))</f>
        <v>#REF!</v>
      </c>
      <c r="CV6" s="20" t="e" cm="1">
        <f t="array" ref="CV6">SUM(_xlfn._xlws.FILTER(일별!#REF!, (일별!$A:$A &gt;= 월별!$A6) * (일별!$A:$A &lt; 월별!$A7), 0))</f>
        <v>#REF!</v>
      </c>
      <c r="CW6" s="20" t="e" cm="1">
        <f t="array" ref="CW6">SUM(_xlfn._xlws.FILTER(일별!#REF!, (일별!$A:$A &gt;= 월별!$A6) * (일별!$A:$A &lt; 월별!$A7), 0))</f>
        <v>#REF!</v>
      </c>
      <c r="CX6" s="20" t="e" cm="1">
        <f t="array" ref="CX6">SUM(_xlfn._xlws.FILTER(일별!#REF!, (일별!$A:$A &gt;= 월별!$A6) * (일별!$A:$A &lt; 월별!$A7), 0))</f>
        <v>#REF!</v>
      </c>
      <c r="CY6" s="20" t="e" cm="1">
        <f t="array" ref="CY6">SUM(_xlfn._xlws.FILTER(일별!#REF!, (일별!$A:$A &gt;= 월별!$A6) * (일별!$A:$A &lt; 월별!$A7), 0))</f>
        <v>#REF!</v>
      </c>
      <c r="CZ6" s="20" t="e" cm="1">
        <f t="array" ref="CZ6">SUM(_xlfn._xlws.FILTER(일별!#REF!, (일별!$A:$A &gt;= 월별!$A6) * (일별!$A:$A &lt; 월별!$A7), 0))</f>
        <v>#REF!</v>
      </c>
      <c r="DA6" s="20" t="e" cm="1">
        <f t="array" ref="DA6">SUM(_xlfn._xlws.FILTER(일별!#REF!, (일별!$A:$A &gt;= 월별!$A6) * (일별!$A:$A &lt; 월별!$A7), 0))</f>
        <v>#REF!</v>
      </c>
      <c r="DB6" s="20" t="e" cm="1">
        <f t="array" ref="DB6">SUM(_xlfn._xlws.FILTER(일별!#REF!, (일별!$A:$A &gt;= 월별!$A6) * (일별!$A:$A &lt; 월별!$A7), 0))</f>
        <v>#REF!</v>
      </c>
      <c r="DC6" s="20" t="e" cm="1">
        <f t="array" ref="DC6">SUM(_xlfn._xlws.FILTER(일별!#REF!, (일별!$A:$A &gt;= 월별!$A6) * (일별!$A:$A &lt; 월별!$A7), 0))</f>
        <v>#REF!</v>
      </c>
      <c r="DD6" s="20" t="e" cm="1">
        <f t="array" ref="DD6">SUM(_xlfn._xlws.FILTER(일별!#REF!, (일별!$A:$A &gt;= 월별!$A6) * (일별!$A:$A &lt; 월별!$A7), 0))</f>
        <v>#REF!</v>
      </c>
      <c r="DE6" s="20" t="e" cm="1">
        <f t="array" ref="DE6">SUM(_xlfn._xlws.FILTER(일별!#REF!, (일별!$A:$A &gt;= 월별!$A6) * (일별!$A:$A &lt; 월별!$A7), 0))</f>
        <v>#REF!</v>
      </c>
      <c r="DF6" s="20" t="e" cm="1">
        <f t="array" ref="DF6">SUM(_xlfn._xlws.FILTER(일별!#REF!, (일별!$A:$A &gt;= 월별!$A6) * (일별!$A:$A &lt; 월별!$A7), 0))</f>
        <v>#REF!</v>
      </c>
      <c r="DG6" s="20" t="e" cm="1">
        <f t="array" ref="DG6">SUM(_xlfn._xlws.FILTER(일별!#REF!, (일별!$A:$A &gt;= 월별!$A6) * (일별!$A:$A &lt; 월별!$A7), 0))</f>
        <v>#REF!</v>
      </c>
      <c r="DH6" s="20" t="e" cm="1">
        <f t="array" ref="DH6">SUM(_xlfn._xlws.FILTER(일별!#REF!, (일별!$A:$A &gt;= 월별!$A6) * (일별!$A:$A &lt; 월별!$A7), 0))</f>
        <v>#REF!</v>
      </c>
      <c r="DI6" s="19" t="e" cm="1">
        <f t="array" ref="DI6">SUM(_xlfn._xlws.FILTER(일별!#REF!, (일별!$A:$A &gt;= 월별!$A6) * (일별!$A:$A &lt; 월별!$A7), 0))</f>
        <v>#REF!</v>
      </c>
    </row>
    <row r="7" spans="1:113">
      <c r="A7" s="25">
        <v>45717</v>
      </c>
      <c r="B7" s="15">
        <f>SUMIFS(일별!$C:$C,
       일별!$A:$A, "&gt;="&amp;월별!$A7,
       일별!$A:$A, "&lt;"&amp;월별!$A8)</f>
        <v>713</v>
      </c>
      <c r="C7" s="16">
        <f>B7/(월별!$A8 - 월별!$A7)</f>
        <v>23</v>
      </c>
      <c r="D7" s="15">
        <f>SUMIFS(일별!E:E,
       일별!$A:$A, "&gt;="&amp;월별!$A7,
       일별!$A:$A, "&lt;"&amp;월별!$A8)</f>
        <v>2134</v>
      </c>
      <c r="E7" s="16">
        <f>D7/(월별!$A8 - 월별!$A7)</f>
        <v>68.838709677419359</v>
      </c>
      <c r="F7" s="12">
        <f>SUMIFS(일별!G:G,
       일별!$A:$A, "&gt;="&amp;월별!$A7,
       일별!$A:$A, "&lt;"&amp;월별!$A8)</f>
        <v>2103</v>
      </c>
      <c r="G7" s="16">
        <f>F7/(월별!$A8 - 월별!$A7)</f>
        <v>67.838709677419359</v>
      </c>
      <c r="H7" s="15">
        <f t="shared" si="0"/>
        <v>4237</v>
      </c>
      <c r="I7" s="16">
        <f t="shared" si="1"/>
        <v>136.67741935483872</v>
      </c>
      <c r="J7" s="12">
        <f>SUMIFS(일별!I:I,
       일별!$A:$A, "&gt;="&amp;월별!$A7,
       일별!$A:$A, "&lt;"&amp;월별!$A8)</f>
        <v>149</v>
      </c>
      <c r="K7" s="16">
        <f>J7/(월별!$A8 - 월별!$A7)</f>
        <v>4.806451612903226</v>
      </c>
      <c r="L7" s="12">
        <f>SUMIFS(일별!K:K,
       일별!$A:$A, "&gt;="&amp;월별!$A7,
       일별!$A:$A, "&lt;"&amp;월별!$A8)</f>
        <v>149</v>
      </c>
      <c r="M7" s="16">
        <f>L7/(월별!$A8 - 월별!$A7)</f>
        <v>4.806451612903226</v>
      </c>
      <c r="N7" s="12">
        <f>SUMIFS(일별!M:M,
       일별!$A:$A, "&gt;="&amp;월별!$A7,
       일별!$A:$A, "&lt;"&amp;월별!$A8)</f>
        <v>27.599999999999909</v>
      </c>
      <c r="O7" s="31">
        <f>N7/(월별!$A8 - 월별!$A7)</f>
        <v>0.89032258064515835</v>
      </c>
      <c r="P7" s="12">
        <f>SUMIFS(일별!O:O,
       일별!$A:$A, "&gt;="&amp;월별!$A7,
       일별!$A:$A, "&lt;"&amp;월별!$A8)</f>
        <v>2418</v>
      </c>
      <c r="Q7" s="16">
        <f>P7/(월별!$A8 - 월별!$A7)</f>
        <v>78</v>
      </c>
      <c r="R7" s="12">
        <f>SUMIFS(일별!Q:Q,
       일별!$A:$A, "&gt;="&amp;월별!$A7,
       일별!$A:$A, "&lt;"&amp;월별!$A8)</f>
        <v>7085</v>
      </c>
      <c r="S7" s="16">
        <f>R7/(월별!$A8 - 월별!$A7)</f>
        <v>228.54838709677421</v>
      </c>
      <c r="T7" s="12">
        <f>SUMIFS(일별!S:S,
       일별!$A:$A, "&gt;="&amp;월별!$A7,
       일별!$A:$A, "&lt;"&amp;월별!$A8)</f>
        <v>-0.35999999999999943</v>
      </c>
      <c r="U7" s="16">
        <f>T7/(월별!$A8 - 월별!$A7)</f>
        <v>-1.1612903225806433E-2</v>
      </c>
      <c r="V7" s="12">
        <f>SUMIFS(일별!U:U,
       일별!$A:$A, "&gt;="&amp;월별!$A7,
       일별!$A:$A, "&lt;"&amp;월별!$A8)</f>
        <v>-0.36999999999999744</v>
      </c>
      <c r="W7" s="16">
        <f>V7/(월별!$A8 - 월별!$A7)</f>
        <v>-1.1935483870967659E-2</v>
      </c>
      <c r="X7" s="12">
        <f>SUMIFS(일별!W:W,
       일별!$A:$A, "&gt;="&amp;월별!$A7,
       일별!$A:$A, "&lt;"&amp;월별!$A8)</f>
        <v>0</v>
      </c>
      <c r="Y7" s="16">
        <f>X7/(월별!$A8 - 월별!$A7)</f>
        <v>0</v>
      </c>
      <c r="Z7" s="15">
        <f>SUMIFS(일별!X:X,
       일별!$A:$A, "&gt;="&amp;월별!$A7,
       일별!$A:$A, "&lt;"&amp;월별!$A8)</f>
        <v>1865810.0000000147</v>
      </c>
      <c r="AA7" s="12">
        <f>SUMIFS(일별!Y:Y,
       일별!$A:$A, "&gt;="&amp;월별!$A7,
       일별!$A:$A, "&lt;"&amp;월별!$A8)</f>
        <v>403</v>
      </c>
      <c r="AB7" s="12">
        <f>SUMIFS(일별!Z:Z,
       일별!$A:$A, "&gt;="&amp;월별!$A7,
       일별!$A:$A, "&lt;"&amp;월별!$A8)</f>
        <v>0</v>
      </c>
      <c r="AC7" s="12">
        <f>SUMIFS(일별!AA:AA,
       일별!$A:$A, "&gt;="&amp;월별!$A7,
       일별!$A:$A, "&lt;"&amp;월별!$A8)</f>
        <v>0</v>
      </c>
      <c r="AD7" s="12">
        <f>SUMIFS(일별!AB:AB,
       일별!$A:$A, "&gt;="&amp;월별!$A7,
       일별!$A:$A, "&lt;"&amp;월별!$A8)</f>
        <v>0</v>
      </c>
      <c r="AE7" s="16">
        <f>SUMIFS(일별!AC:AC,
       일별!$A:$A, "&gt;="&amp;월별!$A7,
       일별!$A:$A, "&lt;"&amp;월별!$A8)</f>
        <v>403</v>
      </c>
      <c r="AF7" s="15">
        <f>SUMIFS(일별!AD:AD,
       일별!$A:$A, "&gt;="&amp;월별!$A7,
       일별!$A:$A, "&lt;"&amp;월별!$A8)</f>
        <v>278</v>
      </c>
      <c r="AG7" s="12">
        <f>SUMIFS(일별!AE:AE,
       일별!$A:$A, "&gt;="&amp;월별!$A7,
       일별!$A:$A, "&lt;"&amp;월별!$A8)</f>
        <v>0</v>
      </c>
      <c r="AH7" s="12">
        <f>SUMIFS(일별!AF:AF,
       일별!$A:$A, "&gt;="&amp;월별!$A7,
       일별!$A:$A, "&lt;"&amp;월별!$A8)</f>
        <v>0</v>
      </c>
      <c r="AI7" s="16">
        <f>SUMIFS(일별!AG:AG,
       일별!$A:$A, "&gt;="&amp;월별!$A7,
       일별!$A:$A, "&lt;"&amp;월별!$A8)</f>
        <v>0</v>
      </c>
      <c r="AJ7" s="15">
        <f>SUMIFS(일별!AX:AX,
       일별!$A:$A, "&gt;="&amp;월별!$A7,
       일별!$A:$A, "&lt;"&amp;월별!$A8)</f>
        <v>11730.299999999988</v>
      </c>
      <c r="AK7" s="12">
        <f>SUMIFS(일별!AY:AY,
       일별!$A:$A, "&gt;="&amp;월별!$A7,
       일별!$A:$A, "&lt;"&amp;월별!$A8)</f>
        <v>0</v>
      </c>
      <c r="AL7" s="12">
        <f>SUMIFS(일별!AZ:AZ,
       일별!$A:$A, "&gt;="&amp;월별!$A7,
       일별!$A:$A, "&lt;"&amp;월별!$A8)</f>
        <v>0</v>
      </c>
      <c r="AM7" s="12">
        <f>SUMIFS(일별!BA:BA,
       일별!$A:$A, "&gt;="&amp;월별!$A7,
       일별!$A:$A, "&lt;"&amp;월별!$A8)</f>
        <v>0</v>
      </c>
      <c r="AN7" s="12">
        <f>SUMIFS(일별!BB:BB,
       일별!$A:$A, "&gt;="&amp;월별!$A7,
       일별!$A:$A, "&lt;"&amp;월별!$A8)</f>
        <v>0</v>
      </c>
      <c r="AO7" s="16">
        <f>SUMIFS(일별!BC:BC,
       일별!$A:$A, "&gt;="&amp;월별!$A7,
       일별!$A:$A, "&lt;"&amp;월별!$A8)</f>
        <v>11730.299999999988</v>
      </c>
      <c r="AP7" s="18" t="e" cm="1">
        <f t="array" ref="AP7">SUM(_xlfn._xlws.FILTER(일별!#REF!, (일별!$A:$A &gt;= 월별!$A7) * (일별!$A:$A &lt; 월별!$A8), 0))</f>
        <v>#REF!</v>
      </c>
      <c r="AQ7" s="20" t="e">
        <f>AP7/(월별!$A8 - 월별!$A7)</f>
        <v>#REF!</v>
      </c>
      <c r="AR7" s="20" t="e" cm="1">
        <f t="array" ref="AR7">SUM(_xlfn._xlws.FILTER(일별!#REF!, (일별!$A:$A &gt;= 월별!$A7) * (일별!$A:$A &lt; 월별!$A8), 0))</f>
        <v>#REF!</v>
      </c>
      <c r="AS7" s="20" t="e">
        <f>AR7/(월별!$A8 - 월별!$A7)</f>
        <v>#REF!</v>
      </c>
      <c r="AT7" s="20" t="e" cm="1">
        <f t="array" ref="AT7">SUM(_xlfn._xlws.FILTER(일별!#REF!, (일별!$A:$A &gt;= 월별!$A7) * (일별!$A:$A &lt; 월별!$A8), 0))</f>
        <v>#REF!</v>
      </c>
      <c r="AU7" s="20" t="e">
        <f>AT7/(월별!$A8 - 월별!$A7)</f>
        <v>#REF!</v>
      </c>
      <c r="AV7" s="18" t="e" cm="1">
        <f t="array" ref="AV7">SUM(_xlfn._xlws.FILTER(일별!#REF!, (일별!$A:$A &gt;= 월별!$A7) * (일별!$A:$A &lt; 월별!$A8), 0))</f>
        <v>#REF!</v>
      </c>
      <c r="AW7" s="20" t="e" cm="1">
        <f t="array" ref="AW7">SUM(_xlfn._xlws.FILTER(일별!#REF!, (일별!$A:$A &gt;= 월별!$A7) * (일별!$A:$A &lt; 월별!$A8), 0))</f>
        <v>#REF!</v>
      </c>
      <c r="AX7" s="20" t="e" cm="1">
        <f t="array" ref="AX7">SUM(_xlfn._xlws.FILTER(일별!#REF!, (일별!$A:$A &gt;= 월별!$A7) * (일별!$A:$A &lt; 월별!$A8), 0))</f>
        <v>#REF!</v>
      </c>
      <c r="AY7" s="20" t="e" cm="1">
        <f t="array" ref="AY7">SUM(_xlfn._xlws.FILTER(일별!#REF!, (일별!$A:$A &gt;= 월별!$A7) * (일별!$A:$A &lt; 월별!$A8), 0))</f>
        <v>#REF!</v>
      </c>
      <c r="AZ7" s="20" t="e" cm="1">
        <f t="array" ref="AZ7">SUM(_xlfn._xlws.FILTER(일별!#REF!, (일별!$A:$A &gt;= 월별!$A7) * (일별!$A:$A &lt; 월별!$A8), 0))</f>
        <v>#REF!</v>
      </c>
      <c r="BA7" s="20" t="e" cm="1">
        <f t="array" ref="BA7">SUM(_xlfn._xlws.FILTER(일별!#REF!, (일별!$A:$A &gt;= 월별!$A7) * (일별!$A:$A &lt; 월별!$A8), 0))</f>
        <v>#REF!</v>
      </c>
      <c r="BB7" s="20" t="e" cm="1">
        <f t="array" ref="BB7">SUM(_xlfn._xlws.FILTER(일별!#REF!, (일별!$A:$A &gt;= 월별!$A7) * (일별!$A:$A &lt; 월별!$A8), 0))</f>
        <v>#REF!</v>
      </c>
      <c r="BC7" s="20" t="e" cm="1">
        <f t="array" ref="BC7">SUM(_xlfn._xlws.FILTER(일별!#REF!, (일별!$A:$A &gt;= 월별!$A7) * (일별!$A:$A &lt; 월별!$A8), 0))</f>
        <v>#REF!</v>
      </c>
      <c r="BD7" s="20" t="e" cm="1">
        <f t="array" ref="BD7">SUM(_xlfn._xlws.FILTER(일별!#REF!, (일별!$A:$A &gt;= 월별!$A7) * (일별!$A:$A &lt; 월별!$A8), 0))</f>
        <v>#REF!</v>
      </c>
      <c r="BE7" s="20" t="e" cm="1">
        <f t="array" ref="BE7">SUM(_xlfn._xlws.FILTER(일별!#REF!, (일별!$A:$A &gt;= 월별!$A7) * (일별!$A:$A &lt; 월별!$A8), 0))</f>
        <v>#REF!</v>
      </c>
      <c r="BF7" s="20" t="e" cm="1">
        <f t="array" ref="BF7">SUM(_xlfn._xlws.FILTER(일별!#REF!, (일별!$A:$A &gt;= 월별!$A7) * (일별!$A:$A &lt; 월별!$A8), 0))</f>
        <v>#REF!</v>
      </c>
      <c r="BG7" s="20" t="e" cm="1">
        <f t="array" ref="BG7">SUM(_xlfn._xlws.FILTER(일별!#REF!, (일별!$A:$A &gt;= 월별!$A7) * (일별!$A:$A &lt; 월별!$A8), 0))</f>
        <v>#REF!</v>
      </c>
      <c r="BH7" s="20" t="e" cm="1">
        <f t="array" ref="BH7">SUM(_xlfn._xlws.FILTER(일별!#REF!, (일별!$A:$A &gt;= 월별!$A7) * (일별!$A:$A &lt; 월별!$A8), 0))</f>
        <v>#REF!</v>
      </c>
      <c r="BI7" s="20" t="e" cm="1">
        <f t="array" ref="BI7">SUM(_xlfn._xlws.FILTER(일별!#REF!, (일별!$A:$A &gt;= 월별!$A7) * (일별!$A:$A &lt; 월별!$A8), 0))</f>
        <v>#REF!</v>
      </c>
      <c r="BJ7" s="20" t="e" cm="1">
        <f t="array" ref="BJ7">SUM(_xlfn._xlws.FILTER(일별!#REF!, (일별!$A:$A &gt;= 월별!$A7) * (일별!$A:$A &lt; 월별!$A8), 0))</f>
        <v>#REF!</v>
      </c>
      <c r="BK7" s="20" t="e" cm="1">
        <f t="array" ref="BK7">SUM(_xlfn._xlws.FILTER(일별!#REF!, (일별!$A:$A &gt;= 월별!$A7) * (일별!$A:$A &lt; 월별!$A8), 0))</f>
        <v>#REF!</v>
      </c>
      <c r="BL7" s="20" t="e" cm="1">
        <f t="array" ref="BL7">SUM(_xlfn._xlws.FILTER(일별!#REF!, (일별!$A:$A &gt;= 월별!$A7) * (일별!$A:$A &lt; 월별!$A8), 0))</f>
        <v>#REF!</v>
      </c>
      <c r="BM7" s="20" t="e" cm="1">
        <f t="array" ref="BM7">SUM(_xlfn._xlws.FILTER(일별!#REF!, (일별!$A:$A &gt;= 월별!$A7) * (일별!$A:$A &lt; 월별!$A8), 0))</f>
        <v>#REF!</v>
      </c>
      <c r="BN7" s="20" t="e" cm="1">
        <f t="array" ref="BN7">SUM(_xlfn._xlws.FILTER(일별!#REF!, (일별!$A:$A &gt;= 월별!$A7) * (일별!$A:$A &lt; 월별!$A8), 0))</f>
        <v>#REF!</v>
      </c>
      <c r="BO7" s="20" t="e" cm="1">
        <f t="array" ref="BO7">SUM(_xlfn._xlws.FILTER(일별!#REF!, (일별!$A:$A &gt;= 월별!$A7) * (일별!$A:$A &lt; 월별!$A8), 0))</f>
        <v>#REF!</v>
      </c>
      <c r="BP7" s="20" t="e" cm="1">
        <f t="array" ref="BP7">SUM(_xlfn._xlws.FILTER(일별!#REF!, (일별!$A:$A &gt;= 월별!$A7) * (일별!$A:$A &lt; 월별!$A8), 0))</f>
        <v>#REF!</v>
      </c>
      <c r="BQ7" s="19" t="e" cm="1">
        <f t="array" ref="BQ7">SUM(_xlfn._xlws.FILTER(일별!#REF!, (일별!$A:$A &gt;= 월별!$A7) * (일별!$A:$A &lt; 월별!$A8), 0))</f>
        <v>#REF!</v>
      </c>
      <c r="BR7" s="18" t="e" cm="1">
        <f t="array" ref="BR7">SUM(_xlfn._xlws.FILTER(일별!#REF!, (일별!$A:$A &gt;= 월별!$A7) * (일별!$A:$A &lt; 월별!$A8), 0))</f>
        <v>#REF!</v>
      </c>
      <c r="BS7" s="20" t="e" cm="1">
        <f t="array" ref="BS7">SUM(_xlfn._xlws.FILTER(일별!#REF!, (일별!$A:$A &gt;= 월별!$A7) * (일별!$A:$A &lt; 월별!$A8), 0))</f>
        <v>#REF!</v>
      </c>
      <c r="BT7" s="20" t="e" cm="1">
        <f t="array" ref="BT7">SUM(_xlfn._xlws.FILTER(일별!#REF!, (일별!$A:$A &gt;= 월별!$A7) * (일별!$A:$A &lt; 월별!$A8), 0))</f>
        <v>#REF!</v>
      </c>
      <c r="BU7" s="20" t="e" cm="1">
        <f t="array" ref="BU7">SUM(_xlfn._xlws.FILTER(일별!#REF!, (일별!$A:$A &gt;= 월별!$A7) * (일별!$A:$A &lt; 월별!$A8), 0))</f>
        <v>#REF!</v>
      </c>
      <c r="BV7" s="20" t="e" cm="1">
        <f t="array" ref="BV7">SUM(_xlfn._xlws.FILTER(일별!#REF!, (일별!$A:$A &gt;= 월별!$A7) * (일별!$A:$A &lt; 월별!$A8), 0))</f>
        <v>#REF!</v>
      </c>
      <c r="BW7" s="20" t="e" cm="1">
        <f t="array" ref="BW7">SUM(_xlfn._xlws.FILTER(일별!#REF!, (일별!$A:$A &gt;= 월별!$A7) * (일별!$A:$A &lt; 월별!$A8), 0))</f>
        <v>#REF!</v>
      </c>
      <c r="BX7" s="20" t="e" cm="1">
        <f t="array" ref="BX7">SUM(_xlfn._xlws.FILTER(일별!#REF!, (일별!$A:$A &gt;= 월별!$A7) * (일별!$A:$A &lt; 월별!$A8), 0))</f>
        <v>#REF!</v>
      </c>
      <c r="BY7" s="20" t="e" cm="1">
        <f t="array" ref="BY7">SUM(_xlfn._xlws.FILTER(일별!#REF!, (일별!$A:$A &gt;= 월별!$A7) * (일별!$A:$A &lt; 월별!$A8), 0))</f>
        <v>#REF!</v>
      </c>
      <c r="BZ7" s="20" t="e" cm="1">
        <f t="array" ref="BZ7">SUM(_xlfn._xlws.FILTER(일별!#REF!, (일별!$A:$A &gt;= 월별!$A7) * (일별!$A:$A &lt; 월별!$A8), 0))</f>
        <v>#REF!</v>
      </c>
      <c r="CA7" s="20" t="e" cm="1">
        <f t="array" ref="CA7">SUM(_xlfn._xlws.FILTER(일별!#REF!, (일별!$A:$A &gt;= 월별!$A7) * (일별!$A:$A &lt; 월별!$A8), 0))</f>
        <v>#REF!</v>
      </c>
      <c r="CB7" s="20" t="e" cm="1">
        <f t="array" ref="CB7">SUM(_xlfn._xlws.FILTER(일별!#REF!, (일별!$A:$A &gt;= 월별!$A7) * (일별!$A:$A &lt; 월별!$A8), 0))</f>
        <v>#REF!</v>
      </c>
      <c r="CC7" s="20" t="e" cm="1">
        <f t="array" ref="CC7">SUM(_xlfn._xlws.FILTER(일별!#REF!, (일별!$A:$A &gt;= 월별!$A7) * (일별!$A:$A &lt; 월별!$A8), 0))</f>
        <v>#REF!</v>
      </c>
      <c r="CD7" s="20" t="e" cm="1">
        <f t="array" ref="CD7">SUM(_xlfn._xlws.FILTER(일별!#REF!, (일별!$A:$A &gt;= 월별!$A7) * (일별!$A:$A &lt; 월별!$A8), 0))</f>
        <v>#REF!</v>
      </c>
      <c r="CE7" s="20" t="e" cm="1">
        <f t="array" ref="CE7">SUM(_xlfn._xlws.FILTER(일별!#REF!, (일별!$A:$A &gt;= 월별!$A7) * (일별!$A:$A &lt; 월별!$A8), 0))</f>
        <v>#REF!</v>
      </c>
      <c r="CF7" s="20" t="e" cm="1">
        <f t="array" ref="CF7">SUM(_xlfn._xlws.FILTER(일별!#REF!, (일별!$A:$A &gt;= 월별!$A7) * (일별!$A:$A &lt; 월별!$A8), 0))</f>
        <v>#REF!</v>
      </c>
      <c r="CG7" s="20" t="e" cm="1">
        <f t="array" ref="CG7">SUM(_xlfn._xlws.FILTER(일별!#REF!, (일별!$A:$A &gt;= 월별!$A7) * (일별!$A:$A &lt; 월별!$A8), 0))</f>
        <v>#REF!</v>
      </c>
      <c r="CH7" s="20" t="e" cm="1">
        <f t="array" ref="CH7">SUM(_xlfn._xlws.FILTER(일별!#REF!, (일별!$A:$A &gt;= 월별!$A7) * (일별!$A:$A &lt; 월별!$A8), 0))</f>
        <v>#REF!</v>
      </c>
      <c r="CI7" s="20" t="e" cm="1">
        <f t="array" ref="CI7">SUM(_xlfn._xlws.FILTER(일별!#REF!, (일별!$A:$A &gt;= 월별!$A7) * (일별!$A:$A &lt; 월별!$A8), 0))</f>
        <v>#REF!</v>
      </c>
      <c r="CJ7" s="20" t="e" cm="1">
        <f t="array" ref="CJ7">SUM(_xlfn._xlws.FILTER(일별!#REF!, (일별!$A:$A &gt;= 월별!$A7) * (일별!$A:$A &lt; 월별!$A8), 0))</f>
        <v>#REF!</v>
      </c>
      <c r="CK7" s="20" t="e" cm="1">
        <f t="array" ref="CK7">SUM(_xlfn._xlws.FILTER(일별!#REF!, (일별!$A:$A &gt;= 월별!$A7) * (일별!$A:$A &lt; 월별!$A8), 0))</f>
        <v>#REF!</v>
      </c>
      <c r="CL7" s="20" t="e" cm="1">
        <f t="array" ref="CL7">SUM(_xlfn._xlws.FILTER(일별!#REF!, (일별!$A:$A &gt;= 월별!$A7) * (일별!$A:$A &lt; 월별!$A8), 0))</f>
        <v>#REF!</v>
      </c>
      <c r="CM7" s="19" t="e" cm="1">
        <f t="array" ref="CM7">SUM(_xlfn._xlws.FILTER(일별!#REF!, (일별!$A:$A &gt;= 월별!$A7) * (일별!$A:$A &lt; 월별!$A8), 0))</f>
        <v>#REF!</v>
      </c>
      <c r="CN7" s="18" t="e" cm="1">
        <f t="array" ref="CN7">SUM(_xlfn._xlws.FILTER(일별!#REF!, (일별!$A:$A &gt;= 월별!$A7) * (일별!$A:$A &lt; 월별!$A8), 0))</f>
        <v>#REF!</v>
      </c>
      <c r="CO7" s="20" t="e" cm="1">
        <f t="array" ref="CO7">SUM(_xlfn._xlws.FILTER(일별!#REF!, (일별!$A:$A &gt;= 월별!$A7) * (일별!$A:$A &lt; 월별!$A8), 0))</f>
        <v>#REF!</v>
      </c>
      <c r="CP7" s="20" t="e" cm="1">
        <f t="array" ref="CP7">SUM(_xlfn._xlws.FILTER(일별!#REF!, (일별!$A:$A &gt;= 월별!$A7) * (일별!$A:$A &lt; 월별!$A8), 0))</f>
        <v>#REF!</v>
      </c>
      <c r="CQ7" s="20" t="e" cm="1">
        <f t="array" ref="CQ7">SUM(_xlfn._xlws.FILTER(일별!#REF!, (일별!$A:$A &gt;= 월별!$A7) * (일별!$A:$A &lt; 월별!$A8), 0))</f>
        <v>#REF!</v>
      </c>
      <c r="CR7" s="20" t="e" cm="1">
        <f t="array" ref="CR7">SUM(_xlfn._xlws.FILTER(일별!#REF!, (일별!$A:$A &gt;= 월별!$A7) * (일별!$A:$A &lt; 월별!$A8), 0))</f>
        <v>#REF!</v>
      </c>
      <c r="CS7" s="20" t="e" cm="1">
        <f t="array" ref="CS7">SUM(_xlfn._xlws.FILTER(일별!#REF!, (일별!$A:$A &gt;= 월별!$A7) * (일별!$A:$A &lt; 월별!$A8), 0))</f>
        <v>#REF!</v>
      </c>
      <c r="CT7" s="20" t="e" cm="1">
        <f t="array" ref="CT7">SUM(_xlfn._xlws.FILTER(일별!#REF!, (일별!$A:$A &gt;= 월별!$A7) * (일별!$A:$A &lt; 월별!$A8), 0))</f>
        <v>#REF!</v>
      </c>
      <c r="CU7" s="20" t="e" cm="1">
        <f t="array" ref="CU7">SUM(_xlfn._xlws.FILTER(일별!#REF!, (일별!$A:$A &gt;= 월별!$A7) * (일별!$A:$A &lt; 월별!$A8), 0))</f>
        <v>#REF!</v>
      </c>
      <c r="CV7" s="20" t="e" cm="1">
        <f t="array" ref="CV7">SUM(_xlfn._xlws.FILTER(일별!#REF!, (일별!$A:$A &gt;= 월별!$A7) * (일별!$A:$A &lt; 월별!$A8), 0))</f>
        <v>#REF!</v>
      </c>
      <c r="CW7" s="20" t="e" cm="1">
        <f t="array" ref="CW7">SUM(_xlfn._xlws.FILTER(일별!#REF!, (일별!$A:$A &gt;= 월별!$A7) * (일별!$A:$A &lt; 월별!$A8), 0))</f>
        <v>#REF!</v>
      </c>
      <c r="CX7" s="20" t="e" cm="1">
        <f t="array" ref="CX7">SUM(_xlfn._xlws.FILTER(일별!#REF!, (일별!$A:$A &gt;= 월별!$A7) * (일별!$A:$A &lt; 월별!$A8), 0))</f>
        <v>#REF!</v>
      </c>
      <c r="CY7" s="20" t="e" cm="1">
        <f t="array" ref="CY7">SUM(_xlfn._xlws.FILTER(일별!#REF!, (일별!$A:$A &gt;= 월별!$A7) * (일별!$A:$A &lt; 월별!$A8), 0))</f>
        <v>#REF!</v>
      </c>
      <c r="CZ7" s="20" t="e" cm="1">
        <f t="array" ref="CZ7">SUM(_xlfn._xlws.FILTER(일별!#REF!, (일별!$A:$A &gt;= 월별!$A7) * (일별!$A:$A &lt; 월별!$A8), 0))</f>
        <v>#REF!</v>
      </c>
      <c r="DA7" s="20" t="e" cm="1">
        <f t="array" ref="DA7">SUM(_xlfn._xlws.FILTER(일별!#REF!, (일별!$A:$A &gt;= 월별!$A7) * (일별!$A:$A &lt; 월별!$A8), 0))</f>
        <v>#REF!</v>
      </c>
      <c r="DB7" s="20" t="e" cm="1">
        <f t="array" ref="DB7">SUM(_xlfn._xlws.FILTER(일별!#REF!, (일별!$A:$A &gt;= 월별!$A7) * (일별!$A:$A &lt; 월별!$A8), 0))</f>
        <v>#REF!</v>
      </c>
      <c r="DC7" s="20" t="e" cm="1">
        <f t="array" ref="DC7">SUM(_xlfn._xlws.FILTER(일별!#REF!, (일별!$A:$A &gt;= 월별!$A7) * (일별!$A:$A &lt; 월별!$A8), 0))</f>
        <v>#REF!</v>
      </c>
      <c r="DD7" s="20" t="e" cm="1">
        <f t="array" ref="DD7">SUM(_xlfn._xlws.FILTER(일별!#REF!, (일별!$A:$A &gt;= 월별!$A7) * (일별!$A:$A &lt; 월별!$A8), 0))</f>
        <v>#REF!</v>
      </c>
      <c r="DE7" s="20" t="e" cm="1">
        <f t="array" ref="DE7">SUM(_xlfn._xlws.FILTER(일별!#REF!, (일별!$A:$A &gt;= 월별!$A7) * (일별!$A:$A &lt; 월별!$A8), 0))</f>
        <v>#REF!</v>
      </c>
      <c r="DF7" s="20" t="e" cm="1">
        <f t="array" ref="DF7">SUM(_xlfn._xlws.FILTER(일별!#REF!, (일별!$A:$A &gt;= 월별!$A7) * (일별!$A:$A &lt; 월별!$A8), 0))</f>
        <v>#REF!</v>
      </c>
      <c r="DG7" s="20" t="e" cm="1">
        <f t="array" ref="DG7">SUM(_xlfn._xlws.FILTER(일별!#REF!, (일별!$A:$A &gt;= 월별!$A7) * (일별!$A:$A &lt; 월별!$A8), 0))</f>
        <v>#REF!</v>
      </c>
      <c r="DH7" s="20" t="e" cm="1">
        <f t="array" ref="DH7">SUM(_xlfn._xlws.FILTER(일별!#REF!, (일별!$A:$A &gt;= 월별!$A7) * (일별!$A:$A &lt; 월별!$A8), 0))</f>
        <v>#REF!</v>
      </c>
      <c r="DI7" s="19" t="e" cm="1">
        <f t="array" ref="DI7">SUM(_xlfn._xlws.FILTER(일별!#REF!, (일별!$A:$A &gt;= 월별!$A7) * (일별!$A:$A &lt; 월별!$A8), 0))</f>
        <v>#REF!</v>
      </c>
    </row>
    <row r="8" spans="1:113">
      <c r="A8" s="25">
        <v>45748</v>
      </c>
      <c r="B8" s="15">
        <f>SUMIFS(일별!$C:$C,
       일별!$A:$A, "&gt;="&amp;월별!$A8,
       일별!$A:$A, "&lt;"&amp;월별!$A9)</f>
        <v>524</v>
      </c>
      <c r="C8" s="16">
        <f>B8/(월별!$A9 - 월별!$A8)</f>
        <v>17.466666666666665</v>
      </c>
      <c r="D8" s="15">
        <f>SUMIFS(일별!E:E,
       일별!$A:$A, "&gt;="&amp;월별!$A8,
       일별!$A:$A, "&lt;"&amp;월별!$A9)</f>
        <v>2218</v>
      </c>
      <c r="E8" s="16">
        <f>D8/(월별!$A9 - 월별!$A8)</f>
        <v>73.933333333333337</v>
      </c>
      <c r="F8" s="12">
        <f>SUMIFS(일별!G:G,
       일별!$A:$A, "&gt;="&amp;월별!$A8,
       일별!$A:$A, "&lt;"&amp;월별!$A9)</f>
        <v>2162</v>
      </c>
      <c r="G8" s="16">
        <f>F8/(월별!$A9 - 월별!$A8)</f>
        <v>72.066666666666663</v>
      </c>
      <c r="H8" s="15">
        <f t="shared" si="0"/>
        <v>4380</v>
      </c>
      <c r="I8" s="16">
        <f t="shared" si="1"/>
        <v>146</v>
      </c>
      <c r="J8" s="12">
        <f>SUMIFS(일별!I:I,
       일별!$A:$A, "&gt;="&amp;월별!$A8,
       일별!$A:$A, "&lt;"&amp;월별!$A9)</f>
        <v>138</v>
      </c>
      <c r="K8" s="16">
        <f>J8/(월별!$A9 - 월별!$A8)</f>
        <v>4.5999999999999996</v>
      </c>
      <c r="L8" s="12">
        <f>SUMIFS(일별!K:K,
       일별!$A:$A, "&gt;="&amp;월별!$A8,
       일별!$A:$A, "&lt;"&amp;월별!$A9)</f>
        <v>138</v>
      </c>
      <c r="M8" s="16">
        <f>L8/(월별!$A9 - 월별!$A8)</f>
        <v>4.5999999999999996</v>
      </c>
      <c r="N8" s="12">
        <f>SUMIFS(일별!M:M,
       일별!$A:$A, "&gt;="&amp;월별!$A8,
       일별!$A:$A, "&lt;"&amp;월별!$A9)</f>
        <v>25.400000000000091</v>
      </c>
      <c r="O8" s="31">
        <f>N8/(월별!$A9 - 월별!$A8)</f>
        <v>0.84666666666666968</v>
      </c>
      <c r="P8" s="12">
        <f>SUMIFS(일별!O:O,
       일별!$A:$A, "&gt;="&amp;월별!$A8,
       일별!$A:$A, "&lt;"&amp;월별!$A9)</f>
        <v>2425</v>
      </c>
      <c r="Q8" s="16">
        <f>P8/(월별!$A9 - 월별!$A8)</f>
        <v>80.833333333333329</v>
      </c>
      <c r="R8" s="12">
        <f>SUMIFS(일별!Q:Q,
       일별!$A:$A, "&gt;="&amp;월별!$A8,
       일별!$A:$A, "&lt;"&amp;월별!$A9)</f>
        <v>6806</v>
      </c>
      <c r="S8" s="16">
        <f>R8/(월별!$A9 - 월별!$A8)</f>
        <v>226.86666666666667</v>
      </c>
      <c r="T8" s="12">
        <f>SUMIFS(일별!S:S,
       일별!$A:$A, "&gt;="&amp;월별!$A8,
       일별!$A:$A, "&lt;"&amp;월별!$A9)</f>
        <v>1</v>
      </c>
      <c r="U8" s="16">
        <f>T8/(월별!$A9 - 월별!$A8)</f>
        <v>3.3333333333333333E-2</v>
      </c>
      <c r="V8" s="12">
        <f>SUMIFS(일별!U:U,
       일별!$A:$A, "&gt;="&amp;월별!$A8,
       일별!$A:$A, "&lt;"&amp;월별!$A9)</f>
        <v>0.92999999999999972</v>
      </c>
      <c r="W8" s="16">
        <f>V8/(월별!$A9 - 월별!$A8)</f>
        <v>3.0999999999999989E-2</v>
      </c>
      <c r="X8" s="12">
        <f>SUMIFS(일별!W:W,
       일별!$A:$A, "&gt;="&amp;월별!$A8,
       일별!$A:$A, "&lt;"&amp;월별!$A9)</f>
        <v>0</v>
      </c>
      <c r="Y8" s="16">
        <f>X8/(월별!$A9 - 월별!$A8)</f>
        <v>0</v>
      </c>
      <c r="Z8" s="15">
        <f>SUMIFS(일별!X:X,
       일별!$A:$A, "&gt;="&amp;월별!$A8,
       일별!$A:$A, "&lt;"&amp;월별!$A9)</f>
        <v>1268588.0000000016</v>
      </c>
      <c r="AA8" s="12">
        <f>SUMIFS(일별!Y:Y,
       일별!$A:$A, "&gt;="&amp;월별!$A8,
       일별!$A:$A, "&lt;"&amp;월별!$A9)</f>
        <v>0</v>
      </c>
      <c r="AB8" s="12">
        <f>SUMIFS(일별!Z:Z,
       일별!$A:$A, "&gt;="&amp;월별!$A8,
       일별!$A:$A, "&lt;"&amp;월별!$A9)</f>
        <v>0</v>
      </c>
      <c r="AC8" s="12">
        <f>SUMIFS(일별!AA:AA,
       일별!$A:$A, "&gt;="&amp;월별!$A8,
       일별!$A:$A, "&lt;"&amp;월별!$A9)</f>
        <v>0</v>
      </c>
      <c r="AD8" s="12">
        <f>SUMIFS(일별!AB:AB,
       일별!$A:$A, "&gt;="&amp;월별!$A8,
       일별!$A:$A, "&lt;"&amp;월별!$A9)</f>
        <v>0</v>
      </c>
      <c r="AE8" s="16">
        <f>SUMIFS(일별!AC:AC,
       일별!$A:$A, "&gt;="&amp;월별!$A8,
       일별!$A:$A, "&lt;"&amp;월별!$A9)</f>
        <v>0</v>
      </c>
      <c r="AF8" s="15">
        <f>SUMIFS(일별!AD:AD,
       일별!$A:$A, "&gt;="&amp;월별!$A8,
       일별!$A:$A, "&lt;"&amp;월별!$A9)</f>
        <v>201</v>
      </c>
      <c r="AG8" s="12">
        <f>SUMIFS(일별!AE:AE,
       일별!$A:$A, "&gt;="&amp;월별!$A8,
       일별!$A:$A, "&lt;"&amp;월별!$A9)</f>
        <v>0</v>
      </c>
      <c r="AH8" s="12">
        <f>SUMIFS(일별!AF:AF,
       일별!$A:$A, "&gt;="&amp;월별!$A8,
       일별!$A:$A, "&lt;"&amp;월별!$A9)</f>
        <v>0</v>
      </c>
      <c r="AI8" s="16">
        <f>SUMIFS(일별!AG:AG,
       일별!$A:$A, "&gt;="&amp;월별!$A8,
       일별!$A:$A, "&lt;"&amp;월별!$A9)</f>
        <v>0</v>
      </c>
      <c r="AJ8" s="15">
        <f>SUMIFS(일별!AX:AX,
       일별!$A:$A, "&gt;="&amp;월별!$A8,
       일별!$A:$A, "&lt;"&amp;월별!$A9)</f>
        <v>7975</v>
      </c>
      <c r="AK8" s="12">
        <f>SUMIFS(일별!AY:AY,
       일별!$A:$A, "&gt;="&amp;월별!$A8,
       일별!$A:$A, "&lt;"&amp;월별!$A9)</f>
        <v>0</v>
      </c>
      <c r="AL8" s="12">
        <f>SUMIFS(일별!AZ:AZ,
       일별!$A:$A, "&gt;="&amp;월별!$A8,
       일별!$A:$A, "&lt;"&amp;월별!$A9)</f>
        <v>0</v>
      </c>
      <c r="AM8" s="12">
        <f>SUMIFS(일별!BA:BA,
       일별!$A:$A, "&gt;="&amp;월별!$A8,
       일별!$A:$A, "&lt;"&amp;월별!$A9)</f>
        <v>0</v>
      </c>
      <c r="AN8" s="12">
        <f>SUMIFS(일별!BB:BB,
       일별!$A:$A, "&gt;="&amp;월별!$A8,
       일별!$A:$A, "&lt;"&amp;월별!$A9)</f>
        <v>0</v>
      </c>
      <c r="AO8" s="16">
        <f>SUMIFS(일별!BC:BC,
       일별!$A:$A, "&gt;="&amp;월별!$A8,
       일별!$A:$A, "&lt;"&amp;월별!$A9)</f>
        <v>7975</v>
      </c>
      <c r="AP8" s="18" t="e" cm="1">
        <f t="array" ref="AP8">SUM(_xlfn._xlws.FILTER(일별!#REF!, (일별!$A:$A &gt;= 월별!$A8) * (일별!$A:$A &lt; 월별!$A9), 0))</f>
        <v>#REF!</v>
      </c>
      <c r="AQ8" s="20" t="e">
        <f>AP8/(월별!$A9 - 월별!$A8)</f>
        <v>#REF!</v>
      </c>
      <c r="AR8" s="20" t="e" cm="1">
        <f t="array" ref="AR8">SUM(_xlfn._xlws.FILTER(일별!#REF!, (일별!$A:$A &gt;= 월별!$A8) * (일별!$A:$A &lt; 월별!$A9), 0))</f>
        <v>#REF!</v>
      </c>
      <c r="AS8" s="20" t="e">
        <f>AR8/(월별!$A9 - 월별!$A8)</f>
        <v>#REF!</v>
      </c>
      <c r="AT8" s="20" t="e" cm="1">
        <f t="array" ref="AT8">SUM(_xlfn._xlws.FILTER(일별!#REF!, (일별!$A:$A &gt;= 월별!$A8) * (일별!$A:$A &lt; 월별!$A9), 0))</f>
        <v>#REF!</v>
      </c>
      <c r="AU8" s="20" t="e">
        <f>AT8/(월별!$A9 - 월별!$A8)</f>
        <v>#REF!</v>
      </c>
      <c r="AV8" s="18" t="e" cm="1">
        <f t="array" ref="AV8">SUM(_xlfn._xlws.FILTER(일별!#REF!, (일별!$A:$A &gt;= 월별!$A8) * (일별!$A:$A &lt; 월별!$A9), 0))</f>
        <v>#REF!</v>
      </c>
      <c r="AW8" s="20" t="e" cm="1">
        <f t="array" ref="AW8">SUM(_xlfn._xlws.FILTER(일별!#REF!, (일별!$A:$A &gt;= 월별!$A8) * (일별!$A:$A &lt; 월별!$A9), 0))</f>
        <v>#REF!</v>
      </c>
      <c r="AX8" s="20" t="e" cm="1">
        <f t="array" ref="AX8">SUM(_xlfn._xlws.FILTER(일별!#REF!, (일별!$A:$A &gt;= 월별!$A8) * (일별!$A:$A &lt; 월별!$A9), 0))</f>
        <v>#REF!</v>
      </c>
      <c r="AY8" s="20" t="e" cm="1">
        <f t="array" ref="AY8">SUM(_xlfn._xlws.FILTER(일별!#REF!, (일별!$A:$A &gt;= 월별!$A8) * (일별!$A:$A &lt; 월별!$A9), 0))</f>
        <v>#REF!</v>
      </c>
      <c r="AZ8" s="20" t="e" cm="1">
        <f t="array" ref="AZ8">SUM(_xlfn._xlws.FILTER(일별!#REF!, (일별!$A:$A &gt;= 월별!$A8) * (일별!$A:$A &lt; 월별!$A9), 0))</f>
        <v>#REF!</v>
      </c>
      <c r="BA8" s="20" t="e" cm="1">
        <f t="array" ref="BA8">SUM(_xlfn._xlws.FILTER(일별!#REF!, (일별!$A:$A &gt;= 월별!$A8) * (일별!$A:$A &lt; 월별!$A9), 0))</f>
        <v>#REF!</v>
      </c>
      <c r="BB8" s="20" t="e" cm="1">
        <f t="array" ref="BB8">SUM(_xlfn._xlws.FILTER(일별!#REF!, (일별!$A:$A &gt;= 월별!$A8) * (일별!$A:$A &lt; 월별!$A9), 0))</f>
        <v>#REF!</v>
      </c>
      <c r="BC8" s="20" t="e" cm="1">
        <f t="array" ref="BC8">SUM(_xlfn._xlws.FILTER(일별!#REF!, (일별!$A:$A &gt;= 월별!$A8) * (일별!$A:$A &lt; 월별!$A9), 0))</f>
        <v>#REF!</v>
      </c>
      <c r="BD8" s="20" t="e" cm="1">
        <f t="array" ref="BD8">SUM(_xlfn._xlws.FILTER(일별!#REF!, (일별!$A:$A &gt;= 월별!$A8) * (일별!$A:$A &lt; 월별!$A9), 0))</f>
        <v>#REF!</v>
      </c>
      <c r="BE8" s="20" t="e" cm="1">
        <f t="array" ref="BE8">SUM(_xlfn._xlws.FILTER(일별!#REF!, (일별!$A:$A &gt;= 월별!$A8) * (일별!$A:$A &lt; 월별!$A9), 0))</f>
        <v>#REF!</v>
      </c>
      <c r="BF8" s="20" t="e" cm="1">
        <f t="array" ref="BF8">SUM(_xlfn._xlws.FILTER(일별!#REF!, (일별!$A:$A &gt;= 월별!$A8) * (일별!$A:$A &lt; 월별!$A9), 0))</f>
        <v>#REF!</v>
      </c>
      <c r="BG8" s="20" t="e" cm="1">
        <f t="array" ref="BG8">SUM(_xlfn._xlws.FILTER(일별!#REF!, (일별!$A:$A &gt;= 월별!$A8) * (일별!$A:$A &lt; 월별!$A9), 0))</f>
        <v>#REF!</v>
      </c>
      <c r="BH8" s="20" t="e" cm="1">
        <f t="array" ref="BH8">SUM(_xlfn._xlws.FILTER(일별!#REF!, (일별!$A:$A &gt;= 월별!$A8) * (일별!$A:$A &lt; 월별!$A9), 0))</f>
        <v>#REF!</v>
      </c>
      <c r="BI8" s="20" t="e" cm="1">
        <f t="array" ref="BI8">SUM(_xlfn._xlws.FILTER(일별!#REF!, (일별!$A:$A &gt;= 월별!$A8) * (일별!$A:$A &lt; 월별!$A9), 0))</f>
        <v>#REF!</v>
      </c>
      <c r="BJ8" s="20" t="e" cm="1">
        <f t="array" ref="BJ8">SUM(_xlfn._xlws.FILTER(일별!#REF!, (일별!$A:$A &gt;= 월별!$A8) * (일별!$A:$A &lt; 월별!$A9), 0))</f>
        <v>#REF!</v>
      </c>
      <c r="BK8" s="20" t="e" cm="1">
        <f t="array" ref="BK8">SUM(_xlfn._xlws.FILTER(일별!#REF!, (일별!$A:$A &gt;= 월별!$A8) * (일별!$A:$A &lt; 월별!$A9), 0))</f>
        <v>#REF!</v>
      </c>
      <c r="BL8" s="20" t="e" cm="1">
        <f t="array" ref="BL8">SUM(_xlfn._xlws.FILTER(일별!#REF!, (일별!$A:$A &gt;= 월별!$A8) * (일별!$A:$A &lt; 월별!$A9), 0))</f>
        <v>#REF!</v>
      </c>
      <c r="BM8" s="20" t="e" cm="1">
        <f t="array" ref="BM8">SUM(_xlfn._xlws.FILTER(일별!#REF!, (일별!$A:$A &gt;= 월별!$A8) * (일별!$A:$A &lt; 월별!$A9), 0))</f>
        <v>#REF!</v>
      </c>
      <c r="BN8" s="20" t="e" cm="1">
        <f t="array" ref="BN8">SUM(_xlfn._xlws.FILTER(일별!#REF!, (일별!$A:$A &gt;= 월별!$A8) * (일별!$A:$A &lt; 월별!$A9), 0))</f>
        <v>#REF!</v>
      </c>
      <c r="BO8" s="20" t="e" cm="1">
        <f t="array" ref="BO8">SUM(_xlfn._xlws.FILTER(일별!#REF!, (일별!$A:$A &gt;= 월별!$A8) * (일별!$A:$A &lt; 월별!$A9), 0))</f>
        <v>#REF!</v>
      </c>
      <c r="BP8" s="20" t="e" cm="1">
        <f t="array" ref="BP8">SUM(_xlfn._xlws.FILTER(일별!#REF!, (일별!$A:$A &gt;= 월별!$A8) * (일별!$A:$A &lt; 월별!$A9), 0))</f>
        <v>#REF!</v>
      </c>
      <c r="BQ8" s="19" t="e" cm="1">
        <f t="array" ref="BQ8">SUM(_xlfn._xlws.FILTER(일별!#REF!, (일별!$A:$A &gt;= 월별!$A8) * (일별!$A:$A &lt; 월별!$A9), 0))</f>
        <v>#REF!</v>
      </c>
      <c r="BR8" s="18" t="e" cm="1">
        <f t="array" ref="BR8">SUM(_xlfn._xlws.FILTER(일별!#REF!, (일별!$A:$A &gt;= 월별!$A8) * (일별!$A:$A &lt; 월별!$A9), 0))</f>
        <v>#REF!</v>
      </c>
      <c r="BS8" s="20" t="e" cm="1">
        <f t="array" ref="BS8">SUM(_xlfn._xlws.FILTER(일별!#REF!, (일별!$A:$A &gt;= 월별!$A8) * (일별!$A:$A &lt; 월별!$A9), 0))</f>
        <v>#REF!</v>
      </c>
      <c r="BT8" s="20" t="e" cm="1">
        <f t="array" ref="BT8">SUM(_xlfn._xlws.FILTER(일별!#REF!, (일별!$A:$A &gt;= 월별!$A8) * (일별!$A:$A &lt; 월별!$A9), 0))</f>
        <v>#REF!</v>
      </c>
      <c r="BU8" s="20" t="e" cm="1">
        <f t="array" ref="BU8">SUM(_xlfn._xlws.FILTER(일별!#REF!, (일별!$A:$A &gt;= 월별!$A8) * (일별!$A:$A &lt; 월별!$A9), 0))</f>
        <v>#REF!</v>
      </c>
      <c r="BV8" s="20" t="e" cm="1">
        <f t="array" ref="BV8">SUM(_xlfn._xlws.FILTER(일별!#REF!, (일별!$A:$A &gt;= 월별!$A8) * (일별!$A:$A &lt; 월별!$A9), 0))</f>
        <v>#REF!</v>
      </c>
      <c r="BW8" s="20" t="e" cm="1">
        <f t="array" ref="BW8">SUM(_xlfn._xlws.FILTER(일별!#REF!, (일별!$A:$A &gt;= 월별!$A8) * (일별!$A:$A &lt; 월별!$A9), 0))</f>
        <v>#REF!</v>
      </c>
      <c r="BX8" s="20" t="e" cm="1">
        <f t="array" ref="BX8">SUM(_xlfn._xlws.FILTER(일별!#REF!, (일별!$A:$A &gt;= 월별!$A8) * (일별!$A:$A &lt; 월별!$A9), 0))</f>
        <v>#REF!</v>
      </c>
      <c r="BY8" s="20" t="e" cm="1">
        <f t="array" ref="BY8">SUM(_xlfn._xlws.FILTER(일별!#REF!, (일별!$A:$A &gt;= 월별!$A8) * (일별!$A:$A &lt; 월별!$A9), 0))</f>
        <v>#REF!</v>
      </c>
      <c r="BZ8" s="20" t="e" cm="1">
        <f t="array" ref="BZ8">SUM(_xlfn._xlws.FILTER(일별!#REF!, (일별!$A:$A &gt;= 월별!$A8) * (일별!$A:$A &lt; 월별!$A9), 0))</f>
        <v>#REF!</v>
      </c>
      <c r="CA8" s="20" t="e" cm="1">
        <f t="array" ref="CA8">SUM(_xlfn._xlws.FILTER(일별!#REF!, (일별!$A:$A &gt;= 월별!$A8) * (일별!$A:$A &lt; 월별!$A9), 0))</f>
        <v>#REF!</v>
      </c>
      <c r="CB8" s="20" t="e" cm="1">
        <f t="array" ref="CB8">SUM(_xlfn._xlws.FILTER(일별!#REF!, (일별!$A:$A &gt;= 월별!$A8) * (일별!$A:$A &lt; 월별!$A9), 0))</f>
        <v>#REF!</v>
      </c>
      <c r="CC8" s="20" t="e" cm="1">
        <f t="array" ref="CC8">SUM(_xlfn._xlws.FILTER(일별!#REF!, (일별!$A:$A &gt;= 월별!$A8) * (일별!$A:$A &lt; 월별!$A9), 0))</f>
        <v>#REF!</v>
      </c>
      <c r="CD8" s="20" t="e" cm="1">
        <f t="array" ref="CD8">SUM(_xlfn._xlws.FILTER(일별!#REF!, (일별!$A:$A &gt;= 월별!$A8) * (일별!$A:$A &lt; 월별!$A9), 0))</f>
        <v>#REF!</v>
      </c>
      <c r="CE8" s="20" t="e" cm="1">
        <f t="array" ref="CE8">SUM(_xlfn._xlws.FILTER(일별!#REF!, (일별!$A:$A &gt;= 월별!$A8) * (일별!$A:$A &lt; 월별!$A9), 0))</f>
        <v>#REF!</v>
      </c>
      <c r="CF8" s="20" t="e" cm="1">
        <f t="array" ref="CF8">SUM(_xlfn._xlws.FILTER(일별!#REF!, (일별!$A:$A &gt;= 월별!$A8) * (일별!$A:$A &lt; 월별!$A9), 0))</f>
        <v>#REF!</v>
      </c>
      <c r="CG8" s="20" t="e" cm="1">
        <f t="array" ref="CG8">SUM(_xlfn._xlws.FILTER(일별!#REF!, (일별!$A:$A &gt;= 월별!$A8) * (일별!$A:$A &lt; 월별!$A9), 0))</f>
        <v>#REF!</v>
      </c>
      <c r="CH8" s="20" t="e" cm="1">
        <f t="array" ref="CH8">SUM(_xlfn._xlws.FILTER(일별!#REF!, (일별!$A:$A &gt;= 월별!$A8) * (일별!$A:$A &lt; 월별!$A9), 0))</f>
        <v>#REF!</v>
      </c>
      <c r="CI8" s="20" t="e" cm="1">
        <f t="array" ref="CI8">SUM(_xlfn._xlws.FILTER(일별!#REF!, (일별!$A:$A &gt;= 월별!$A8) * (일별!$A:$A &lt; 월별!$A9), 0))</f>
        <v>#REF!</v>
      </c>
      <c r="CJ8" s="20" t="e" cm="1">
        <f t="array" ref="CJ8">SUM(_xlfn._xlws.FILTER(일별!#REF!, (일별!$A:$A &gt;= 월별!$A8) * (일별!$A:$A &lt; 월별!$A9), 0))</f>
        <v>#REF!</v>
      </c>
      <c r="CK8" s="20" t="e" cm="1">
        <f t="array" ref="CK8">SUM(_xlfn._xlws.FILTER(일별!#REF!, (일별!$A:$A &gt;= 월별!$A8) * (일별!$A:$A &lt; 월별!$A9), 0))</f>
        <v>#REF!</v>
      </c>
      <c r="CL8" s="20" t="e" cm="1">
        <f t="array" ref="CL8">SUM(_xlfn._xlws.FILTER(일별!#REF!, (일별!$A:$A &gt;= 월별!$A8) * (일별!$A:$A &lt; 월별!$A9), 0))</f>
        <v>#REF!</v>
      </c>
      <c r="CM8" s="19" t="e" cm="1">
        <f t="array" ref="CM8">SUM(_xlfn._xlws.FILTER(일별!#REF!, (일별!$A:$A &gt;= 월별!$A8) * (일별!$A:$A &lt; 월별!$A9), 0))</f>
        <v>#REF!</v>
      </c>
      <c r="CN8" s="18" t="e" cm="1">
        <f t="array" ref="CN8">SUM(_xlfn._xlws.FILTER(일별!#REF!, (일별!$A:$A &gt;= 월별!$A8) * (일별!$A:$A &lt; 월별!$A9), 0))</f>
        <v>#REF!</v>
      </c>
      <c r="CO8" s="20" t="e" cm="1">
        <f t="array" ref="CO8">SUM(_xlfn._xlws.FILTER(일별!#REF!, (일별!$A:$A &gt;= 월별!$A8) * (일별!$A:$A &lt; 월별!$A9), 0))</f>
        <v>#REF!</v>
      </c>
      <c r="CP8" s="20" t="e" cm="1">
        <f t="array" ref="CP8">SUM(_xlfn._xlws.FILTER(일별!#REF!, (일별!$A:$A &gt;= 월별!$A8) * (일별!$A:$A &lt; 월별!$A9), 0))</f>
        <v>#REF!</v>
      </c>
      <c r="CQ8" s="20" t="e" cm="1">
        <f t="array" ref="CQ8">SUM(_xlfn._xlws.FILTER(일별!#REF!, (일별!$A:$A &gt;= 월별!$A8) * (일별!$A:$A &lt; 월별!$A9), 0))</f>
        <v>#REF!</v>
      </c>
      <c r="CR8" s="20" t="e" cm="1">
        <f t="array" ref="CR8">SUM(_xlfn._xlws.FILTER(일별!#REF!, (일별!$A:$A &gt;= 월별!$A8) * (일별!$A:$A &lt; 월별!$A9), 0))</f>
        <v>#REF!</v>
      </c>
      <c r="CS8" s="20" t="e" cm="1">
        <f t="array" ref="CS8">SUM(_xlfn._xlws.FILTER(일별!#REF!, (일별!$A:$A &gt;= 월별!$A8) * (일별!$A:$A &lt; 월별!$A9), 0))</f>
        <v>#REF!</v>
      </c>
      <c r="CT8" s="20" t="e" cm="1">
        <f t="array" ref="CT8">SUM(_xlfn._xlws.FILTER(일별!#REF!, (일별!$A:$A &gt;= 월별!$A8) * (일별!$A:$A &lt; 월별!$A9), 0))</f>
        <v>#REF!</v>
      </c>
      <c r="CU8" s="20" t="e" cm="1">
        <f t="array" ref="CU8">SUM(_xlfn._xlws.FILTER(일별!#REF!, (일별!$A:$A &gt;= 월별!$A8) * (일별!$A:$A &lt; 월별!$A9), 0))</f>
        <v>#REF!</v>
      </c>
      <c r="CV8" s="20" t="e" cm="1">
        <f t="array" ref="CV8">SUM(_xlfn._xlws.FILTER(일별!#REF!, (일별!$A:$A &gt;= 월별!$A8) * (일별!$A:$A &lt; 월별!$A9), 0))</f>
        <v>#REF!</v>
      </c>
      <c r="CW8" s="20" t="e" cm="1">
        <f t="array" ref="CW8">SUM(_xlfn._xlws.FILTER(일별!#REF!, (일별!$A:$A &gt;= 월별!$A8) * (일별!$A:$A &lt; 월별!$A9), 0))</f>
        <v>#REF!</v>
      </c>
      <c r="CX8" s="20" t="e" cm="1">
        <f t="array" ref="CX8">SUM(_xlfn._xlws.FILTER(일별!#REF!, (일별!$A:$A &gt;= 월별!$A8) * (일별!$A:$A &lt; 월별!$A9), 0))</f>
        <v>#REF!</v>
      </c>
      <c r="CY8" s="20" t="e" cm="1">
        <f t="array" ref="CY8">SUM(_xlfn._xlws.FILTER(일별!#REF!, (일별!$A:$A &gt;= 월별!$A8) * (일별!$A:$A &lt; 월별!$A9), 0))</f>
        <v>#REF!</v>
      </c>
      <c r="CZ8" s="20" t="e" cm="1">
        <f t="array" ref="CZ8">SUM(_xlfn._xlws.FILTER(일별!#REF!, (일별!$A:$A &gt;= 월별!$A8) * (일별!$A:$A &lt; 월별!$A9), 0))</f>
        <v>#REF!</v>
      </c>
      <c r="DA8" s="20" t="e" cm="1">
        <f t="array" ref="DA8">SUM(_xlfn._xlws.FILTER(일별!#REF!, (일별!$A:$A &gt;= 월별!$A8) * (일별!$A:$A &lt; 월별!$A9), 0))</f>
        <v>#REF!</v>
      </c>
      <c r="DB8" s="20" t="e" cm="1">
        <f t="array" ref="DB8">SUM(_xlfn._xlws.FILTER(일별!#REF!, (일별!$A:$A &gt;= 월별!$A8) * (일별!$A:$A &lt; 월별!$A9), 0))</f>
        <v>#REF!</v>
      </c>
      <c r="DC8" s="20" t="e" cm="1">
        <f t="array" ref="DC8">SUM(_xlfn._xlws.FILTER(일별!#REF!, (일별!$A:$A &gt;= 월별!$A8) * (일별!$A:$A &lt; 월별!$A9), 0))</f>
        <v>#REF!</v>
      </c>
      <c r="DD8" s="20" t="e" cm="1">
        <f t="array" ref="DD8">SUM(_xlfn._xlws.FILTER(일별!#REF!, (일별!$A:$A &gt;= 월별!$A8) * (일별!$A:$A &lt; 월별!$A9), 0))</f>
        <v>#REF!</v>
      </c>
      <c r="DE8" s="20" t="e" cm="1">
        <f t="array" ref="DE8">SUM(_xlfn._xlws.FILTER(일별!#REF!, (일별!$A:$A &gt;= 월별!$A8) * (일별!$A:$A &lt; 월별!$A9), 0))</f>
        <v>#REF!</v>
      </c>
      <c r="DF8" s="20" t="e" cm="1">
        <f t="array" ref="DF8">SUM(_xlfn._xlws.FILTER(일별!#REF!, (일별!$A:$A &gt;= 월별!$A8) * (일별!$A:$A &lt; 월별!$A9), 0))</f>
        <v>#REF!</v>
      </c>
      <c r="DG8" s="20" t="e" cm="1">
        <f t="array" ref="DG8">SUM(_xlfn._xlws.FILTER(일별!#REF!, (일별!$A:$A &gt;= 월별!$A8) * (일별!$A:$A &lt; 월별!$A9), 0))</f>
        <v>#REF!</v>
      </c>
      <c r="DH8" s="20" t="e" cm="1">
        <f t="array" ref="DH8">SUM(_xlfn._xlws.FILTER(일별!#REF!, (일별!$A:$A &gt;= 월별!$A8) * (일별!$A:$A &lt; 월별!$A9), 0))</f>
        <v>#REF!</v>
      </c>
      <c r="DI8" s="19" t="e" cm="1">
        <f t="array" ref="DI8">SUM(_xlfn._xlws.FILTER(일별!#REF!, (일별!$A:$A &gt;= 월별!$A8) * (일별!$A:$A &lt; 월별!$A9), 0))</f>
        <v>#REF!</v>
      </c>
    </row>
    <row r="9" spans="1:113">
      <c r="A9" s="25">
        <v>45778</v>
      </c>
      <c r="B9" s="15">
        <f>SUMIFS(일별!$C:$C,
       일별!$A:$A, "&gt;="&amp;월별!$A9,
       일별!$A:$A, "&lt;"&amp;월별!$A10)</f>
        <v>436</v>
      </c>
      <c r="C9" s="16">
        <f>B9/(월별!$A10 - 월별!$A9)</f>
        <v>14.064516129032258</v>
      </c>
      <c r="D9" s="15">
        <f>SUMIFS(일별!E:E,
       일별!$A:$A, "&gt;="&amp;월별!$A9,
       일별!$A:$A, "&lt;"&amp;월별!$A10)</f>
        <v>1758</v>
      </c>
      <c r="E9" s="16">
        <f>D9/(월별!$A10 - 월별!$A9)</f>
        <v>56.70967741935484</v>
      </c>
      <c r="F9" s="12">
        <f>SUMIFS(일별!G:G,
       일별!$A:$A, "&gt;="&amp;월별!$A9,
       일별!$A:$A, "&lt;"&amp;월별!$A10)</f>
        <v>1324</v>
      </c>
      <c r="G9" s="16">
        <f>F9/(월별!$A10 - 월별!$A9)</f>
        <v>42.70967741935484</v>
      </c>
      <c r="H9" s="15">
        <f t="shared" si="0"/>
        <v>3082</v>
      </c>
      <c r="I9" s="16">
        <f t="shared" si="1"/>
        <v>99.41935483870968</v>
      </c>
      <c r="J9" s="12">
        <f>SUMIFS(일별!I:I,
       일별!$A:$A, "&gt;="&amp;월별!$A9,
       일별!$A:$A, "&lt;"&amp;월별!$A10)</f>
        <v>170</v>
      </c>
      <c r="K9" s="16">
        <f>J9/(월별!$A10 - 월별!$A9)</f>
        <v>5.4838709677419351</v>
      </c>
      <c r="L9" s="12">
        <f>SUMIFS(일별!K:K,
       일별!$A:$A, "&gt;="&amp;월별!$A9,
       일별!$A:$A, "&lt;"&amp;월별!$A10)</f>
        <v>170</v>
      </c>
      <c r="M9" s="16">
        <f>L9/(월별!$A10 - 월별!$A9)</f>
        <v>5.4838709677419351</v>
      </c>
      <c r="N9" s="12">
        <f>SUMIFS(일별!M:M,
       일별!$A:$A, "&gt;="&amp;월별!$A9,
       일별!$A:$A, "&lt;"&amp;월별!$A10)</f>
        <v>18.099999999999909</v>
      </c>
      <c r="O9" s="31">
        <f>N9/(월별!$A10 - 월별!$A9)</f>
        <v>0.58387096774193259</v>
      </c>
      <c r="P9" s="12">
        <f>SUMIFS(일별!O:O,
       일별!$A:$A, "&gt;="&amp;월별!$A9,
       일별!$A:$A, "&lt;"&amp;월별!$A10)</f>
        <v>2380</v>
      </c>
      <c r="Q9" s="16">
        <f>P9/(월별!$A10 - 월별!$A9)</f>
        <v>76.774193548387103</v>
      </c>
      <c r="R9" s="12">
        <f>SUMIFS(일별!Q:Q,
       일별!$A:$A, "&gt;="&amp;월별!$A9,
       일별!$A:$A, "&lt;"&amp;월별!$A10)</f>
        <v>4929</v>
      </c>
      <c r="S9" s="16">
        <f>R9/(월별!$A10 - 월별!$A9)</f>
        <v>159</v>
      </c>
      <c r="T9" s="12">
        <f>SUMIFS(일별!S:S,
       일별!$A:$A, "&gt;="&amp;월별!$A9,
       일별!$A:$A, "&lt;"&amp;월별!$A10)</f>
        <v>0.74999999999999645</v>
      </c>
      <c r="U9" s="16">
        <f>T9/(월별!$A10 - 월별!$A9)</f>
        <v>2.4193548387096659E-2</v>
      </c>
      <c r="V9" s="12">
        <f>SUMIFS(일별!U:U,
       일별!$A:$A, "&gt;="&amp;월별!$A9,
       일별!$A:$A, "&lt;"&amp;월별!$A10)</f>
        <v>1.1400000000000006</v>
      </c>
      <c r="W9" s="16">
        <f>V9/(월별!$A10 - 월별!$A9)</f>
        <v>3.6774193548387117E-2</v>
      </c>
      <c r="X9" s="12">
        <f>SUMIFS(일별!W:W,
       일별!$A:$A, "&gt;="&amp;월별!$A9,
       일별!$A:$A, "&lt;"&amp;월별!$A10)</f>
        <v>0</v>
      </c>
      <c r="Y9" s="16">
        <f>X9/(월별!$A10 - 월별!$A9)</f>
        <v>0</v>
      </c>
      <c r="Z9" s="15">
        <f>SUMIFS(일별!X:X,
       일별!$A:$A, "&gt;="&amp;월별!$A9,
       일별!$A:$A, "&lt;"&amp;월별!$A10)</f>
        <v>477928.00000000297</v>
      </c>
      <c r="AA9" s="12">
        <f>SUMIFS(일별!Y:Y,
       일별!$A:$A, "&gt;="&amp;월별!$A9,
       일별!$A:$A, "&lt;"&amp;월별!$A10)</f>
        <v>0</v>
      </c>
      <c r="AB9" s="12">
        <f>SUMIFS(일별!Z:Z,
       일별!$A:$A, "&gt;="&amp;월별!$A9,
       일별!$A:$A, "&lt;"&amp;월별!$A10)</f>
        <v>0</v>
      </c>
      <c r="AC9" s="12">
        <f>SUMIFS(일별!AA:AA,
       일별!$A:$A, "&gt;="&amp;월별!$A9,
       일별!$A:$A, "&lt;"&amp;월별!$A10)</f>
        <v>0</v>
      </c>
      <c r="AD9" s="12">
        <f>SUMIFS(일별!AB:AB,
       일별!$A:$A, "&gt;="&amp;월별!$A9,
       일별!$A:$A, "&lt;"&amp;월별!$A10)</f>
        <v>0</v>
      </c>
      <c r="AE9" s="16">
        <f>SUMIFS(일별!AC:AC,
       일별!$A:$A, "&gt;="&amp;월별!$A9,
       일별!$A:$A, "&lt;"&amp;월별!$A10)</f>
        <v>0</v>
      </c>
      <c r="AF9" s="15">
        <f>SUMIFS(일별!AD:AD,
       일별!$A:$A, "&gt;="&amp;월별!$A9,
       일별!$A:$A, "&lt;"&amp;월별!$A10)</f>
        <v>105</v>
      </c>
      <c r="AG9" s="12">
        <f>SUMIFS(일별!AE:AE,
       일별!$A:$A, "&gt;="&amp;월별!$A9,
       일별!$A:$A, "&lt;"&amp;월별!$A10)</f>
        <v>0</v>
      </c>
      <c r="AH9" s="12">
        <f>SUMIFS(일별!AF:AF,
       일별!$A:$A, "&gt;="&amp;월별!$A9,
       일별!$A:$A, "&lt;"&amp;월별!$A10)</f>
        <v>0</v>
      </c>
      <c r="AI9" s="16">
        <f>SUMIFS(일별!AG:AG,
       일별!$A:$A, "&gt;="&amp;월별!$A9,
       일별!$A:$A, "&lt;"&amp;월별!$A10)</f>
        <v>0</v>
      </c>
      <c r="AJ9" s="15">
        <f>SUMIFS(일별!AX:AX,
       일별!$A:$A, "&gt;="&amp;월별!$A9,
       일별!$A:$A, "&lt;"&amp;월별!$A10)</f>
        <v>3004</v>
      </c>
      <c r="AK9" s="12">
        <f>SUMIFS(일별!AY:AY,
       일별!$A:$A, "&gt;="&amp;월별!$A9,
       일별!$A:$A, "&lt;"&amp;월별!$A10)</f>
        <v>0</v>
      </c>
      <c r="AL9" s="12">
        <f>SUMIFS(일별!AZ:AZ,
       일별!$A:$A, "&gt;="&amp;월별!$A9,
       일별!$A:$A, "&lt;"&amp;월별!$A10)</f>
        <v>0</v>
      </c>
      <c r="AM9" s="12">
        <f>SUMIFS(일별!BA:BA,
       일별!$A:$A, "&gt;="&amp;월별!$A9,
       일별!$A:$A, "&lt;"&amp;월별!$A10)</f>
        <v>0</v>
      </c>
      <c r="AN9" s="12">
        <f>SUMIFS(일별!BB:BB,
       일별!$A:$A, "&gt;="&amp;월별!$A9,
       일별!$A:$A, "&lt;"&amp;월별!$A10)</f>
        <v>0</v>
      </c>
      <c r="AO9" s="16">
        <f>SUMIFS(일별!BC:BC,
       일별!$A:$A, "&gt;="&amp;월별!$A9,
       일별!$A:$A, "&lt;"&amp;월별!$A10)</f>
        <v>3004</v>
      </c>
      <c r="AP9" s="18" t="e" cm="1">
        <f t="array" ref="AP9">SUM(_xlfn._xlws.FILTER(일별!#REF!, (일별!$A:$A &gt;= 월별!$A9) * (일별!$A:$A &lt; 월별!$A10), 0))</f>
        <v>#REF!</v>
      </c>
      <c r="AQ9" s="20" t="e">
        <f>AP9/(월별!$A10 - 월별!$A9)</f>
        <v>#REF!</v>
      </c>
      <c r="AR9" s="20" t="e" cm="1">
        <f t="array" ref="AR9">SUM(_xlfn._xlws.FILTER(일별!#REF!, (일별!$A:$A &gt;= 월별!$A9) * (일별!$A:$A &lt; 월별!$A10), 0))</f>
        <v>#REF!</v>
      </c>
      <c r="AS9" s="20" t="e">
        <f>AR9/(월별!$A10 - 월별!$A9)</f>
        <v>#REF!</v>
      </c>
      <c r="AT9" s="20" t="e" cm="1">
        <f t="array" ref="AT9">SUM(_xlfn._xlws.FILTER(일별!#REF!, (일별!$A:$A &gt;= 월별!$A9) * (일별!$A:$A &lt; 월별!$A10), 0))</f>
        <v>#REF!</v>
      </c>
      <c r="AU9" s="20" t="e">
        <f>AT9/(월별!$A10 - 월별!$A9)</f>
        <v>#REF!</v>
      </c>
      <c r="AV9" s="18" t="e" cm="1">
        <f t="array" ref="AV9">SUM(_xlfn._xlws.FILTER(일별!#REF!, (일별!$A:$A &gt;= 월별!$A9) * (일별!$A:$A &lt; 월별!$A10), 0))</f>
        <v>#REF!</v>
      </c>
      <c r="AW9" s="20" t="e" cm="1">
        <f t="array" ref="AW9">SUM(_xlfn._xlws.FILTER(일별!#REF!, (일별!$A:$A &gt;= 월별!$A9) * (일별!$A:$A &lt; 월별!$A10), 0))</f>
        <v>#REF!</v>
      </c>
      <c r="AX9" s="20" t="e" cm="1">
        <f t="array" ref="AX9">SUM(_xlfn._xlws.FILTER(일별!#REF!, (일별!$A:$A &gt;= 월별!$A9) * (일별!$A:$A &lt; 월별!$A10), 0))</f>
        <v>#REF!</v>
      </c>
      <c r="AY9" s="20" t="e" cm="1">
        <f t="array" ref="AY9">SUM(_xlfn._xlws.FILTER(일별!#REF!, (일별!$A:$A &gt;= 월별!$A9) * (일별!$A:$A &lt; 월별!$A10), 0))</f>
        <v>#REF!</v>
      </c>
      <c r="AZ9" s="20" t="e" cm="1">
        <f t="array" ref="AZ9">SUM(_xlfn._xlws.FILTER(일별!#REF!, (일별!$A:$A &gt;= 월별!$A9) * (일별!$A:$A &lt; 월별!$A10), 0))</f>
        <v>#REF!</v>
      </c>
      <c r="BA9" s="20" t="e" cm="1">
        <f t="array" ref="BA9">SUM(_xlfn._xlws.FILTER(일별!#REF!, (일별!$A:$A &gt;= 월별!$A9) * (일별!$A:$A &lt; 월별!$A10), 0))</f>
        <v>#REF!</v>
      </c>
      <c r="BB9" s="20" t="e" cm="1">
        <f t="array" ref="BB9">SUM(_xlfn._xlws.FILTER(일별!#REF!, (일별!$A:$A &gt;= 월별!$A9) * (일별!$A:$A &lt; 월별!$A10), 0))</f>
        <v>#REF!</v>
      </c>
      <c r="BC9" s="20" t="e" cm="1">
        <f t="array" ref="BC9">SUM(_xlfn._xlws.FILTER(일별!#REF!, (일별!$A:$A &gt;= 월별!$A9) * (일별!$A:$A &lt; 월별!$A10), 0))</f>
        <v>#REF!</v>
      </c>
      <c r="BD9" s="20" t="e" cm="1">
        <f t="array" ref="BD9">SUM(_xlfn._xlws.FILTER(일별!#REF!, (일별!$A:$A &gt;= 월별!$A9) * (일별!$A:$A &lt; 월별!$A10), 0))</f>
        <v>#REF!</v>
      </c>
      <c r="BE9" s="20" t="e" cm="1">
        <f t="array" ref="BE9">SUM(_xlfn._xlws.FILTER(일별!#REF!, (일별!$A:$A &gt;= 월별!$A9) * (일별!$A:$A &lt; 월별!$A10), 0))</f>
        <v>#REF!</v>
      </c>
      <c r="BF9" s="20" t="e" cm="1">
        <f t="array" ref="BF9">SUM(_xlfn._xlws.FILTER(일별!#REF!, (일별!$A:$A &gt;= 월별!$A9) * (일별!$A:$A &lt; 월별!$A10), 0))</f>
        <v>#REF!</v>
      </c>
      <c r="BG9" s="20" t="e" cm="1">
        <f t="array" ref="BG9">SUM(_xlfn._xlws.FILTER(일별!#REF!, (일별!$A:$A &gt;= 월별!$A9) * (일별!$A:$A &lt; 월별!$A10), 0))</f>
        <v>#REF!</v>
      </c>
      <c r="BH9" s="20" t="e" cm="1">
        <f t="array" ref="BH9">SUM(_xlfn._xlws.FILTER(일별!#REF!, (일별!$A:$A &gt;= 월별!$A9) * (일별!$A:$A &lt; 월별!$A10), 0))</f>
        <v>#REF!</v>
      </c>
      <c r="BI9" s="20" t="e" cm="1">
        <f t="array" ref="BI9">SUM(_xlfn._xlws.FILTER(일별!#REF!, (일별!$A:$A &gt;= 월별!$A9) * (일별!$A:$A &lt; 월별!$A10), 0))</f>
        <v>#REF!</v>
      </c>
      <c r="BJ9" s="20" t="e" cm="1">
        <f t="array" ref="BJ9">SUM(_xlfn._xlws.FILTER(일별!#REF!, (일별!$A:$A &gt;= 월별!$A9) * (일별!$A:$A &lt; 월별!$A10), 0))</f>
        <v>#REF!</v>
      </c>
      <c r="BK9" s="20" t="e" cm="1">
        <f t="array" ref="BK9">SUM(_xlfn._xlws.FILTER(일별!#REF!, (일별!$A:$A &gt;= 월별!$A9) * (일별!$A:$A &lt; 월별!$A10), 0))</f>
        <v>#REF!</v>
      </c>
      <c r="BL9" s="20" t="e" cm="1">
        <f t="array" ref="BL9">SUM(_xlfn._xlws.FILTER(일별!#REF!, (일별!$A:$A &gt;= 월별!$A9) * (일별!$A:$A &lt; 월별!$A10), 0))</f>
        <v>#REF!</v>
      </c>
      <c r="BM9" s="20" t="e" cm="1">
        <f t="array" ref="BM9">SUM(_xlfn._xlws.FILTER(일별!#REF!, (일별!$A:$A &gt;= 월별!$A9) * (일별!$A:$A &lt; 월별!$A10), 0))</f>
        <v>#REF!</v>
      </c>
      <c r="BN9" s="20" t="e" cm="1">
        <f t="array" ref="BN9">SUM(_xlfn._xlws.FILTER(일별!#REF!, (일별!$A:$A &gt;= 월별!$A9) * (일별!$A:$A &lt; 월별!$A10), 0))</f>
        <v>#REF!</v>
      </c>
      <c r="BO9" s="20" t="e" cm="1">
        <f t="array" ref="BO9">SUM(_xlfn._xlws.FILTER(일별!#REF!, (일별!$A:$A &gt;= 월별!$A9) * (일별!$A:$A &lt; 월별!$A10), 0))</f>
        <v>#REF!</v>
      </c>
      <c r="BP9" s="20" t="e" cm="1">
        <f t="array" ref="BP9">SUM(_xlfn._xlws.FILTER(일별!#REF!, (일별!$A:$A &gt;= 월별!$A9) * (일별!$A:$A &lt; 월별!$A10), 0))</f>
        <v>#REF!</v>
      </c>
      <c r="BQ9" s="19" t="e" cm="1">
        <f t="array" ref="BQ9">SUM(_xlfn._xlws.FILTER(일별!#REF!, (일별!$A:$A &gt;= 월별!$A9) * (일별!$A:$A &lt; 월별!$A10), 0))</f>
        <v>#REF!</v>
      </c>
      <c r="BR9" s="18" t="e" cm="1">
        <f t="array" ref="BR9">SUM(_xlfn._xlws.FILTER(일별!#REF!, (일별!$A:$A &gt;= 월별!$A9) * (일별!$A:$A &lt; 월별!$A10), 0))</f>
        <v>#REF!</v>
      </c>
      <c r="BS9" s="20" t="e" cm="1">
        <f t="array" ref="BS9">SUM(_xlfn._xlws.FILTER(일별!#REF!, (일별!$A:$A &gt;= 월별!$A9) * (일별!$A:$A &lt; 월별!$A10), 0))</f>
        <v>#REF!</v>
      </c>
      <c r="BT9" s="20" t="e" cm="1">
        <f t="array" ref="BT9">SUM(_xlfn._xlws.FILTER(일별!#REF!, (일별!$A:$A &gt;= 월별!$A9) * (일별!$A:$A &lt; 월별!$A10), 0))</f>
        <v>#REF!</v>
      </c>
      <c r="BU9" s="20" t="e" cm="1">
        <f t="array" ref="BU9">SUM(_xlfn._xlws.FILTER(일별!#REF!, (일별!$A:$A &gt;= 월별!$A9) * (일별!$A:$A &lt; 월별!$A10), 0))</f>
        <v>#REF!</v>
      </c>
      <c r="BV9" s="20" t="e" cm="1">
        <f t="array" ref="BV9">SUM(_xlfn._xlws.FILTER(일별!#REF!, (일별!$A:$A &gt;= 월별!$A9) * (일별!$A:$A &lt; 월별!$A10), 0))</f>
        <v>#REF!</v>
      </c>
      <c r="BW9" s="20" t="e" cm="1">
        <f t="array" ref="BW9">SUM(_xlfn._xlws.FILTER(일별!#REF!, (일별!$A:$A &gt;= 월별!$A9) * (일별!$A:$A &lt; 월별!$A10), 0))</f>
        <v>#REF!</v>
      </c>
      <c r="BX9" s="20" t="e" cm="1">
        <f t="array" ref="BX9">SUM(_xlfn._xlws.FILTER(일별!#REF!, (일별!$A:$A &gt;= 월별!$A9) * (일별!$A:$A &lt; 월별!$A10), 0))</f>
        <v>#REF!</v>
      </c>
      <c r="BY9" s="20" t="e" cm="1">
        <f t="array" ref="BY9">SUM(_xlfn._xlws.FILTER(일별!#REF!, (일별!$A:$A &gt;= 월별!$A9) * (일별!$A:$A &lt; 월별!$A10), 0))</f>
        <v>#REF!</v>
      </c>
      <c r="BZ9" s="20" t="e" cm="1">
        <f t="array" ref="BZ9">SUM(_xlfn._xlws.FILTER(일별!#REF!, (일별!$A:$A &gt;= 월별!$A9) * (일별!$A:$A &lt; 월별!$A10), 0))</f>
        <v>#REF!</v>
      </c>
      <c r="CA9" s="20" t="e" cm="1">
        <f t="array" ref="CA9">SUM(_xlfn._xlws.FILTER(일별!#REF!, (일별!$A:$A &gt;= 월별!$A9) * (일별!$A:$A &lt; 월별!$A10), 0))</f>
        <v>#REF!</v>
      </c>
      <c r="CB9" s="20" t="e" cm="1">
        <f t="array" ref="CB9">SUM(_xlfn._xlws.FILTER(일별!#REF!, (일별!$A:$A &gt;= 월별!$A9) * (일별!$A:$A &lt; 월별!$A10), 0))</f>
        <v>#REF!</v>
      </c>
      <c r="CC9" s="20" t="e" cm="1">
        <f t="array" ref="CC9">SUM(_xlfn._xlws.FILTER(일별!#REF!, (일별!$A:$A &gt;= 월별!$A9) * (일별!$A:$A &lt; 월별!$A10), 0))</f>
        <v>#REF!</v>
      </c>
      <c r="CD9" s="20" t="e" cm="1">
        <f t="array" ref="CD9">SUM(_xlfn._xlws.FILTER(일별!#REF!, (일별!$A:$A &gt;= 월별!$A9) * (일별!$A:$A &lt; 월별!$A10), 0))</f>
        <v>#REF!</v>
      </c>
      <c r="CE9" s="20" t="e" cm="1">
        <f t="array" ref="CE9">SUM(_xlfn._xlws.FILTER(일별!#REF!, (일별!$A:$A &gt;= 월별!$A9) * (일별!$A:$A &lt; 월별!$A10), 0))</f>
        <v>#REF!</v>
      </c>
      <c r="CF9" s="20" t="e" cm="1">
        <f t="array" ref="CF9">SUM(_xlfn._xlws.FILTER(일별!#REF!, (일별!$A:$A &gt;= 월별!$A9) * (일별!$A:$A &lt; 월별!$A10), 0))</f>
        <v>#REF!</v>
      </c>
      <c r="CG9" s="20" t="e" cm="1">
        <f t="array" ref="CG9">SUM(_xlfn._xlws.FILTER(일별!#REF!, (일별!$A:$A &gt;= 월별!$A9) * (일별!$A:$A &lt; 월별!$A10), 0))</f>
        <v>#REF!</v>
      </c>
      <c r="CH9" s="20" t="e" cm="1">
        <f t="array" ref="CH9">SUM(_xlfn._xlws.FILTER(일별!#REF!, (일별!$A:$A &gt;= 월별!$A9) * (일별!$A:$A &lt; 월별!$A10), 0))</f>
        <v>#REF!</v>
      </c>
      <c r="CI9" s="20" t="e" cm="1">
        <f t="array" ref="CI9">SUM(_xlfn._xlws.FILTER(일별!#REF!, (일별!$A:$A &gt;= 월별!$A9) * (일별!$A:$A &lt; 월별!$A10), 0))</f>
        <v>#REF!</v>
      </c>
      <c r="CJ9" s="20" t="e" cm="1">
        <f t="array" ref="CJ9">SUM(_xlfn._xlws.FILTER(일별!#REF!, (일별!$A:$A &gt;= 월별!$A9) * (일별!$A:$A &lt; 월별!$A10), 0))</f>
        <v>#REF!</v>
      </c>
      <c r="CK9" s="20" t="e" cm="1">
        <f t="array" ref="CK9">SUM(_xlfn._xlws.FILTER(일별!#REF!, (일별!$A:$A &gt;= 월별!$A9) * (일별!$A:$A &lt; 월별!$A10), 0))</f>
        <v>#REF!</v>
      </c>
      <c r="CL9" s="20" t="e" cm="1">
        <f t="array" ref="CL9">SUM(_xlfn._xlws.FILTER(일별!#REF!, (일별!$A:$A &gt;= 월별!$A9) * (일별!$A:$A &lt; 월별!$A10), 0))</f>
        <v>#REF!</v>
      </c>
      <c r="CM9" s="19" t="e" cm="1">
        <f t="array" ref="CM9">SUM(_xlfn._xlws.FILTER(일별!#REF!, (일별!$A:$A &gt;= 월별!$A9) * (일별!$A:$A &lt; 월별!$A10), 0))</f>
        <v>#REF!</v>
      </c>
      <c r="CN9" s="18" t="e" cm="1">
        <f t="array" ref="CN9">SUM(_xlfn._xlws.FILTER(일별!#REF!, (일별!$A:$A &gt;= 월별!$A9) * (일별!$A:$A &lt; 월별!$A10), 0))</f>
        <v>#REF!</v>
      </c>
      <c r="CO9" s="20" t="e" cm="1">
        <f t="array" ref="CO9">SUM(_xlfn._xlws.FILTER(일별!#REF!, (일별!$A:$A &gt;= 월별!$A9) * (일별!$A:$A &lt; 월별!$A10), 0))</f>
        <v>#REF!</v>
      </c>
      <c r="CP9" s="20" t="e" cm="1">
        <f t="array" ref="CP9">SUM(_xlfn._xlws.FILTER(일별!#REF!, (일별!$A:$A &gt;= 월별!$A9) * (일별!$A:$A &lt; 월별!$A10), 0))</f>
        <v>#REF!</v>
      </c>
      <c r="CQ9" s="20" t="e" cm="1">
        <f t="array" ref="CQ9">SUM(_xlfn._xlws.FILTER(일별!#REF!, (일별!$A:$A &gt;= 월별!$A9) * (일별!$A:$A &lt; 월별!$A10), 0))</f>
        <v>#REF!</v>
      </c>
      <c r="CR9" s="20" t="e" cm="1">
        <f t="array" ref="CR9">SUM(_xlfn._xlws.FILTER(일별!#REF!, (일별!$A:$A &gt;= 월별!$A9) * (일별!$A:$A &lt; 월별!$A10), 0))</f>
        <v>#REF!</v>
      </c>
      <c r="CS9" s="20" t="e" cm="1">
        <f t="array" ref="CS9">SUM(_xlfn._xlws.FILTER(일별!#REF!, (일별!$A:$A &gt;= 월별!$A9) * (일별!$A:$A &lt; 월별!$A10), 0))</f>
        <v>#REF!</v>
      </c>
      <c r="CT9" s="20" t="e" cm="1">
        <f t="array" ref="CT9">SUM(_xlfn._xlws.FILTER(일별!#REF!, (일별!$A:$A &gt;= 월별!$A9) * (일별!$A:$A &lt; 월별!$A10), 0))</f>
        <v>#REF!</v>
      </c>
      <c r="CU9" s="20" t="e" cm="1">
        <f t="array" ref="CU9">SUM(_xlfn._xlws.FILTER(일별!#REF!, (일별!$A:$A &gt;= 월별!$A9) * (일별!$A:$A &lt; 월별!$A10), 0))</f>
        <v>#REF!</v>
      </c>
      <c r="CV9" s="20" t="e" cm="1">
        <f t="array" ref="CV9">SUM(_xlfn._xlws.FILTER(일별!#REF!, (일별!$A:$A &gt;= 월별!$A9) * (일별!$A:$A &lt; 월별!$A10), 0))</f>
        <v>#REF!</v>
      </c>
      <c r="CW9" s="20" t="e" cm="1">
        <f t="array" ref="CW9">SUM(_xlfn._xlws.FILTER(일별!#REF!, (일별!$A:$A &gt;= 월별!$A9) * (일별!$A:$A &lt; 월별!$A10), 0))</f>
        <v>#REF!</v>
      </c>
      <c r="CX9" s="20" t="e" cm="1">
        <f t="array" ref="CX9">SUM(_xlfn._xlws.FILTER(일별!#REF!, (일별!$A:$A &gt;= 월별!$A9) * (일별!$A:$A &lt; 월별!$A10), 0))</f>
        <v>#REF!</v>
      </c>
      <c r="CY9" s="20" t="e" cm="1">
        <f t="array" ref="CY9">SUM(_xlfn._xlws.FILTER(일별!#REF!, (일별!$A:$A &gt;= 월별!$A9) * (일별!$A:$A &lt; 월별!$A10), 0))</f>
        <v>#REF!</v>
      </c>
      <c r="CZ9" s="20" t="e" cm="1">
        <f t="array" ref="CZ9">SUM(_xlfn._xlws.FILTER(일별!#REF!, (일별!$A:$A &gt;= 월별!$A9) * (일별!$A:$A &lt; 월별!$A10), 0))</f>
        <v>#REF!</v>
      </c>
      <c r="DA9" s="20" t="e" cm="1">
        <f t="array" ref="DA9">SUM(_xlfn._xlws.FILTER(일별!#REF!, (일별!$A:$A &gt;= 월별!$A9) * (일별!$A:$A &lt; 월별!$A10), 0))</f>
        <v>#REF!</v>
      </c>
      <c r="DB9" s="20" t="e" cm="1">
        <f t="array" ref="DB9">SUM(_xlfn._xlws.FILTER(일별!#REF!, (일별!$A:$A &gt;= 월별!$A9) * (일별!$A:$A &lt; 월별!$A10), 0))</f>
        <v>#REF!</v>
      </c>
      <c r="DC9" s="20" t="e" cm="1">
        <f t="array" ref="DC9">SUM(_xlfn._xlws.FILTER(일별!#REF!, (일별!$A:$A &gt;= 월별!$A9) * (일별!$A:$A &lt; 월별!$A10), 0))</f>
        <v>#REF!</v>
      </c>
      <c r="DD9" s="20" t="e" cm="1">
        <f t="array" ref="DD9">SUM(_xlfn._xlws.FILTER(일별!#REF!, (일별!$A:$A &gt;= 월별!$A9) * (일별!$A:$A &lt; 월별!$A10), 0))</f>
        <v>#REF!</v>
      </c>
      <c r="DE9" s="20" t="e" cm="1">
        <f t="array" ref="DE9">SUM(_xlfn._xlws.FILTER(일별!#REF!, (일별!$A:$A &gt;= 월별!$A9) * (일별!$A:$A &lt; 월별!$A10), 0))</f>
        <v>#REF!</v>
      </c>
      <c r="DF9" s="20" t="e" cm="1">
        <f t="array" ref="DF9">SUM(_xlfn._xlws.FILTER(일별!#REF!, (일별!$A:$A &gt;= 월별!$A9) * (일별!$A:$A &lt; 월별!$A10), 0))</f>
        <v>#REF!</v>
      </c>
      <c r="DG9" s="20" t="e" cm="1">
        <f t="array" ref="DG9">SUM(_xlfn._xlws.FILTER(일별!#REF!, (일별!$A:$A &gt;= 월별!$A9) * (일별!$A:$A &lt; 월별!$A10), 0))</f>
        <v>#REF!</v>
      </c>
      <c r="DH9" s="20" t="e" cm="1">
        <f t="array" ref="DH9">SUM(_xlfn._xlws.FILTER(일별!#REF!, (일별!$A:$A &gt;= 월별!$A9) * (일별!$A:$A &lt; 월별!$A10), 0))</f>
        <v>#REF!</v>
      </c>
      <c r="DI9" s="19" t="e" cm="1">
        <f t="array" ref="DI9">SUM(_xlfn._xlws.FILTER(일별!#REF!, (일별!$A:$A &gt;= 월별!$A9) * (일별!$A:$A &lt; 월별!$A10), 0))</f>
        <v>#REF!</v>
      </c>
    </row>
    <row r="10" spans="1:113">
      <c r="A10" s="25">
        <v>45809</v>
      </c>
      <c r="B10" s="15">
        <f>SUMIFS(일별!$C:$C,
       일별!$A:$A, "&gt;="&amp;월별!$A10,
       일별!$A:$A, "&lt;"&amp;월별!$A11)</f>
        <v>391</v>
      </c>
      <c r="C10" s="16">
        <f>B10/(월별!$A11 - 월별!$A10)</f>
        <v>13.033333333333333</v>
      </c>
      <c r="D10" s="15">
        <f>SUMIFS(일별!E:E,
       일별!$A:$A, "&gt;="&amp;월별!$A10,
       일별!$A:$A, "&lt;"&amp;월별!$A11)</f>
        <v>1024</v>
      </c>
      <c r="E10" s="16">
        <f>D10/(월별!$A11 - 월별!$A10)</f>
        <v>34.133333333333333</v>
      </c>
      <c r="F10" s="12">
        <f>SUMIFS(일별!G:G,
       일별!$A:$A, "&gt;="&amp;월별!$A10,
       일별!$A:$A, "&lt;"&amp;월별!$A11)</f>
        <v>916</v>
      </c>
      <c r="G10" s="16">
        <f>F10/(월별!$A11 - 월별!$A10)</f>
        <v>30.533333333333335</v>
      </c>
      <c r="H10" s="15">
        <f t="shared" si="0"/>
        <v>1940</v>
      </c>
      <c r="I10" s="16">
        <f t="shared" si="1"/>
        <v>64.666666666666671</v>
      </c>
      <c r="J10" s="12">
        <f>SUMIFS(일별!I:I,
       일별!$A:$A, "&gt;="&amp;월별!$A10,
       일별!$A:$A, "&lt;"&amp;월별!$A11)</f>
        <v>195.32999999999993</v>
      </c>
      <c r="K10" s="16">
        <f>J10/(월별!$A11 - 월별!$A10)</f>
        <v>6.5109999999999975</v>
      </c>
      <c r="L10" s="12">
        <f>SUMIFS(일별!K:K,
       일별!$A:$A, "&gt;="&amp;월별!$A10,
       일별!$A:$A, "&lt;"&amp;월별!$A11)</f>
        <v>195.32999999999993</v>
      </c>
      <c r="M10" s="16">
        <f>L10/(월별!$A11 - 월별!$A10)</f>
        <v>6.5109999999999975</v>
      </c>
      <c r="N10" s="12">
        <f>SUMIFS(일별!M:M,
       일별!$A:$A, "&gt;="&amp;월별!$A10,
       일별!$A:$A, "&lt;"&amp;월별!$A11)</f>
        <v>16.5</v>
      </c>
      <c r="O10" s="31">
        <f>N10/(월별!$A11 - 월별!$A10)</f>
        <v>0.55000000000000004</v>
      </c>
      <c r="P10" s="12">
        <f>SUMIFS(일별!O:O,
       일별!$A:$A, "&gt;="&amp;월별!$A10,
       일별!$A:$A, "&lt;"&amp;월별!$A11)</f>
        <v>1072</v>
      </c>
      <c r="Q10" s="16">
        <f>P10/(월별!$A11 - 월별!$A10)</f>
        <v>35.733333333333334</v>
      </c>
      <c r="R10" s="12">
        <f>SUMIFS(일별!Q:Q,
       일별!$A:$A, "&gt;="&amp;월별!$A10,
       일별!$A:$A, "&lt;"&amp;월별!$A11)</f>
        <v>3810</v>
      </c>
      <c r="S10" s="16">
        <f>R10/(월별!$A11 - 월별!$A10)</f>
        <v>127</v>
      </c>
      <c r="T10" s="12">
        <f>SUMIFS(일별!S:S,
       일별!$A:$A, "&gt;="&amp;월별!$A10,
       일별!$A:$A, "&lt;"&amp;월별!$A11)</f>
        <v>1.3500000000000014</v>
      </c>
      <c r="U10" s="16">
        <f>T10/(월별!$A11 - 월별!$A10)</f>
        <v>4.5000000000000047E-2</v>
      </c>
      <c r="V10" s="12">
        <f>SUMIFS(일별!U:U,
       일별!$A:$A, "&gt;="&amp;월별!$A10,
       일별!$A:$A, "&lt;"&amp;월별!$A11)</f>
        <v>1.4099999999999966</v>
      </c>
      <c r="W10" s="16">
        <f>V10/(월별!$A11 - 월별!$A10)</f>
        <v>4.6999999999999889E-2</v>
      </c>
      <c r="X10" s="12">
        <f>SUMIFS(일별!W:W,
       일별!$A:$A, "&gt;="&amp;월별!$A10,
       일별!$A:$A, "&lt;"&amp;월별!$A11)</f>
        <v>8685</v>
      </c>
      <c r="Y10" s="16">
        <f>X10/(월별!$A11 - 월별!$A10)</f>
        <v>289.5</v>
      </c>
      <c r="Z10" s="15">
        <f>SUMIFS(일별!X:X,
       일별!$A:$A, "&gt;="&amp;월별!$A10,
       일별!$A:$A, "&lt;"&amp;월별!$A11)</f>
        <v>0</v>
      </c>
      <c r="AA10" s="12">
        <f>SUMIFS(일별!Y:Y,
       일별!$A:$A, "&gt;="&amp;월별!$A10,
       일별!$A:$A, "&lt;"&amp;월별!$A11)</f>
        <v>0</v>
      </c>
      <c r="AB10" s="12">
        <f>SUMIFS(일별!Z:Z,
       일별!$A:$A, "&gt;="&amp;월별!$A10,
       일별!$A:$A, "&lt;"&amp;월별!$A11)</f>
        <v>0</v>
      </c>
      <c r="AC10" s="12">
        <f>SUMIFS(일별!AA:AA,
       일별!$A:$A, "&gt;="&amp;월별!$A10,
       일별!$A:$A, "&lt;"&amp;월별!$A11)</f>
        <v>0</v>
      </c>
      <c r="AD10" s="12">
        <f>SUMIFS(일별!AB:AB,
       일별!$A:$A, "&gt;="&amp;월별!$A10,
       일별!$A:$A, "&lt;"&amp;월별!$A11)</f>
        <v>0</v>
      </c>
      <c r="AE10" s="16">
        <f>SUMIFS(일별!AC:AC,
       일별!$A:$A, "&gt;="&amp;월별!$A10,
       일별!$A:$A, "&lt;"&amp;월별!$A11)</f>
        <v>0</v>
      </c>
      <c r="AF10" s="15">
        <f>SUMIFS(일별!AD:AD,
       일별!$A:$A, "&gt;="&amp;월별!$A10,
       일별!$A:$A, "&lt;"&amp;월별!$A11)</f>
        <v>0</v>
      </c>
      <c r="AG10" s="12">
        <f>SUMIFS(일별!AE:AE,
       일별!$A:$A, "&gt;="&amp;월별!$A10,
       일별!$A:$A, "&lt;"&amp;월별!$A11)</f>
        <v>0</v>
      </c>
      <c r="AH10" s="12">
        <f>SUMIFS(일별!AF:AF,
       일별!$A:$A, "&gt;="&amp;월별!$A10,
       일별!$A:$A, "&lt;"&amp;월별!$A11)</f>
        <v>0</v>
      </c>
      <c r="AI10" s="16">
        <f>SUMIFS(일별!AG:AG,
       일별!$A:$A, "&gt;="&amp;월별!$A10,
       일별!$A:$A, "&lt;"&amp;월별!$A11)</f>
        <v>0</v>
      </c>
      <c r="AJ10" s="15">
        <f>SUMIFS(일별!AX:AX,
       일별!$A:$A, "&gt;="&amp;월별!$A10,
       일별!$A:$A, "&lt;"&amp;월별!$A11)</f>
        <v>0</v>
      </c>
      <c r="AK10" s="12">
        <f>SUMIFS(일별!AY:AY,
       일별!$A:$A, "&gt;="&amp;월별!$A10,
       일별!$A:$A, "&lt;"&amp;월별!$A11)</f>
        <v>0</v>
      </c>
      <c r="AL10" s="12">
        <f>SUMIFS(일별!AZ:AZ,
       일별!$A:$A, "&gt;="&amp;월별!$A10,
       일별!$A:$A, "&lt;"&amp;월별!$A11)</f>
        <v>0</v>
      </c>
      <c r="AM10" s="12">
        <f>SUMIFS(일별!BA:BA,
       일별!$A:$A, "&gt;="&amp;월별!$A10,
       일별!$A:$A, "&lt;"&amp;월별!$A11)</f>
        <v>0</v>
      </c>
      <c r="AN10" s="12">
        <f>SUMIFS(일별!BB:BB,
       일별!$A:$A, "&gt;="&amp;월별!$A10,
       일별!$A:$A, "&lt;"&amp;월별!$A11)</f>
        <v>0</v>
      </c>
      <c r="AO10" s="16">
        <f>SUMIFS(일별!BC:BC,
       일별!$A:$A, "&gt;="&amp;월별!$A10,
       일별!$A:$A, "&lt;"&amp;월별!$A11)</f>
        <v>0</v>
      </c>
      <c r="AP10" s="18" t="e" cm="1">
        <f t="array" ref="AP10">SUM(_xlfn._xlws.FILTER(일별!#REF!, (일별!$A:$A &gt;= 월별!$A10) * (일별!$A:$A &lt; 월별!$A11), 0))</f>
        <v>#REF!</v>
      </c>
      <c r="AQ10" s="20" t="e">
        <f>AP10/(월별!$A11 - 월별!$A10)</f>
        <v>#REF!</v>
      </c>
      <c r="AR10" s="20" t="e" cm="1">
        <f t="array" ref="AR10">SUM(_xlfn._xlws.FILTER(일별!#REF!, (일별!$A:$A &gt;= 월별!$A10) * (일별!$A:$A &lt; 월별!$A11), 0))</f>
        <v>#REF!</v>
      </c>
      <c r="AS10" s="20" t="e">
        <f>AR10/(월별!$A11 - 월별!$A10)</f>
        <v>#REF!</v>
      </c>
      <c r="AT10" s="20" t="e" cm="1">
        <f t="array" ref="AT10">SUM(_xlfn._xlws.FILTER(일별!#REF!, (일별!$A:$A &gt;= 월별!$A10) * (일별!$A:$A &lt; 월별!$A11), 0))</f>
        <v>#REF!</v>
      </c>
      <c r="AU10" s="20" t="e">
        <f>AT10/(월별!$A11 - 월별!$A10)</f>
        <v>#REF!</v>
      </c>
      <c r="AV10" s="18" t="e" cm="1">
        <f t="array" ref="AV10">SUM(_xlfn._xlws.FILTER(일별!#REF!, (일별!$A:$A &gt;= 월별!$A10) * (일별!$A:$A &lt; 월별!$A11), 0))</f>
        <v>#REF!</v>
      </c>
      <c r="AW10" s="20" t="e" cm="1">
        <f t="array" ref="AW10">SUM(_xlfn._xlws.FILTER(일별!#REF!, (일별!$A:$A &gt;= 월별!$A10) * (일별!$A:$A &lt; 월별!$A11), 0))</f>
        <v>#REF!</v>
      </c>
      <c r="AX10" s="20" t="e" cm="1">
        <f t="array" ref="AX10">SUM(_xlfn._xlws.FILTER(일별!#REF!, (일별!$A:$A &gt;= 월별!$A10) * (일별!$A:$A &lt; 월별!$A11), 0))</f>
        <v>#REF!</v>
      </c>
      <c r="AY10" s="20" t="e" cm="1">
        <f t="array" ref="AY10">SUM(_xlfn._xlws.FILTER(일별!#REF!, (일별!$A:$A &gt;= 월별!$A10) * (일별!$A:$A &lt; 월별!$A11), 0))</f>
        <v>#REF!</v>
      </c>
      <c r="AZ10" s="20" t="e" cm="1">
        <f t="array" ref="AZ10">SUM(_xlfn._xlws.FILTER(일별!#REF!, (일별!$A:$A &gt;= 월별!$A10) * (일별!$A:$A &lt; 월별!$A11), 0))</f>
        <v>#REF!</v>
      </c>
      <c r="BA10" s="20" t="e" cm="1">
        <f t="array" ref="BA10">SUM(_xlfn._xlws.FILTER(일별!#REF!, (일별!$A:$A &gt;= 월별!$A10) * (일별!$A:$A &lt; 월별!$A11), 0))</f>
        <v>#REF!</v>
      </c>
      <c r="BB10" s="20" t="e" cm="1">
        <f t="array" ref="BB10">SUM(_xlfn._xlws.FILTER(일별!#REF!, (일별!$A:$A &gt;= 월별!$A10) * (일별!$A:$A &lt; 월별!$A11), 0))</f>
        <v>#REF!</v>
      </c>
      <c r="BC10" s="20" t="e" cm="1">
        <f t="array" ref="BC10">SUM(_xlfn._xlws.FILTER(일별!#REF!, (일별!$A:$A &gt;= 월별!$A10) * (일별!$A:$A &lt; 월별!$A11), 0))</f>
        <v>#REF!</v>
      </c>
      <c r="BD10" s="20" t="e" cm="1">
        <f t="array" ref="BD10">SUM(_xlfn._xlws.FILTER(일별!#REF!, (일별!$A:$A &gt;= 월별!$A10) * (일별!$A:$A &lt; 월별!$A11), 0))</f>
        <v>#REF!</v>
      </c>
      <c r="BE10" s="20" t="e" cm="1">
        <f t="array" ref="BE10">SUM(_xlfn._xlws.FILTER(일별!#REF!, (일별!$A:$A &gt;= 월별!$A10) * (일별!$A:$A &lt; 월별!$A11), 0))</f>
        <v>#REF!</v>
      </c>
      <c r="BF10" s="20" t="e" cm="1">
        <f t="array" ref="BF10">SUM(_xlfn._xlws.FILTER(일별!#REF!, (일별!$A:$A &gt;= 월별!$A10) * (일별!$A:$A &lt; 월별!$A11), 0))</f>
        <v>#REF!</v>
      </c>
      <c r="BG10" s="20" t="e" cm="1">
        <f t="array" ref="BG10">SUM(_xlfn._xlws.FILTER(일별!#REF!, (일별!$A:$A &gt;= 월별!$A10) * (일별!$A:$A &lt; 월별!$A11), 0))</f>
        <v>#REF!</v>
      </c>
      <c r="BH10" s="20" t="e" cm="1">
        <f t="array" ref="BH10">SUM(_xlfn._xlws.FILTER(일별!#REF!, (일별!$A:$A &gt;= 월별!$A10) * (일별!$A:$A &lt; 월별!$A11), 0))</f>
        <v>#REF!</v>
      </c>
      <c r="BI10" s="20" t="e" cm="1">
        <f t="array" ref="BI10">SUM(_xlfn._xlws.FILTER(일별!#REF!, (일별!$A:$A &gt;= 월별!$A10) * (일별!$A:$A &lt; 월별!$A11), 0))</f>
        <v>#REF!</v>
      </c>
      <c r="BJ10" s="20" t="e" cm="1">
        <f t="array" ref="BJ10">SUM(_xlfn._xlws.FILTER(일별!#REF!, (일별!$A:$A &gt;= 월별!$A10) * (일별!$A:$A &lt; 월별!$A11), 0))</f>
        <v>#REF!</v>
      </c>
      <c r="BK10" s="20" t="e" cm="1">
        <f t="array" ref="BK10">SUM(_xlfn._xlws.FILTER(일별!#REF!, (일별!$A:$A &gt;= 월별!$A10) * (일별!$A:$A &lt; 월별!$A11), 0))</f>
        <v>#REF!</v>
      </c>
      <c r="BL10" s="20" t="e" cm="1">
        <f t="array" ref="BL10">SUM(_xlfn._xlws.FILTER(일별!#REF!, (일별!$A:$A &gt;= 월별!$A10) * (일별!$A:$A &lt; 월별!$A11), 0))</f>
        <v>#REF!</v>
      </c>
      <c r="BM10" s="20" t="e" cm="1">
        <f t="array" ref="BM10">SUM(_xlfn._xlws.FILTER(일별!#REF!, (일별!$A:$A &gt;= 월별!$A10) * (일별!$A:$A &lt; 월별!$A11), 0))</f>
        <v>#REF!</v>
      </c>
      <c r="BN10" s="20" t="e" cm="1">
        <f t="array" ref="BN10">SUM(_xlfn._xlws.FILTER(일별!#REF!, (일별!$A:$A &gt;= 월별!$A10) * (일별!$A:$A &lt; 월별!$A11), 0))</f>
        <v>#REF!</v>
      </c>
      <c r="BO10" s="20" t="e" cm="1">
        <f t="array" ref="BO10">SUM(_xlfn._xlws.FILTER(일별!#REF!, (일별!$A:$A &gt;= 월별!$A10) * (일별!$A:$A &lt; 월별!$A11), 0))</f>
        <v>#REF!</v>
      </c>
      <c r="BP10" s="20" t="e" cm="1">
        <f t="array" ref="BP10">SUM(_xlfn._xlws.FILTER(일별!#REF!, (일별!$A:$A &gt;= 월별!$A10) * (일별!$A:$A &lt; 월별!$A11), 0))</f>
        <v>#REF!</v>
      </c>
      <c r="BQ10" s="19" t="e" cm="1">
        <f t="array" ref="BQ10">SUM(_xlfn._xlws.FILTER(일별!#REF!, (일별!$A:$A &gt;= 월별!$A10) * (일별!$A:$A &lt; 월별!$A11), 0))</f>
        <v>#REF!</v>
      </c>
      <c r="BR10" s="18" t="e" cm="1">
        <f t="array" ref="BR10">SUM(_xlfn._xlws.FILTER(일별!#REF!, (일별!$A:$A &gt;= 월별!$A10) * (일별!$A:$A &lt; 월별!$A11), 0))</f>
        <v>#REF!</v>
      </c>
      <c r="BS10" s="20" t="e" cm="1">
        <f t="array" ref="BS10">SUM(_xlfn._xlws.FILTER(일별!#REF!, (일별!$A:$A &gt;= 월별!$A10) * (일별!$A:$A &lt; 월별!$A11), 0))</f>
        <v>#REF!</v>
      </c>
      <c r="BT10" s="20" t="e" cm="1">
        <f t="array" ref="BT10">SUM(_xlfn._xlws.FILTER(일별!#REF!, (일별!$A:$A &gt;= 월별!$A10) * (일별!$A:$A &lt; 월별!$A11), 0))</f>
        <v>#REF!</v>
      </c>
      <c r="BU10" s="20" t="e" cm="1">
        <f t="array" ref="BU10">SUM(_xlfn._xlws.FILTER(일별!#REF!, (일별!$A:$A &gt;= 월별!$A10) * (일별!$A:$A &lt; 월별!$A11), 0))</f>
        <v>#REF!</v>
      </c>
      <c r="BV10" s="20" t="e" cm="1">
        <f t="array" ref="BV10">SUM(_xlfn._xlws.FILTER(일별!#REF!, (일별!$A:$A &gt;= 월별!$A10) * (일별!$A:$A &lt; 월별!$A11), 0))</f>
        <v>#REF!</v>
      </c>
      <c r="BW10" s="20" t="e" cm="1">
        <f t="array" ref="BW10">SUM(_xlfn._xlws.FILTER(일별!#REF!, (일별!$A:$A &gt;= 월별!$A10) * (일별!$A:$A &lt; 월별!$A11), 0))</f>
        <v>#REF!</v>
      </c>
      <c r="BX10" s="20" t="e" cm="1">
        <f t="array" ref="BX10">SUM(_xlfn._xlws.FILTER(일별!#REF!, (일별!$A:$A &gt;= 월별!$A10) * (일별!$A:$A &lt; 월별!$A11), 0))</f>
        <v>#REF!</v>
      </c>
      <c r="BY10" s="20" t="e" cm="1">
        <f t="array" ref="BY10">SUM(_xlfn._xlws.FILTER(일별!#REF!, (일별!$A:$A &gt;= 월별!$A10) * (일별!$A:$A &lt; 월별!$A11), 0))</f>
        <v>#REF!</v>
      </c>
      <c r="BZ10" s="20" t="e" cm="1">
        <f t="array" ref="BZ10">SUM(_xlfn._xlws.FILTER(일별!#REF!, (일별!$A:$A &gt;= 월별!$A10) * (일별!$A:$A &lt; 월별!$A11), 0))</f>
        <v>#REF!</v>
      </c>
      <c r="CA10" s="20" t="e" cm="1">
        <f t="array" ref="CA10">SUM(_xlfn._xlws.FILTER(일별!#REF!, (일별!$A:$A &gt;= 월별!$A10) * (일별!$A:$A &lt; 월별!$A11), 0))</f>
        <v>#REF!</v>
      </c>
      <c r="CB10" s="20" t="e" cm="1">
        <f t="array" ref="CB10">SUM(_xlfn._xlws.FILTER(일별!#REF!, (일별!$A:$A &gt;= 월별!$A10) * (일별!$A:$A &lt; 월별!$A11), 0))</f>
        <v>#REF!</v>
      </c>
      <c r="CC10" s="20" t="e" cm="1">
        <f t="array" ref="CC10">SUM(_xlfn._xlws.FILTER(일별!#REF!, (일별!$A:$A &gt;= 월별!$A10) * (일별!$A:$A &lt; 월별!$A11), 0))</f>
        <v>#REF!</v>
      </c>
      <c r="CD10" s="20" t="e" cm="1">
        <f t="array" ref="CD10">SUM(_xlfn._xlws.FILTER(일별!#REF!, (일별!$A:$A &gt;= 월별!$A10) * (일별!$A:$A &lt; 월별!$A11), 0))</f>
        <v>#REF!</v>
      </c>
      <c r="CE10" s="20" t="e" cm="1">
        <f t="array" ref="CE10">SUM(_xlfn._xlws.FILTER(일별!#REF!, (일별!$A:$A &gt;= 월별!$A10) * (일별!$A:$A &lt; 월별!$A11), 0))</f>
        <v>#REF!</v>
      </c>
      <c r="CF10" s="20" t="e" cm="1">
        <f t="array" ref="CF10">SUM(_xlfn._xlws.FILTER(일별!#REF!, (일별!$A:$A &gt;= 월별!$A10) * (일별!$A:$A &lt; 월별!$A11), 0))</f>
        <v>#REF!</v>
      </c>
      <c r="CG10" s="20" t="e" cm="1">
        <f t="array" ref="CG10">SUM(_xlfn._xlws.FILTER(일별!#REF!, (일별!$A:$A &gt;= 월별!$A10) * (일별!$A:$A &lt; 월별!$A11), 0))</f>
        <v>#REF!</v>
      </c>
      <c r="CH10" s="20" t="e" cm="1">
        <f t="array" ref="CH10">SUM(_xlfn._xlws.FILTER(일별!#REF!, (일별!$A:$A &gt;= 월별!$A10) * (일별!$A:$A &lt; 월별!$A11), 0))</f>
        <v>#REF!</v>
      </c>
      <c r="CI10" s="20" t="e" cm="1">
        <f t="array" ref="CI10">SUM(_xlfn._xlws.FILTER(일별!#REF!, (일별!$A:$A &gt;= 월별!$A10) * (일별!$A:$A &lt; 월별!$A11), 0))</f>
        <v>#REF!</v>
      </c>
      <c r="CJ10" s="20" t="e" cm="1">
        <f t="array" ref="CJ10">SUM(_xlfn._xlws.FILTER(일별!#REF!, (일별!$A:$A &gt;= 월별!$A10) * (일별!$A:$A &lt; 월별!$A11), 0))</f>
        <v>#REF!</v>
      </c>
      <c r="CK10" s="20" t="e" cm="1">
        <f t="array" ref="CK10">SUM(_xlfn._xlws.FILTER(일별!#REF!, (일별!$A:$A &gt;= 월별!$A10) * (일별!$A:$A &lt; 월별!$A11), 0))</f>
        <v>#REF!</v>
      </c>
      <c r="CL10" s="20" t="e" cm="1">
        <f t="array" ref="CL10">SUM(_xlfn._xlws.FILTER(일별!#REF!, (일별!$A:$A &gt;= 월별!$A10) * (일별!$A:$A &lt; 월별!$A11), 0))</f>
        <v>#REF!</v>
      </c>
      <c r="CM10" s="19" t="e" cm="1">
        <f t="array" ref="CM10">SUM(_xlfn._xlws.FILTER(일별!#REF!, (일별!$A:$A &gt;= 월별!$A10) * (일별!$A:$A &lt; 월별!$A11), 0))</f>
        <v>#REF!</v>
      </c>
      <c r="CN10" s="18" t="e" cm="1">
        <f t="array" ref="CN10">SUM(_xlfn._xlws.FILTER(일별!#REF!, (일별!$A:$A &gt;= 월별!$A10) * (일별!$A:$A &lt; 월별!$A11), 0))</f>
        <v>#REF!</v>
      </c>
      <c r="CO10" s="20" t="e" cm="1">
        <f t="array" ref="CO10">SUM(_xlfn._xlws.FILTER(일별!#REF!, (일별!$A:$A &gt;= 월별!$A10) * (일별!$A:$A &lt; 월별!$A11), 0))</f>
        <v>#REF!</v>
      </c>
      <c r="CP10" s="20" t="e" cm="1">
        <f t="array" ref="CP10">SUM(_xlfn._xlws.FILTER(일별!#REF!, (일별!$A:$A &gt;= 월별!$A10) * (일별!$A:$A &lt; 월별!$A11), 0))</f>
        <v>#REF!</v>
      </c>
      <c r="CQ10" s="20" t="e" cm="1">
        <f t="array" ref="CQ10">SUM(_xlfn._xlws.FILTER(일별!#REF!, (일별!$A:$A &gt;= 월별!$A10) * (일별!$A:$A &lt; 월별!$A11), 0))</f>
        <v>#REF!</v>
      </c>
      <c r="CR10" s="20" t="e" cm="1">
        <f t="array" ref="CR10">SUM(_xlfn._xlws.FILTER(일별!#REF!, (일별!$A:$A &gt;= 월별!$A10) * (일별!$A:$A &lt; 월별!$A11), 0))</f>
        <v>#REF!</v>
      </c>
      <c r="CS10" s="20" t="e" cm="1">
        <f t="array" ref="CS10">SUM(_xlfn._xlws.FILTER(일별!#REF!, (일별!$A:$A &gt;= 월별!$A10) * (일별!$A:$A &lt; 월별!$A11), 0))</f>
        <v>#REF!</v>
      </c>
      <c r="CT10" s="20" t="e" cm="1">
        <f t="array" ref="CT10">SUM(_xlfn._xlws.FILTER(일별!#REF!, (일별!$A:$A &gt;= 월별!$A10) * (일별!$A:$A &lt; 월별!$A11), 0))</f>
        <v>#REF!</v>
      </c>
      <c r="CU10" s="20" t="e" cm="1">
        <f t="array" ref="CU10">SUM(_xlfn._xlws.FILTER(일별!#REF!, (일별!$A:$A &gt;= 월별!$A10) * (일별!$A:$A &lt; 월별!$A11), 0))</f>
        <v>#REF!</v>
      </c>
      <c r="CV10" s="20" t="e" cm="1">
        <f t="array" ref="CV10">SUM(_xlfn._xlws.FILTER(일별!#REF!, (일별!$A:$A &gt;= 월별!$A10) * (일별!$A:$A &lt; 월별!$A11), 0))</f>
        <v>#REF!</v>
      </c>
      <c r="CW10" s="20" t="e" cm="1">
        <f t="array" ref="CW10">SUM(_xlfn._xlws.FILTER(일별!#REF!, (일별!$A:$A &gt;= 월별!$A10) * (일별!$A:$A &lt; 월별!$A11), 0))</f>
        <v>#REF!</v>
      </c>
      <c r="CX10" s="20" t="e" cm="1">
        <f t="array" ref="CX10">SUM(_xlfn._xlws.FILTER(일별!#REF!, (일별!$A:$A &gt;= 월별!$A10) * (일별!$A:$A &lt; 월별!$A11), 0))</f>
        <v>#REF!</v>
      </c>
      <c r="CY10" s="20" t="e" cm="1">
        <f t="array" ref="CY10">SUM(_xlfn._xlws.FILTER(일별!#REF!, (일별!$A:$A &gt;= 월별!$A10) * (일별!$A:$A &lt; 월별!$A11), 0))</f>
        <v>#REF!</v>
      </c>
      <c r="CZ10" s="20" t="e" cm="1">
        <f t="array" ref="CZ10">SUM(_xlfn._xlws.FILTER(일별!#REF!, (일별!$A:$A &gt;= 월별!$A10) * (일별!$A:$A &lt; 월별!$A11), 0))</f>
        <v>#REF!</v>
      </c>
      <c r="DA10" s="20" t="e" cm="1">
        <f t="array" ref="DA10">SUM(_xlfn._xlws.FILTER(일별!#REF!, (일별!$A:$A &gt;= 월별!$A10) * (일별!$A:$A &lt; 월별!$A11), 0))</f>
        <v>#REF!</v>
      </c>
      <c r="DB10" s="20" t="e" cm="1">
        <f t="array" ref="DB10">SUM(_xlfn._xlws.FILTER(일별!#REF!, (일별!$A:$A &gt;= 월별!$A10) * (일별!$A:$A &lt; 월별!$A11), 0))</f>
        <v>#REF!</v>
      </c>
      <c r="DC10" s="20" t="e" cm="1">
        <f t="array" ref="DC10">SUM(_xlfn._xlws.FILTER(일별!#REF!, (일별!$A:$A &gt;= 월별!$A10) * (일별!$A:$A &lt; 월별!$A11), 0))</f>
        <v>#REF!</v>
      </c>
      <c r="DD10" s="20" t="e" cm="1">
        <f t="array" ref="DD10">SUM(_xlfn._xlws.FILTER(일별!#REF!, (일별!$A:$A &gt;= 월별!$A10) * (일별!$A:$A &lt; 월별!$A11), 0))</f>
        <v>#REF!</v>
      </c>
      <c r="DE10" s="20" t="e" cm="1">
        <f t="array" ref="DE10">SUM(_xlfn._xlws.FILTER(일별!#REF!, (일별!$A:$A &gt;= 월별!$A10) * (일별!$A:$A &lt; 월별!$A11), 0))</f>
        <v>#REF!</v>
      </c>
      <c r="DF10" s="20" t="e" cm="1">
        <f t="array" ref="DF10">SUM(_xlfn._xlws.FILTER(일별!#REF!, (일별!$A:$A &gt;= 월별!$A10) * (일별!$A:$A &lt; 월별!$A11), 0))</f>
        <v>#REF!</v>
      </c>
      <c r="DG10" s="20" t="e" cm="1">
        <f t="array" ref="DG10">SUM(_xlfn._xlws.FILTER(일별!#REF!, (일별!$A:$A &gt;= 월별!$A10) * (일별!$A:$A &lt; 월별!$A11), 0))</f>
        <v>#REF!</v>
      </c>
      <c r="DH10" s="20" t="e" cm="1">
        <f t="array" ref="DH10">SUM(_xlfn._xlws.FILTER(일별!#REF!, (일별!$A:$A &gt;= 월별!$A10) * (일별!$A:$A &lt; 월별!$A11), 0))</f>
        <v>#REF!</v>
      </c>
      <c r="DI10" s="19" t="e" cm="1">
        <f t="array" ref="DI10">SUM(_xlfn._xlws.FILTER(일별!#REF!, (일별!$A:$A &gt;= 월별!$A10) * (일별!$A:$A &lt; 월별!$A11), 0))</f>
        <v>#REF!</v>
      </c>
    </row>
    <row r="11" spans="1:113">
      <c r="A11" s="25">
        <v>45839</v>
      </c>
      <c r="B11" s="15">
        <f>SUMIFS(일별!$C:$C,
       일별!$A:$A, "&gt;="&amp;월별!$A11,
       일별!$A:$A, "&lt;"&amp;월별!$A12)</f>
        <v>241</v>
      </c>
      <c r="C11" s="16">
        <f>B11/(월별!$A12 - 월별!$A11)</f>
        <v>7.774193548387097</v>
      </c>
      <c r="D11" s="15">
        <f>SUMIFS(일별!E:E,
       일별!$A:$A, "&gt;="&amp;월별!$A11,
       일별!$A:$A, "&lt;"&amp;월별!$A12)</f>
        <v>710</v>
      </c>
      <c r="E11" s="16">
        <f>D11/(월별!$A12 - 월별!$A11)</f>
        <v>22.903225806451612</v>
      </c>
      <c r="F11" s="12">
        <f>SUMIFS(일별!G:G,
       일별!$A:$A, "&gt;="&amp;월별!$A11,
       일별!$A:$A, "&lt;"&amp;월별!$A12)</f>
        <v>789</v>
      </c>
      <c r="G11" s="16">
        <f>F11/(월별!$A12 - 월별!$A11)</f>
        <v>25.451612903225808</v>
      </c>
      <c r="H11" s="15">
        <f t="shared" si="0"/>
        <v>1499</v>
      </c>
      <c r="I11" s="16">
        <f t="shared" si="1"/>
        <v>48.354838709677423</v>
      </c>
      <c r="J11" s="12">
        <f>SUMIFS(일별!I:I,
       일별!$A:$A, "&gt;="&amp;월별!$A11,
       일별!$A:$A, "&lt;"&amp;월별!$A12)</f>
        <v>755.67000000000007</v>
      </c>
      <c r="K11" s="16">
        <f>J11/(월별!$A12 - 월별!$A11)</f>
        <v>24.376451612903228</v>
      </c>
      <c r="L11" s="12">
        <f>SUMIFS(일별!K:K,
       일별!$A:$A, "&gt;="&amp;월별!$A11,
       일별!$A:$A, "&lt;"&amp;월별!$A12)</f>
        <v>755.67000000000007</v>
      </c>
      <c r="M11" s="16">
        <f>L11/(월별!$A12 - 월별!$A11)</f>
        <v>24.376451612903228</v>
      </c>
      <c r="N11" s="12">
        <f>SUMIFS(일별!M:M,
       일별!$A:$A, "&gt;="&amp;월별!$A11,
       일별!$A:$A, "&lt;"&amp;월별!$A12)</f>
        <v>17</v>
      </c>
      <c r="O11" s="31">
        <f>N11/(월별!$A12 - 월별!$A11)</f>
        <v>0.54838709677419351</v>
      </c>
      <c r="P11" s="12">
        <f>SUMIFS(일별!O:O,
       일별!$A:$A, "&gt;="&amp;월별!$A11,
       일별!$A:$A, "&lt;"&amp;월별!$A12)</f>
        <v>1388</v>
      </c>
      <c r="Q11" s="16">
        <f>P11/(월별!$A12 - 월별!$A11)</f>
        <v>44.774193548387096</v>
      </c>
      <c r="R11" s="12">
        <f>SUMIFS(일별!Q:Q,
       일별!$A:$A, "&gt;="&amp;월별!$A11,
       일별!$A:$A, "&lt;"&amp;월별!$A12)</f>
        <v>3218</v>
      </c>
      <c r="S11" s="16">
        <f>R11/(월별!$A12 - 월별!$A11)</f>
        <v>103.80645161290323</v>
      </c>
      <c r="T11" s="12">
        <f>SUMIFS(일별!S:S,
       일별!$A:$A, "&gt;="&amp;월별!$A11,
       일별!$A:$A, "&lt;"&amp;월별!$A12)</f>
        <v>0.17999999999999972</v>
      </c>
      <c r="U11" s="16">
        <f>T11/(월별!$A12 - 월별!$A11)</f>
        <v>5.8064516129032167E-3</v>
      </c>
      <c r="V11" s="12">
        <f>SUMIFS(일별!U:U,
       일별!$A:$A, "&gt;="&amp;월별!$A11,
       일별!$A:$A, "&lt;"&amp;월별!$A12)</f>
        <v>-0.19999999999999574</v>
      </c>
      <c r="W11" s="16">
        <f>V11/(월별!$A12 - 월별!$A11)</f>
        <v>-6.4516129032256685E-3</v>
      </c>
      <c r="X11" s="12">
        <f>SUMIFS(일별!W:W,
       일별!$A:$A, "&gt;="&amp;월별!$A11,
       일별!$A:$A, "&lt;"&amp;월별!$A12)</f>
        <v>-188</v>
      </c>
      <c r="Y11" s="16">
        <f>X11/(월별!$A12 - 월별!$A11)</f>
        <v>-6.064516129032258</v>
      </c>
      <c r="Z11" s="15">
        <f>SUMIFS(일별!X:X,
       일별!$A:$A, "&gt;="&amp;월별!$A11,
       일별!$A:$A, "&lt;"&amp;월별!$A12)</f>
        <v>168601.71000000299</v>
      </c>
      <c r="AA11" s="12">
        <f>SUMIFS(일별!Y:Y,
       일별!$A:$A, "&gt;="&amp;월별!$A11,
       일별!$A:$A, "&lt;"&amp;월별!$A12)</f>
        <v>0</v>
      </c>
      <c r="AB11" s="12">
        <f>SUMIFS(일별!Z:Z,
       일별!$A:$A, "&gt;="&amp;월별!$A11,
       일별!$A:$A, "&lt;"&amp;월별!$A12)</f>
        <v>0</v>
      </c>
      <c r="AC11" s="12">
        <f>SUMIFS(일별!AA:AA,
       일별!$A:$A, "&gt;="&amp;월별!$A11,
       일별!$A:$A, "&lt;"&amp;월별!$A12)</f>
        <v>0</v>
      </c>
      <c r="AD11" s="12">
        <f>SUMIFS(일별!AB:AB,
       일별!$A:$A, "&gt;="&amp;월별!$A11,
       일별!$A:$A, "&lt;"&amp;월별!$A12)</f>
        <v>0</v>
      </c>
      <c r="AE11" s="16">
        <f>SUMIFS(일별!AC:AC,
       일별!$A:$A, "&gt;="&amp;월별!$A11,
       일별!$A:$A, "&lt;"&amp;월별!$A12)</f>
        <v>0</v>
      </c>
      <c r="AF11" s="15">
        <f>SUMIFS(일별!AD:AD,
       일별!$A:$A, "&gt;="&amp;월별!$A11,
       일별!$A:$A, "&lt;"&amp;월별!$A12)</f>
        <v>71</v>
      </c>
      <c r="AG11" s="12">
        <f>SUMIFS(일별!AE:AE,
       일별!$A:$A, "&gt;="&amp;월별!$A11,
       일별!$A:$A, "&lt;"&amp;월별!$A12)</f>
        <v>0</v>
      </c>
      <c r="AH11" s="12">
        <f>SUMIFS(일별!AF:AF,
       일별!$A:$A, "&gt;="&amp;월별!$A11,
       일별!$A:$A, "&lt;"&amp;월별!$A12)</f>
        <v>0</v>
      </c>
      <c r="AI11" s="16">
        <f>SUMIFS(일별!AG:AG,
       일별!$A:$A, "&gt;="&amp;월별!$A11,
       일별!$A:$A, "&lt;"&amp;월별!$A12)</f>
        <v>0</v>
      </c>
      <c r="AJ11" s="15">
        <f>SUMIFS(일별!AX:AX,
       일별!$A:$A, "&gt;="&amp;월별!$A11,
       일별!$A:$A, "&lt;"&amp;월별!$A12)</f>
        <v>1063</v>
      </c>
      <c r="AK11" s="12">
        <f>SUMIFS(일별!AY:AY,
       일별!$A:$A, "&gt;="&amp;월별!$A11,
       일별!$A:$A, "&lt;"&amp;월별!$A12)</f>
        <v>0</v>
      </c>
      <c r="AL11" s="12">
        <f>SUMIFS(일별!AZ:AZ,
       일별!$A:$A, "&gt;="&amp;월별!$A11,
       일별!$A:$A, "&lt;"&amp;월별!$A12)</f>
        <v>0</v>
      </c>
      <c r="AM11" s="12">
        <f>SUMIFS(일별!BA:BA,
       일별!$A:$A, "&gt;="&amp;월별!$A11,
       일별!$A:$A, "&lt;"&amp;월별!$A12)</f>
        <v>0</v>
      </c>
      <c r="AN11" s="12">
        <f>SUMIFS(일별!BB:BB,
       일별!$A:$A, "&gt;="&amp;월별!$A11,
       일별!$A:$A, "&lt;"&amp;월별!$A12)</f>
        <v>0</v>
      </c>
      <c r="AO11" s="16">
        <f>SUMIFS(일별!BC:BC,
       일별!$A:$A, "&gt;="&amp;월별!$A11,
       일별!$A:$A, "&lt;"&amp;월별!$A12)</f>
        <v>1063</v>
      </c>
      <c r="AP11" s="18" t="e" cm="1">
        <f t="array" ref="AP11">SUM(_xlfn._xlws.FILTER(일별!#REF!, (일별!$A:$A &gt;= 월별!$A11) * (일별!$A:$A &lt; 월별!$A12), 0))</f>
        <v>#REF!</v>
      </c>
      <c r="AQ11" s="20" t="e">
        <f>AP11/(월별!$A12 - 월별!$A11)</f>
        <v>#REF!</v>
      </c>
      <c r="AR11" s="20" t="e" cm="1">
        <f t="array" ref="AR11">SUM(_xlfn._xlws.FILTER(일별!#REF!, (일별!$A:$A &gt;= 월별!$A11) * (일별!$A:$A &lt; 월별!$A12), 0))</f>
        <v>#REF!</v>
      </c>
      <c r="AS11" s="20" t="e">
        <f>AR11/(월별!$A12 - 월별!$A11)</f>
        <v>#REF!</v>
      </c>
      <c r="AT11" s="20" t="e" cm="1">
        <f t="array" ref="AT11">SUM(_xlfn._xlws.FILTER(일별!#REF!, (일별!$A:$A &gt;= 월별!$A11) * (일별!$A:$A &lt; 월별!$A12), 0))</f>
        <v>#REF!</v>
      </c>
      <c r="AU11" s="20" t="e">
        <f>AT11/(월별!$A12 - 월별!$A11)</f>
        <v>#REF!</v>
      </c>
      <c r="AV11" s="18" t="e" cm="1">
        <f t="array" ref="AV11">SUM(_xlfn._xlws.FILTER(일별!#REF!, (일별!$A:$A &gt;= 월별!$A11) * (일별!$A:$A &lt; 월별!$A12), 0))</f>
        <v>#REF!</v>
      </c>
      <c r="AW11" s="20" t="e" cm="1">
        <f t="array" ref="AW11">SUM(_xlfn._xlws.FILTER(일별!#REF!, (일별!$A:$A &gt;= 월별!$A11) * (일별!$A:$A &lt; 월별!$A12), 0))</f>
        <v>#REF!</v>
      </c>
      <c r="AX11" s="20" t="e" cm="1">
        <f t="array" ref="AX11">SUM(_xlfn._xlws.FILTER(일별!#REF!, (일별!$A:$A &gt;= 월별!$A11) * (일별!$A:$A &lt; 월별!$A12), 0))</f>
        <v>#REF!</v>
      </c>
      <c r="AY11" s="20" t="e" cm="1">
        <f t="array" ref="AY11">SUM(_xlfn._xlws.FILTER(일별!#REF!, (일별!$A:$A &gt;= 월별!$A11) * (일별!$A:$A &lt; 월별!$A12), 0))</f>
        <v>#REF!</v>
      </c>
      <c r="AZ11" s="20" t="e" cm="1">
        <f t="array" ref="AZ11">SUM(_xlfn._xlws.FILTER(일별!#REF!, (일별!$A:$A &gt;= 월별!$A11) * (일별!$A:$A &lt; 월별!$A12), 0))</f>
        <v>#REF!</v>
      </c>
      <c r="BA11" s="20" t="e" cm="1">
        <f t="array" ref="BA11">SUM(_xlfn._xlws.FILTER(일별!#REF!, (일별!$A:$A &gt;= 월별!$A11) * (일별!$A:$A &lt; 월별!$A12), 0))</f>
        <v>#REF!</v>
      </c>
      <c r="BB11" s="20" t="e" cm="1">
        <f t="array" ref="BB11">SUM(_xlfn._xlws.FILTER(일별!#REF!, (일별!$A:$A &gt;= 월별!$A11) * (일별!$A:$A &lt; 월별!$A12), 0))</f>
        <v>#REF!</v>
      </c>
      <c r="BC11" s="20" t="e" cm="1">
        <f t="array" ref="BC11">SUM(_xlfn._xlws.FILTER(일별!#REF!, (일별!$A:$A &gt;= 월별!$A11) * (일별!$A:$A &lt; 월별!$A12), 0))</f>
        <v>#REF!</v>
      </c>
      <c r="BD11" s="20" t="e" cm="1">
        <f t="array" ref="BD11">SUM(_xlfn._xlws.FILTER(일별!#REF!, (일별!$A:$A &gt;= 월별!$A11) * (일별!$A:$A &lt; 월별!$A12), 0))</f>
        <v>#REF!</v>
      </c>
      <c r="BE11" s="20" t="e" cm="1">
        <f t="array" ref="BE11">SUM(_xlfn._xlws.FILTER(일별!#REF!, (일별!$A:$A &gt;= 월별!$A11) * (일별!$A:$A &lt; 월별!$A12), 0))</f>
        <v>#REF!</v>
      </c>
      <c r="BF11" s="20" t="e" cm="1">
        <f t="array" ref="BF11">SUM(_xlfn._xlws.FILTER(일별!#REF!, (일별!$A:$A &gt;= 월별!$A11) * (일별!$A:$A &lt; 월별!$A12), 0))</f>
        <v>#REF!</v>
      </c>
      <c r="BG11" s="20" t="e" cm="1">
        <f t="array" ref="BG11">SUM(_xlfn._xlws.FILTER(일별!#REF!, (일별!$A:$A &gt;= 월별!$A11) * (일별!$A:$A &lt; 월별!$A12), 0))</f>
        <v>#REF!</v>
      </c>
      <c r="BH11" s="20" t="e" cm="1">
        <f t="array" ref="BH11">SUM(_xlfn._xlws.FILTER(일별!#REF!, (일별!$A:$A &gt;= 월별!$A11) * (일별!$A:$A &lt; 월별!$A12), 0))</f>
        <v>#REF!</v>
      </c>
      <c r="BI11" s="20" t="e" cm="1">
        <f t="array" ref="BI11">SUM(_xlfn._xlws.FILTER(일별!#REF!, (일별!$A:$A &gt;= 월별!$A11) * (일별!$A:$A &lt; 월별!$A12), 0))</f>
        <v>#REF!</v>
      </c>
      <c r="BJ11" s="20" t="e" cm="1">
        <f t="array" ref="BJ11">SUM(_xlfn._xlws.FILTER(일별!#REF!, (일별!$A:$A &gt;= 월별!$A11) * (일별!$A:$A &lt; 월별!$A12), 0))</f>
        <v>#REF!</v>
      </c>
      <c r="BK11" s="20" t="e" cm="1">
        <f t="array" ref="BK11">SUM(_xlfn._xlws.FILTER(일별!#REF!, (일별!$A:$A &gt;= 월별!$A11) * (일별!$A:$A &lt; 월별!$A12), 0))</f>
        <v>#REF!</v>
      </c>
      <c r="BL11" s="20" t="e" cm="1">
        <f t="array" ref="BL11">SUM(_xlfn._xlws.FILTER(일별!#REF!, (일별!$A:$A &gt;= 월별!$A11) * (일별!$A:$A &lt; 월별!$A12), 0))</f>
        <v>#REF!</v>
      </c>
      <c r="BM11" s="20" t="e" cm="1">
        <f t="array" ref="BM11">SUM(_xlfn._xlws.FILTER(일별!#REF!, (일별!$A:$A &gt;= 월별!$A11) * (일별!$A:$A &lt; 월별!$A12), 0))</f>
        <v>#REF!</v>
      </c>
      <c r="BN11" s="20" t="e" cm="1">
        <f t="array" ref="BN11">SUM(_xlfn._xlws.FILTER(일별!#REF!, (일별!$A:$A &gt;= 월별!$A11) * (일별!$A:$A &lt; 월별!$A12), 0))</f>
        <v>#REF!</v>
      </c>
      <c r="BO11" s="20" t="e" cm="1">
        <f t="array" ref="BO11">SUM(_xlfn._xlws.FILTER(일별!#REF!, (일별!$A:$A &gt;= 월별!$A11) * (일별!$A:$A &lt; 월별!$A12), 0))</f>
        <v>#REF!</v>
      </c>
      <c r="BP11" s="20" t="e" cm="1">
        <f t="array" ref="BP11">SUM(_xlfn._xlws.FILTER(일별!#REF!, (일별!$A:$A &gt;= 월별!$A11) * (일별!$A:$A &lt; 월별!$A12), 0))</f>
        <v>#REF!</v>
      </c>
      <c r="BQ11" s="19" t="e" cm="1">
        <f t="array" ref="BQ11">SUM(_xlfn._xlws.FILTER(일별!#REF!, (일별!$A:$A &gt;= 월별!$A11) * (일별!$A:$A &lt; 월별!$A12), 0))</f>
        <v>#REF!</v>
      </c>
      <c r="BR11" s="18" t="e" cm="1">
        <f t="array" ref="BR11">SUM(_xlfn._xlws.FILTER(일별!#REF!, (일별!$A:$A &gt;= 월별!$A11) * (일별!$A:$A &lt; 월별!$A12), 0))</f>
        <v>#REF!</v>
      </c>
      <c r="BS11" s="20" t="e" cm="1">
        <f t="array" ref="BS11">SUM(_xlfn._xlws.FILTER(일별!#REF!, (일별!$A:$A &gt;= 월별!$A11) * (일별!$A:$A &lt; 월별!$A12), 0))</f>
        <v>#REF!</v>
      </c>
      <c r="BT11" s="20" t="e" cm="1">
        <f t="array" ref="BT11">SUM(_xlfn._xlws.FILTER(일별!#REF!, (일별!$A:$A &gt;= 월별!$A11) * (일별!$A:$A &lt; 월별!$A12), 0))</f>
        <v>#REF!</v>
      </c>
      <c r="BU11" s="20" t="e" cm="1">
        <f t="array" ref="BU11">SUM(_xlfn._xlws.FILTER(일별!#REF!, (일별!$A:$A &gt;= 월별!$A11) * (일별!$A:$A &lt; 월별!$A12), 0))</f>
        <v>#REF!</v>
      </c>
      <c r="BV11" s="20" t="e" cm="1">
        <f t="array" ref="BV11">SUM(_xlfn._xlws.FILTER(일별!#REF!, (일별!$A:$A &gt;= 월별!$A11) * (일별!$A:$A &lt; 월별!$A12), 0))</f>
        <v>#REF!</v>
      </c>
      <c r="BW11" s="20" t="e" cm="1">
        <f t="array" ref="BW11">SUM(_xlfn._xlws.FILTER(일별!#REF!, (일별!$A:$A &gt;= 월별!$A11) * (일별!$A:$A &lt; 월별!$A12), 0))</f>
        <v>#REF!</v>
      </c>
      <c r="BX11" s="20" t="e" cm="1">
        <f t="array" ref="BX11">SUM(_xlfn._xlws.FILTER(일별!#REF!, (일별!$A:$A &gt;= 월별!$A11) * (일별!$A:$A &lt; 월별!$A12), 0))</f>
        <v>#REF!</v>
      </c>
      <c r="BY11" s="20" t="e" cm="1">
        <f t="array" ref="BY11">SUM(_xlfn._xlws.FILTER(일별!#REF!, (일별!$A:$A &gt;= 월별!$A11) * (일별!$A:$A &lt; 월별!$A12), 0))</f>
        <v>#REF!</v>
      </c>
      <c r="BZ11" s="20" t="e" cm="1">
        <f t="array" ref="BZ11">SUM(_xlfn._xlws.FILTER(일별!#REF!, (일별!$A:$A &gt;= 월별!$A11) * (일별!$A:$A &lt; 월별!$A12), 0))</f>
        <v>#REF!</v>
      </c>
      <c r="CA11" s="20" t="e" cm="1">
        <f t="array" ref="CA11">SUM(_xlfn._xlws.FILTER(일별!#REF!, (일별!$A:$A &gt;= 월별!$A11) * (일별!$A:$A &lt; 월별!$A12), 0))</f>
        <v>#REF!</v>
      </c>
      <c r="CB11" s="20" t="e" cm="1">
        <f t="array" ref="CB11">SUM(_xlfn._xlws.FILTER(일별!#REF!, (일별!$A:$A &gt;= 월별!$A11) * (일별!$A:$A &lt; 월별!$A12), 0))</f>
        <v>#REF!</v>
      </c>
      <c r="CC11" s="20" t="e" cm="1">
        <f t="array" ref="CC11">SUM(_xlfn._xlws.FILTER(일별!#REF!, (일별!$A:$A &gt;= 월별!$A11) * (일별!$A:$A &lt; 월별!$A12), 0))</f>
        <v>#REF!</v>
      </c>
      <c r="CD11" s="20" t="e" cm="1">
        <f t="array" ref="CD11">SUM(_xlfn._xlws.FILTER(일별!#REF!, (일별!$A:$A &gt;= 월별!$A11) * (일별!$A:$A &lt; 월별!$A12), 0))</f>
        <v>#REF!</v>
      </c>
      <c r="CE11" s="20" t="e" cm="1">
        <f t="array" ref="CE11">SUM(_xlfn._xlws.FILTER(일별!#REF!, (일별!$A:$A &gt;= 월별!$A11) * (일별!$A:$A &lt; 월별!$A12), 0))</f>
        <v>#REF!</v>
      </c>
      <c r="CF11" s="20" t="e" cm="1">
        <f t="array" ref="CF11">SUM(_xlfn._xlws.FILTER(일별!#REF!, (일별!$A:$A &gt;= 월별!$A11) * (일별!$A:$A &lt; 월별!$A12), 0))</f>
        <v>#REF!</v>
      </c>
      <c r="CG11" s="20" t="e" cm="1">
        <f t="array" ref="CG11">SUM(_xlfn._xlws.FILTER(일별!#REF!, (일별!$A:$A &gt;= 월별!$A11) * (일별!$A:$A &lt; 월별!$A12), 0))</f>
        <v>#REF!</v>
      </c>
      <c r="CH11" s="20" t="e" cm="1">
        <f t="array" ref="CH11">SUM(_xlfn._xlws.FILTER(일별!#REF!, (일별!$A:$A &gt;= 월별!$A11) * (일별!$A:$A &lt; 월별!$A12), 0))</f>
        <v>#REF!</v>
      </c>
      <c r="CI11" s="20" t="e" cm="1">
        <f t="array" ref="CI11">SUM(_xlfn._xlws.FILTER(일별!#REF!, (일별!$A:$A &gt;= 월별!$A11) * (일별!$A:$A &lt; 월별!$A12), 0))</f>
        <v>#REF!</v>
      </c>
      <c r="CJ11" s="20" t="e" cm="1">
        <f t="array" ref="CJ11">SUM(_xlfn._xlws.FILTER(일별!#REF!, (일별!$A:$A &gt;= 월별!$A11) * (일별!$A:$A &lt; 월별!$A12), 0))</f>
        <v>#REF!</v>
      </c>
      <c r="CK11" s="20" t="e" cm="1">
        <f t="array" ref="CK11">SUM(_xlfn._xlws.FILTER(일별!#REF!, (일별!$A:$A &gt;= 월별!$A11) * (일별!$A:$A &lt; 월별!$A12), 0))</f>
        <v>#REF!</v>
      </c>
      <c r="CL11" s="20" t="e" cm="1">
        <f t="array" ref="CL11">SUM(_xlfn._xlws.FILTER(일별!#REF!, (일별!$A:$A &gt;= 월별!$A11) * (일별!$A:$A &lt; 월별!$A12), 0))</f>
        <v>#REF!</v>
      </c>
      <c r="CM11" s="19" t="e" cm="1">
        <f t="array" ref="CM11">SUM(_xlfn._xlws.FILTER(일별!#REF!, (일별!$A:$A &gt;= 월별!$A11) * (일별!$A:$A &lt; 월별!$A12), 0))</f>
        <v>#REF!</v>
      </c>
      <c r="CN11" s="18" t="e" cm="1">
        <f t="array" ref="CN11">SUM(_xlfn._xlws.FILTER(일별!#REF!, (일별!$A:$A &gt;= 월별!$A11) * (일별!$A:$A &lt; 월별!$A12), 0))</f>
        <v>#REF!</v>
      </c>
      <c r="CO11" s="20" t="e" cm="1">
        <f t="array" ref="CO11">SUM(_xlfn._xlws.FILTER(일별!#REF!, (일별!$A:$A &gt;= 월별!$A11) * (일별!$A:$A &lt; 월별!$A12), 0))</f>
        <v>#REF!</v>
      </c>
      <c r="CP11" s="20" t="e" cm="1">
        <f t="array" ref="CP11">SUM(_xlfn._xlws.FILTER(일별!#REF!, (일별!$A:$A &gt;= 월별!$A11) * (일별!$A:$A &lt; 월별!$A12), 0))</f>
        <v>#REF!</v>
      </c>
      <c r="CQ11" s="20" t="e" cm="1">
        <f t="array" ref="CQ11">SUM(_xlfn._xlws.FILTER(일별!#REF!, (일별!$A:$A &gt;= 월별!$A11) * (일별!$A:$A &lt; 월별!$A12), 0))</f>
        <v>#REF!</v>
      </c>
      <c r="CR11" s="20" t="e" cm="1">
        <f t="array" ref="CR11">SUM(_xlfn._xlws.FILTER(일별!#REF!, (일별!$A:$A &gt;= 월별!$A11) * (일별!$A:$A &lt; 월별!$A12), 0))</f>
        <v>#REF!</v>
      </c>
      <c r="CS11" s="20" t="e" cm="1">
        <f t="array" ref="CS11">SUM(_xlfn._xlws.FILTER(일별!#REF!, (일별!$A:$A &gt;= 월별!$A11) * (일별!$A:$A &lt; 월별!$A12), 0))</f>
        <v>#REF!</v>
      </c>
      <c r="CT11" s="20" t="e" cm="1">
        <f t="array" ref="CT11">SUM(_xlfn._xlws.FILTER(일별!#REF!, (일별!$A:$A &gt;= 월별!$A11) * (일별!$A:$A &lt; 월별!$A12), 0))</f>
        <v>#REF!</v>
      </c>
      <c r="CU11" s="20" t="e" cm="1">
        <f t="array" ref="CU11">SUM(_xlfn._xlws.FILTER(일별!#REF!, (일별!$A:$A &gt;= 월별!$A11) * (일별!$A:$A &lt; 월별!$A12), 0))</f>
        <v>#REF!</v>
      </c>
      <c r="CV11" s="20" t="e" cm="1">
        <f t="array" ref="CV11">SUM(_xlfn._xlws.FILTER(일별!#REF!, (일별!$A:$A &gt;= 월별!$A11) * (일별!$A:$A &lt; 월별!$A12), 0))</f>
        <v>#REF!</v>
      </c>
      <c r="CW11" s="20" t="e" cm="1">
        <f t="array" ref="CW11">SUM(_xlfn._xlws.FILTER(일별!#REF!, (일별!$A:$A &gt;= 월별!$A11) * (일별!$A:$A &lt; 월별!$A12), 0))</f>
        <v>#REF!</v>
      </c>
      <c r="CX11" s="20" t="e" cm="1">
        <f t="array" ref="CX11">SUM(_xlfn._xlws.FILTER(일별!#REF!, (일별!$A:$A &gt;= 월별!$A11) * (일별!$A:$A &lt; 월별!$A12), 0))</f>
        <v>#REF!</v>
      </c>
      <c r="CY11" s="20" t="e" cm="1">
        <f t="array" ref="CY11">SUM(_xlfn._xlws.FILTER(일별!#REF!, (일별!$A:$A &gt;= 월별!$A11) * (일별!$A:$A &lt; 월별!$A12), 0))</f>
        <v>#REF!</v>
      </c>
      <c r="CZ11" s="20" t="e" cm="1">
        <f t="array" ref="CZ11">SUM(_xlfn._xlws.FILTER(일별!#REF!, (일별!$A:$A &gt;= 월별!$A11) * (일별!$A:$A &lt; 월별!$A12), 0))</f>
        <v>#REF!</v>
      </c>
      <c r="DA11" s="20" t="e" cm="1">
        <f t="array" ref="DA11">SUM(_xlfn._xlws.FILTER(일별!#REF!, (일별!$A:$A &gt;= 월별!$A11) * (일별!$A:$A &lt; 월별!$A12), 0))</f>
        <v>#REF!</v>
      </c>
      <c r="DB11" s="20" t="e" cm="1">
        <f t="array" ref="DB11">SUM(_xlfn._xlws.FILTER(일별!#REF!, (일별!$A:$A &gt;= 월별!$A11) * (일별!$A:$A &lt; 월별!$A12), 0))</f>
        <v>#REF!</v>
      </c>
      <c r="DC11" s="20" t="e" cm="1">
        <f t="array" ref="DC11">SUM(_xlfn._xlws.FILTER(일별!#REF!, (일별!$A:$A &gt;= 월별!$A11) * (일별!$A:$A &lt; 월별!$A12), 0))</f>
        <v>#REF!</v>
      </c>
      <c r="DD11" s="20" t="e" cm="1">
        <f t="array" ref="DD11">SUM(_xlfn._xlws.FILTER(일별!#REF!, (일별!$A:$A &gt;= 월별!$A11) * (일별!$A:$A &lt; 월별!$A12), 0))</f>
        <v>#REF!</v>
      </c>
      <c r="DE11" s="20" t="e" cm="1">
        <f t="array" ref="DE11">SUM(_xlfn._xlws.FILTER(일별!#REF!, (일별!$A:$A &gt;= 월별!$A11) * (일별!$A:$A &lt; 월별!$A12), 0))</f>
        <v>#REF!</v>
      </c>
      <c r="DF11" s="20" t="e" cm="1">
        <f t="array" ref="DF11">SUM(_xlfn._xlws.FILTER(일별!#REF!, (일별!$A:$A &gt;= 월별!$A11) * (일별!$A:$A &lt; 월별!$A12), 0))</f>
        <v>#REF!</v>
      </c>
      <c r="DG11" s="20" t="e" cm="1">
        <f t="array" ref="DG11">SUM(_xlfn._xlws.FILTER(일별!#REF!, (일별!$A:$A &gt;= 월별!$A11) * (일별!$A:$A &lt; 월별!$A12), 0))</f>
        <v>#REF!</v>
      </c>
      <c r="DH11" s="20" t="e" cm="1">
        <f t="array" ref="DH11">SUM(_xlfn._xlws.FILTER(일별!#REF!, (일별!$A:$A &gt;= 월별!$A11) * (일별!$A:$A &lt; 월별!$A12), 0))</f>
        <v>#REF!</v>
      </c>
      <c r="DI11" s="19" t="e" cm="1">
        <f t="array" ref="DI11">SUM(_xlfn._xlws.FILTER(일별!#REF!, (일별!$A:$A &gt;= 월별!$A11) * (일별!$A:$A &lt; 월별!$A12), 0))</f>
        <v>#REF!</v>
      </c>
    </row>
    <row r="12" spans="1:113">
      <c r="A12" s="25">
        <v>45870</v>
      </c>
      <c r="B12" s="15">
        <f>SUMIFS(일별!$C:$C,
       일별!$A:$A, "&gt;="&amp;월별!$A12,
       일별!$A:$A, "&lt;"&amp;월별!$A13)</f>
        <v>614</v>
      </c>
      <c r="C12" s="16">
        <f>B12/(월별!$A13 - 월별!$A12)</f>
        <v>19.806451612903224</v>
      </c>
      <c r="D12" s="15">
        <f>SUMIFS(일별!E:E,
       일별!$A:$A, "&gt;="&amp;월별!$A12,
       일별!$A:$A, "&lt;"&amp;월별!$A13)</f>
        <v>1896</v>
      </c>
      <c r="E12" s="16">
        <f>D12/(월별!$A13 - 월별!$A12)</f>
        <v>61.161290322580648</v>
      </c>
      <c r="F12" s="12">
        <f>SUMIFS(일별!G:G,
       일별!$A:$A, "&gt;="&amp;월별!$A12,
       일별!$A:$A, "&lt;"&amp;월별!$A13)</f>
        <v>1480</v>
      </c>
      <c r="G12" s="16">
        <f>F12/(월별!$A13 - 월별!$A12)</f>
        <v>47.741935483870968</v>
      </c>
      <c r="H12" s="15">
        <f t="shared" si="0"/>
        <v>3376</v>
      </c>
      <c r="I12" s="16">
        <f t="shared" si="1"/>
        <v>108.90322580645162</v>
      </c>
      <c r="J12" s="12">
        <f>SUMIFS(일별!I:I,
       일별!$A:$A, "&gt;="&amp;월별!$A12,
       일별!$A:$A, "&lt;"&amp;월별!$A13)</f>
        <v>610.92000000000007</v>
      </c>
      <c r="K12" s="16">
        <f>J12/(월별!$A13 - 월별!$A12)</f>
        <v>19.707096774193552</v>
      </c>
      <c r="L12" s="12">
        <f>SUMIFS(일별!K:K,
       일별!$A:$A, "&gt;="&amp;월별!$A12,
       일별!$A:$A, "&lt;"&amp;월별!$A13)</f>
        <v>610.92000000000007</v>
      </c>
      <c r="M12" s="16">
        <f>L12/(월별!$A13 - 월별!$A12)</f>
        <v>19.707096774193552</v>
      </c>
      <c r="N12" s="12">
        <f>SUMIFS(일별!M:M,
       일별!$A:$A, "&gt;="&amp;월별!$A12,
       일별!$A:$A, "&lt;"&amp;월별!$A13)</f>
        <v>18.5</v>
      </c>
      <c r="O12" s="31">
        <f>N12/(월별!$A13 - 월별!$A12)</f>
        <v>0.59677419354838712</v>
      </c>
      <c r="P12" s="12">
        <f>SUMIFS(일별!O:O,
       일별!$A:$A, "&gt;="&amp;월별!$A12,
       일별!$A:$A, "&lt;"&amp;월별!$A13)</f>
        <v>1527</v>
      </c>
      <c r="Q12" s="16">
        <f>P12/(월별!$A13 - 월별!$A12)</f>
        <v>49.258064516129032</v>
      </c>
      <c r="R12" s="12">
        <f>SUMIFS(일별!Q:Q,
       일별!$A:$A, "&gt;="&amp;월별!$A12,
       일별!$A:$A, "&lt;"&amp;월별!$A13)</f>
        <v>4819</v>
      </c>
      <c r="S12" s="16">
        <f>R12/(월별!$A13 - 월별!$A12)</f>
        <v>155.45161290322579</v>
      </c>
      <c r="T12" s="12">
        <f>SUMIFS(일별!S:S,
       일별!$A:$A, "&gt;="&amp;월별!$A12,
       일별!$A:$A, "&lt;"&amp;월별!$A13)</f>
        <v>-2.3699999999999974</v>
      </c>
      <c r="U12" s="16">
        <f>T12/(월별!$A13 - 월별!$A12)</f>
        <v>-7.6451612903225719E-2</v>
      </c>
      <c r="V12" s="12">
        <f>SUMIFS(일별!U:U,
       일별!$A:$A, "&gt;="&amp;월별!$A12,
       일별!$A:$A, "&lt;"&amp;월별!$A13)</f>
        <v>-2.1900000000000013</v>
      </c>
      <c r="W12" s="16">
        <f>V12/(월별!$A13 - 월별!$A12)</f>
        <v>-7.0645161290322625E-2</v>
      </c>
      <c r="X12" s="12">
        <f>SUMIFS(일별!W:W,
       일별!$A:$A, "&gt;="&amp;월별!$A12,
       일별!$A:$A, "&lt;"&amp;월별!$A13)</f>
        <v>-432</v>
      </c>
      <c r="Y12" s="16">
        <f>X12/(월별!$A13 - 월별!$A12)</f>
        <v>-13.935483870967742</v>
      </c>
      <c r="Z12" s="15">
        <f>SUMIFS(일별!X:X,
       일별!$A:$A, "&gt;="&amp;월별!$A12,
       일별!$A:$A, "&lt;"&amp;월별!$A13)</f>
        <v>134591.59999999404</v>
      </c>
      <c r="AA12" s="12">
        <f>SUMIFS(일별!Y:Y,
       일별!$A:$A, "&gt;="&amp;월별!$A12,
       일별!$A:$A, "&lt;"&amp;월별!$A13)</f>
        <v>0</v>
      </c>
      <c r="AB12" s="12">
        <f>SUMIFS(일별!Z:Z,
       일별!$A:$A, "&gt;="&amp;월별!$A12,
       일별!$A:$A, "&lt;"&amp;월별!$A13)</f>
        <v>0</v>
      </c>
      <c r="AC12" s="12">
        <f>SUMIFS(일별!AA:AA,
       일별!$A:$A, "&gt;="&amp;월별!$A12,
       일별!$A:$A, "&lt;"&amp;월별!$A13)</f>
        <v>0</v>
      </c>
      <c r="AD12" s="12">
        <f>SUMIFS(일별!AB:AB,
       일별!$A:$A, "&gt;="&amp;월별!$A12,
       일별!$A:$A, "&lt;"&amp;월별!$A13)</f>
        <v>0</v>
      </c>
      <c r="AE12" s="16">
        <f>SUMIFS(일별!AC:AC,
       일별!$A:$A, "&gt;="&amp;월별!$A12,
       일별!$A:$A, "&lt;"&amp;월별!$A13)</f>
        <v>0</v>
      </c>
      <c r="AF12" s="15">
        <f>SUMIFS(일별!AD:AD,
       일별!$A:$A, "&gt;="&amp;월별!$A12,
       일별!$A:$A, "&lt;"&amp;월별!$A13)</f>
        <v>57</v>
      </c>
      <c r="AG12" s="12">
        <f>SUMIFS(일별!AE:AE,
       일별!$A:$A, "&gt;="&amp;월별!$A12,
       일별!$A:$A, "&lt;"&amp;월별!$A13)</f>
        <v>0</v>
      </c>
      <c r="AH12" s="12">
        <f>SUMIFS(일별!AF:AF,
       일별!$A:$A, "&gt;="&amp;월별!$A12,
       일별!$A:$A, "&lt;"&amp;월별!$A13)</f>
        <v>0</v>
      </c>
      <c r="AI12" s="16">
        <f>SUMIFS(일별!AG:AG,
       일별!$A:$A, "&gt;="&amp;월별!$A12,
       일별!$A:$A, "&lt;"&amp;월별!$A13)</f>
        <v>0</v>
      </c>
      <c r="AJ12" s="15">
        <f>SUMIFS(일별!AX:AX,
       일별!$A:$A, "&gt;="&amp;월별!$A12,
       일별!$A:$A, "&lt;"&amp;월별!$A13)</f>
        <v>840</v>
      </c>
      <c r="AK12" s="12">
        <f>SUMIFS(일별!AY:AY,
       일별!$A:$A, "&gt;="&amp;월별!$A12,
       일별!$A:$A, "&lt;"&amp;월별!$A13)</f>
        <v>0</v>
      </c>
      <c r="AL12" s="12">
        <f>SUMIFS(일별!AZ:AZ,
       일별!$A:$A, "&gt;="&amp;월별!$A12,
       일별!$A:$A, "&lt;"&amp;월별!$A13)</f>
        <v>0</v>
      </c>
      <c r="AM12" s="12">
        <f>SUMIFS(일별!BA:BA,
       일별!$A:$A, "&gt;="&amp;월별!$A12,
       일별!$A:$A, "&lt;"&amp;월별!$A13)</f>
        <v>0</v>
      </c>
      <c r="AN12" s="12">
        <f>SUMIFS(일별!BB:BB,
       일별!$A:$A, "&gt;="&amp;월별!$A12,
       일별!$A:$A, "&lt;"&amp;월별!$A13)</f>
        <v>0</v>
      </c>
      <c r="AO12" s="16">
        <f>SUMIFS(일별!BC:BC,
       일별!$A:$A, "&gt;="&amp;월별!$A12,
       일별!$A:$A, "&lt;"&amp;월별!$A13)</f>
        <v>840</v>
      </c>
      <c r="AP12" s="18" t="e" cm="1">
        <f t="array" ref="AP12">SUM(_xlfn._xlws.FILTER(일별!#REF!, (일별!$A:$A &gt;= 월별!$A12) * (일별!$A:$A &lt; 월별!$A13), 0))</f>
        <v>#REF!</v>
      </c>
      <c r="AQ12" s="20" t="e">
        <f>AP12/(월별!$A13 - 월별!$A12)</f>
        <v>#REF!</v>
      </c>
      <c r="AR12" s="20" t="e" cm="1">
        <f t="array" ref="AR12">SUM(_xlfn._xlws.FILTER(일별!#REF!, (일별!$A:$A &gt;= 월별!$A12) * (일별!$A:$A &lt; 월별!$A13), 0))</f>
        <v>#REF!</v>
      </c>
      <c r="AS12" s="20" t="e">
        <f>AR12/(월별!$A13 - 월별!$A12)</f>
        <v>#REF!</v>
      </c>
      <c r="AT12" s="20" t="e" cm="1">
        <f t="array" ref="AT12">SUM(_xlfn._xlws.FILTER(일별!#REF!, (일별!$A:$A &gt;= 월별!$A12) * (일별!$A:$A &lt; 월별!$A13), 0))</f>
        <v>#REF!</v>
      </c>
      <c r="AU12" s="20" t="e">
        <f>AT12/(월별!$A13 - 월별!$A12)</f>
        <v>#REF!</v>
      </c>
      <c r="AV12" s="18" t="e" cm="1">
        <f t="array" ref="AV12">SUM(_xlfn._xlws.FILTER(일별!#REF!, (일별!$A:$A &gt;= 월별!$A12) * (일별!$A:$A &lt; 월별!$A13), 0))</f>
        <v>#REF!</v>
      </c>
      <c r="AW12" s="20" t="e" cm="1">
        <f t="array" ref="AW12">SUM(_xlfn._xlws.FILTER(일별!#REF!, (일별!$A:$A &gt;= 월별!$A12) * (일별!$A:$A &lt; 월별!$A13), 0))</f>
        <v>#REF!</v>
      </c>
      <c r="AX12" s="20" t="e" cm="1">
        <f t="array" ref="AX12">SUM(_xlfn._xlws.FILTER(일별!#REF!, (일별!$A:$A &gt;= 월별!$A12) * (일별!$A:$A &lt; 월별!$A13), 0))</f>
        <v>#REF!</v>
      </c>
      <c r="AY12" s="20" t="e" cm="1">
        <f t="array" ref="AY12">SUM(_xlfn._xlws.FILTER(일별!#REF!, (일별!$A:$A &gt;= 월별!$A12) * (일별!$A:$A &lt; 월별!$A13), 0))</f>
        <v>#REF!</v>
      </c>
      <c r="AZ12" s="20" t="e" cm="1">
        <f t="array" ref="AZ12">SUM(_xlfn._xlws.FILTER(일별!#REF!, (일별!$A:$A &gt;= 월별!$A12) * (일별!$A:$A &lt; 월별!$A13), 0))</f>
        <v>#REF!</v>
      </c>
      <c r="BA12" s="20" t="e" cm="1">
        <f t="array" ref="BA12">SUM(_xlfn._xlws.FILTER(일별!#REF!, (일별!$A:$A &gt;= 월별!$A12) * (일별!$A:$A &lt; 월별!$A13), 0))</f>
        <v>#REF!</v>
      </c>
      <c r="BB12" s="20" t="e" cm="1">
        <f t="array" ref="BB12">SUM(_xlfn._xlws.FILTER(일별!#REF!, (일별!$A:$A &gt;= 월별!$A12) * (일별!$A:$A &lt; 월별!$A13), 0))</f>
        <v>#REF!</v>
      </c>
      <c r="BC12" s="20" t="e" cm="1">
        <f t="array" ref="BC12">SUM(_xlfn._xlws.FILTER(일별!#REF!, (일별!$A:$A &gt;= 월별!$A12) * (일별!$A:$A &lt; 월별!$A13), 0))</f>
        <v>#REF!</v>
      </c>
      <c r="BD12" s="20" t="e" cm="1">
        <f t="array" ref="BD12">SUM(_xlfn._xlws.FILTER(일별!#REF!, (일별!$A:$A &gt;= 월별!$A12) * (일별!$A:$A &lt; 월별!$A13), 0))</f>
        <v>#REF!</v>
      </c>
      <c r="BE12" s="20" t="e" cm="1">
        <f t="array" ref="BE12">SUM(_xlfn._xlws.FILTER(일별!#REF!, (일별!$A:$A &gt;= 월별!$A12) * (일별!$A:$A &lt; 월별!$A13), 0))</f>
        <v>#REF!</v>
      </c>
      <c r="BF12" s="20" t="e" cm="1">
        <f t="array" ref="BF12">SUM(_xlfn._xlws.FILTER(일별!#REF!, (일별!$A:$A &gt;= 월별!$A12) * (일별!$A:$A &lt; 월별!$A13), 0))</f>
        <v>#REF!</v>
      </c>
      <c r="BG12" s="20" t="e" cm="1">
        <f t="array" ref="BG12">SUM(_xlfn._xlws.FILTER(일별!#REF!, (일별!$A:$A &gt;= 월별!$A12) * (일별!$A:$A &lt; 월별!$A13), 0))</f>
        <v>#REF!</v>
      </c>
      <c r="BH12" s="20" t="e" cm="1">
        <f t="array" ref="BH12">SUM(_xlfn._xlws.FILTER(일별!#REF!, (일별!$A:$A &gt;= 월별!$A12) * (일별!$A:$A &lt; 월별!$A13), 0))</f>
        <v>#REF!</v>
      </c>
      <c r="BI12" s="20" t="e" cm="1">
        <f t="array" ref="BI12">SUM(_xlfn._xlws.FILTER(일별!#REF!, (일별!$A:$A &gt;= 월별!$A12) * (일별!$A:$A &lt; 월별!$A13), 0))</f>
        <v>#REF!</v>
      </c>
      <c r="BJ12" s="20" t="e" cm="1">
        <f t="array" ref="BJ12">SUM(_xlfn._xlws.FILTER(일별!#REF!, (일별!$A:$A &gt;= 월별!$A12) * (일별!$A:$A &lt; 월별!$A13), 0))</f>
        <v>#REF!</v>
      </c>
      <c r="BK12" s="20" t="e" cm="1">
        <f t="array" ref="BK12">SUM(_xlfn._xlws.FILTER(일별!#REF!, (일별!$A:$A &gt;= 월별!$A12) * (일별!$A:$A &lt; 월별!$A13), 0))</f>
        <v>#REF!</v>
      </c>
      <c r="BL12" s="20" t="e" cm="1">
        <f t="array" ref="BL12">SUM(_xlfn._xlws.FILTER(일별!#REF!, (일별!$A:$A &gt;= 월별!$A12) * (일별!$A:$A &lt; 월별!$A13), 0))</f>
        <v>#REF!</v>
      </c>
      <c r="BM12" s="20" t="e" cm="1">
        <f t="array" ref="BM12">SUM(_xlfn._xlws.FILTER(일별!#REF!, (일별!$A:$A &gt;= 월별!$A12) * (일별!$A:$A &lt; 월별!$A13), 0))</f>
        <v>#REF!</v>
      </c>
      <c r="BN12" s="20" t="e" cm="1">
        <f t="array" ref="BN12">SUM(_xlfn._xlws.FILTER(일별!#REF!, (일별!$A:$A &gt;= 월별!$A12) * (일별!$A:$A &lt; 월별!$A13), 0))</f>
        <v>#REF!</v>
      </c>
      <c r="BO12" s="20" t="e" cm="1">
        <f t="array" ref="BO12">SUM(_xlfn._xlws.FILTER(일별!#REF!, (일별!$A:$A &gt;= 월별!$A12) * (일별!$A:$A &lt; 월별!$A13), 0))</f>
        <v>#REF!</v>
      </c>
      <c r="BP12" s="20" t="e" cm="1">
        <f t="array" ref="BP12">SUM(_xlfn._xlws.FILTER(일별!#REF!, (일별!$A:$A &gt;= 월별!$A12) * (일별!$A:$A &lt; 월별!$A13), 0))</f>
        <v>#REF!</v>
      </c>
      <c r="BQ12" s="19" t="e" cm="1">
        <f t="array" ref="BQ12">SUM(_xlfn._xlws.FILTER(일별!#REF!, (일별!$A:$A &gt;= 월별!$A12) * (일별!$A:$A &lt; 월별!$A13), 0))</f>
        <v>#REF!</v>
      </c>
      <c r="BR12" s="18" t="e" cm="1">
        <f t="array" ref="BR12">SUM(_xlfn._xlws.FILTER(일별!#REF!, (일별!$A:$A &gt;= 월별!$A12) * (일별!$A:$A &lt; 월별!$A13), 0))</f>
        <v>#REF!</v>
      </c>
      <c r="BS12" s="20" t="e" cm="1">
        <f t="array" ref="BS12">SUM(_xlfn._xlws.FILTER(일별!#REF!, (일별!$A:$A &gt;= 월별!$A12) * (일별!$A:$A &lt; 월별!$A13), 0))</f>
        <v>#REF!</v>
      </c>
      <c r="BT12" s="20" t="e" cm="1">
        <f t="array" ref="BT12">SUM(_xlfn._xlws.FILTER(일별!#REF!, (일별!$A:$A &gt;= 월별!$A12) * (일별!$A:$A &lt; 월별!$A13), 0))</f>
        <v>#REF!</v>
      </c>
      <c r="BU12" s="20" t="e" cm="1">
        <f t="array" ref="BU12">SUM(_xlfn._xlws.FILTER(일별!#REF!, (일별!$A:$A &gt;= 월별!$A12) * (일별!$A:$A &lt; 월별!$A13), 0))</f>
        <v>#REF!</v>
      </c>
      <c r="BV12" s="20" t="e" cm="1">
        <f t="array" ref="BV12">SUM(_xlfn._xlws.FILTER(일별!#REF!, (일별!$A:$A &gt;= 월별!$A12) * (일별!$A:$A &lt; 월별!$A13), 0))</f>
        <v>#REF!</v>
      </c>
      <c r="BW12" s="20" t="e" cm="1">
        <f t="array" ref="BW12">SUM(_xlfn._xlws.FILTER(일별!#REF!, (일별!$A:$A &gt;= 월별!$A12) * (일별!$A:$A &lt; 월별!$A13), 0))</f>
        <v>#REF!</v>
      </c>
      <c r="BX12" s="20" t="e" cm="1">
        <f t="array" ref="BX12">SUM(_xlfn._xlws.FILTER(일별!#REF!, (일별!$A:$A &gt;= 월별!$A12) * (일별!$A:$A &lt; 월별!$A13), 0))</f>
        <v>#REF!</v>
      </c>
      <c r="BY12" s="20" t="e" cm="1">
        <f t="array" ref="BY12">SUM(_xlfn._xlws.FILTER(일별!#REF!, (일별!$A:$A &gt;= 월별!$A12) * (일별!$A:$A &lt; 월별!$A13), 0))</f>
        <v>#REF!</v>
      </c>
      <c r="BZ12" s="20" t="e" cm="1">
        <f t="array" ref="BZ12">SUM(_xlfn._xlws.FILTER(일별!#REF!, (일별!$A:$A &gt;= 월별!$A12) * (일별!$A:$A &lt; 월별!$A13), 0))</f>
        <v>#REF!</v>
      </c>
      <c r="CA12" s="20" t="e" cm="1">
        <f t="array" ref="CA12">SUM(_xlfn._xlws.FILTER(일별!#REF!, (일별!$A:$A &gt;= 월별!$A12) * (일별!$A:$A &lt; 월별!$A13), 0))</f>
        <v>#REF!</v>
      </c>
      <c r="CB12" s="20" t="e" cm="1">
        <f t="array" ref="CB12">SUM(_xlfn._xlws.FILTER(일별!#REF!, (일별!$A:$A &gt;= 월별!$A12) * (일별!$A:$A &lt; 월별!$A13), 0))</f>
        <v>#REF!</v>
      </c>
      <c r="CC12" s="20" t="e" cm="1">
        <f t="array" ref="CC12">SUM(_xlfn._xlws.FILTER(일별!#REF!, (일별!$A:$A &gt;= 월별!$A12) * (일별!$A:$A &lt; 월별!$A13), 0))</f>
        <v>#REF!</v>
      </c>
      <c r="CD12" s="20" t="e" cm="1">
        <f t="array" ref="CD12">SUM(_xlfn._xlws.FILTER(일별!#REF!, (일별!$A:$A &gt;= 월별!$A12) * (일별!$A:$A &lt; 월별!$A13), 0))</f>
        <v>#REF!</v>
      </c>
      <c r="CE12" s="20" t="e" cm="1">
        <f t="array" ref="CE12">SUM(_xlfn._xlws.FILTER(일별!#REF!, (일별!$A:$A &gt;= 월별!$A12) * (일별!$A:$A &lt; 월별!$A13), 0))</f>
        <v>#REF!</v>
      </c>
      <c r="CF12" s="20" t="e" cm="1">
        <f t="array" ref="CF12">SUM(_xlfn._xlws.FILTER(일별!#REF!, (일별!$A:$A &gt;= 월별!$A12) * (일별!$A:$A &lt; 월별!$A13), 0))</f>
        <v>#REF!</v>
      </c>
      <c r="CG12" s="20" t="e" cm="1">
        <f t="array" ref="CG12">SUM(_xlfn._xlws.FILTER(일별!#REF!, (일별!$A:$A &gt;= 월별!$A12) * (일별!$A:$A &lt; 월별!$A13), 0))</f>
        <v>#REF!</v>
      </c>
      <c r="CH12" s="20" t="e" cm="1">
        <f t="array" ref="CH12">SUM(_xlfn._xlws.FILTER(일별!#REF!, (일별!$A:$A &gt;= 월별!$A12) * (일별!$A:$A &lt; 월별!$A13), 0))</f>
        <v>#REF!</v>
      </c>
      <c r="CI12" s="20" t="e" cm="1">
        <f t="array" ref="CI12">SUM(_xlfn._xlws.FILTER(일별!#REF!, (일별!$A:$A &gt;= 월별!$A12) * (일별!$A:$A &lt; 월별!$A13), 0))</f>
        <v>#REF!</v>
      </c>
      <c r="CJ12" s="20" t="e" cm="1">
        <f t="array" ref="CJ12">SUM(_xlfn._xlws.FILTER(일별!#REF!, (일별!$A:$A &gt;= 월별!$A12) * (일별!$A:$A &lt; 월별!$A13), 0))</f>
        <v>#REF!</v>
      </c>
      <c r="CK12" s="20" t="e" cm="1">
        <f t="array" ref="CK12">SUM(_xlfn._xlws.FILTER(일별!#REF!, (일별!$A:$A &gt;= 월별!$A12) * (일별!$A:$A &lt; 월별!$A13), 0))</f>
        <v>#REF!</v>
      </c>
      <c r="CL12" s="20" t="e" cm="1">
        <f t="array" ref="CL12">SUM(_xlfn._xlws.FILTER(일별!#REF!, (일별!$A:$A &gt;= 월별!$A12) * (일별!$A:$A &lt; 월별!$A13), 0))</f>
        <v>#REF!</v>
      </c>
      <c r="CM12" s="19" t="e" cm="1">
        <f t="array" ref="CM12">SUM(_xlfn._xlws.FILTER(일별!#REF!, (일별!$A:$A &gt;= 월별!$A12) * (일별!$A:$A &lt; 월별!$A13), 0))</f>
        <v>#REF!</v>
      </c>
      <c r="CN12" s="18" t="e" cm="1">
        <f t="array" ref="CN12">SUM(_xlfn._xlws.FILTER(일별!#REF!, (일별!$A:$A &gt;= 월별!$A12) * (일별!$A:$A &lt; 월별!$A13), 0))</f>
        <v>#REF!</v>
      </c>
      <c r="CO12" s="20" t="e" cm="1">
        <f t="array" ref="CO12">SUM(_xlfn._xlws.FILTER(일별!#REF!, (일별!$A:$A &gt;= 월별!$A12) * (일별!$A:$A &lt; 월별!$A13), 0))</f>
        <v>#REF!</v>
      </c>
      <c r="CP12" s="20" t="e" cm="1">
        <f t="array" ref="CP12">SUM(_xlfn._xlws.FILTER(일별!#REF!, (일별!$A:$A &gt;= 월별!$A12) * (일별!$A:$A &lt; 월별!$A13), 0))</f>
        <v>#REF!</v>
      </c>
      <c r="CQ12" s="20" t="e" cm="1">
        <f t="array" ref="CQ12">SUM(_xlfn._xlws.FILTER(일별!#REF!, (일별!$A:$A &gt;= 월별!$A12) * (일별!$A:$A &lt; 월별!$A13), 0))</f>
        <v>#REF!</v>
      </c>
      <c r="CR12" s="20" t="e" cm="1">
        <f t="array" ref="CR12">SUM(_xlfn._xlws.FILTER(일별!#REF!, (일별!$A:$A &gt;= 월별!$A12) * (일별!$A:$A &lt; 월별!$A13), 0))</f>
        <v>#REF!</v>
      </c>
      <c r="CS12" s="20" t="e" cm="1">
        <f t="array" ref="CS12">SUM(_xlfn._xlws.FILTER(일별!#REF!, (일별!$A:$A &gt;= 월별!$A12) * (일별!$A:$A &lt; 월별!$A13), 0))</f>
        <v>#REF!</v>
      </c>
      <c r="CT12" s="20" t="e" cm="1">
        <f t="array" ref="CT12">SUM(_xlfn._xlws.FILTER(일별!#REF!, (일별!$A:$A &gt;= 월별!$A12) * (일별!$A:$A &lt; 월별!$A13), 0))</f>
        <v>#REF!</v>
      </c>
      <c r="CU12" s="20" t="e" cm="1">
        <f t="array" ref="CU12">SUM(_xlfn._xlws.FILTER(일별!#REF!, (일별!$A:$A &gt;= 월별!$A12) * (일별!$A:$A &lt; 월별!$A13), 0))</f>
        <v>#REF!</v>
      </c>
      <c r="CV12" s="20" t="e" cm="1">
        <f t="array" ref="CV12">SUM(_xlfn._xlws.FILTER(일별!#REF!, (일별!$A:$A &gt;= 월별!$A12) * (일별!$A:$A &lt; 월별!$A13), 0))</f>
        <v>#REF!</v>
      </c>
      <c r="CW12" s="20" t="e" cm="1">
        <f t="array" ref="CW12">SUM(_xlfn._xlws.FILTER(일별!#REF!, (일별!$A:$A &gt;= 월별!$A12) * (일별!$A:$A &lt; 월별!$A13), 0))</f>
        <v>#REF!</v>
      </c>
      <c r="CX12" s="20" t="e" cm="1">
        <f t="array" ref="CX12">SUM(_xlfn._xlws.FILTER(일별!#REF!, (일별!$A:$A &gt;= 월별!$A12) * (일별!$A:$A &lt; 월별!$A13), 0))</f>
        <v>#REF!</v>
      </c>
      <c r="CY12" s="20" t="e" cm="1">
        <f t="array" ref="CY12">SUM(_xlfn._xlws.FILTER(일별!#REF!, (일별!$A:$A &gt;= 월별!$A12) * (일별!$A:$A &lt; 월별!$A13), 0))</f>
        <v>#REF!</v>
      </c>
      <c r="CZ12" s="20" t="e" cm="1">
        <f t="array" ref="CZ12">SUM(_xlfn._xlws.FILTER(일별!#REF!, (일별!$A:$A &gt;= 월별!$A12) * (일별!$A:$A &lt; 월별!$A13), 0))</f>
        <v>#REF!</v>
      </c>
      <c r="DA12" s="20" t="e" cm="1">
        <f t="array" ref="DA12">SUM(_xlfn._xlws.FILTER(일별!#REF!, (일별!$A:$A &gt;= 월별!$A12) * (일별!$A:$A &lt; 월별!$A13), 0))</f>
        <v>#REF!</v>
      </c>
      <c r="DB12" s="20" t="e" cm="1">
        <f t="array" ref="DB12">SUM(_xlfn._xlws.FILTER(일별!#REF!, (일별!$A:$A &gt;= 월별!$A12) * (일별!$A:$A &lt; 월별!$A13), 0))</f>
        <v>#REF!</v>
      </c>
      <c r="DC12" s="20" t="e" cm="1">
        <f t="array" ref="DC12">SUM(_xlfn._xlws.FILTER(일별!#REF!, (일별!$A:$A &gt;= 월별!$A12) * (일별!$A:$A &lt; 월별!$A13), 0))</f>
        <v>#REF!</v>
      </c>
      <c r="DD12" s="20" t="e" cm="1">
        <f t="array" ref="DD12">SUM(_xlfn._xlws.FILTER(일별!#REF!, (일별!$A:$A &gt;= 월별!$A12) * (일별!$A:$A &lt; 월별!$A13), 0))</f>
        <v>#REF!</v>
      </c>
      <c r="DE12" s="20" t="e" cm="1">
        <f t="array" ref="DE12">SUM(_xlfn._xlws.FILTER(일별!#REF!, (일별!$A:$A &gt;= 월별!$A12) * (일별!$A:$A &lt; 월별!$A13), 0))</f>
        <v>#REF!</v>
      </c>
      <c r="DF12" s="20" t="e" cm="1">
        <f t="array" ref="DF12">SUM(_xlfn._xlws.FILTER(일별!#REF!, (일별!$A:$A &gt;= 월별!$A12) * (일별!$A:$A &lt; 월별!$A13), 0))</f>
        <v>#REF!</v>
      </c>
      <c r="DG12" s="20" t="e" cm="1">
        <f t="array" ref="DG12">SUM(_xlfn._xlws.FILTER(일별!#REF!, (일별!$A:$A &gt;= 월별!$A12) * (일별!$A:$A &lt; 월별!$A13), 0))</f>
        <v>#REF!</v>
      </c>
      <c r="DH12" s="20" t="e" cm="1">
        <f t="array" ref="DH12">SUM(_xlfn._xlws.FILTER(일별!#REF!, (일별!$A:$A &gt;= 월별!$A12) * (일별!$A:$A &lt; 월별!$A13), 0))</f>
        <v>#REF!</v>
      </c>
      <c r="DI12" s="19" t="e" cm="1">
        <f t="array" ref="DI12">SUM(_xlfn._xlws.FILTER(일별!#REF!, (일별!$A:$A &gt;= 월별!$A12) * (일별!$A:$A &lt; 월별!$A13), 0))</f>
        <v>#REF!</v>
      </c>
    </row>
    <row r="13" spans="1:113">
      <c r="A13" s="25">
        <v>45901</v>
      </c>
      <c r="B13" s="15">
        <f>SUMIFS(일별!$C:$C,
       일별!$A:$A, "&gt;="&amp;월별!$A13,
       일별!$A:$A, "&lt;"&amp;월별!$A14)</f>
        <v>567</v>
      </c>
      <c r="C13" s="16">
        <f>B13/(월별!$A14 - 월별!$A13)</f>
        <v>18.899999999999999</v>
      </c>
      <c r="D13" s="15">
        <f>SUMIFS(일별!E:E,
       일별!$A:$A, "&gt;="&amp;월별!$A13,
       일별!$A:$A, "&lt;"&amp;월별!$A14)</f>
        <v>2322</v>
      </c>
      <c r="E13" s="16">
        <f>D13/(월별!$A14 - 월별!$A13)</f>
        <v>77.400000000000006</v>
      </c>
      <c r="F13" s="12">
        <f>SUMIFS(일별!G:G,
       일별!$A:$A, "&gt;="&amp;월별!$A13,
       일별!$A:$A, "&lt;"&amp;월별!$A14)</f>
        <v>2115</v>
      </c>
      <c r="G13" s="16">
        <f>F13/(월별!$A14 - 월별!$A13)</f>
        <v>70.5</v>
      </c>
      <c r="H13" s="15">
        <f t="shared" si="0"/>
        <v>4437</v>
      </c>
      <c r="I13" s="16">
        <f t="shared" si="1"/>
        <v>147.9</v>
      </c>
      <c r="J13" s="12">
        <f>SUMIFS(일별!I:I,
       일별!$A:$A, "&gt;="&amp;월별!$A13,
       일별!$A:$A, "&lt;"&amp;월별!$A14)</f>
        <v>547.07999999999993</v>
      </c>
      <c r="K13" s="16">
        <f>J13/(월별!$A14 - 월별!$A13)</f>
        <v>18.235999999999997</v>
      </c>
      <c r="L13" s="12">
        <f>SUMIFS(일별!K:K,
       일별!$A:$A, "&gt;="&amp;월별!$A13,
       일별!$A:$A, "&lt;"&amp;월별!$A14)</f>
        <v>547.07999999999993</v>
      </c>
      <c r="M13" s="16">
        <f>L13/(월별!$A14 - 월별!$A13)</f>
        <v>18.235999999999997</v>
      </c>
      <c r="N13" s="12">
        <f>SUMIFS(일별!M:M,
       일별!$A:$A, "&gt;="&amp;월별!$A13,
       일별!$A:$A, "&lt;"&amp;월별!$A14)</f>
        <v>32.199999999999818</v>
      </c>
      <c r="O13" s="31">
        <f>N13/(월별!$A14 - 월별!$A13)</f>
        <v>1.0733333333333273</v>
      </c>
      <c r="P13" s="12">
        <f>SUMIFS(일별!O:O,
       일별!$A:$A, "&gt;="&amp;월별!$A13,
       일별!$A:$A, "&lt;"&amp;월별!$A14)</f>
        <v>3136</v>
      </c>
      <c r="Q13" s="16">
        <f>P13/(월별!$A14 - 월별!$A13)</f>
        <v>104.53333333333333</v>
      </c>
      <c r="R13" s="12">
        <f>SUMIFS(일별!Q:Q,
       일별!$A:$A, "&gt;="&amp;월별!$A13,
       일별!$A:$A, "&lt;"&amp;월별!$A14)</f>
        <v>-283026</v>
      </c>
      <c r="S13" s="16">
        <f>R13/(월별!$A14 - 월별!$A13)</f>
        <v>-9434.2000000000007</v>
      </c>
      <c r="T13" s="12">
        <f>SUMIFS(일별!S:S,
       일별!$A:$A, "&gt;="&amp;월별!$A13,
       일별!$A:$A, "&lt;"&amp;월별!$A14)</f>
        <v>2.3999999999999986</v>
      </c>
      <c r="U13" s="16">
        <f>T13/(월별!$A14 - 월별!$A13)</f>
        <v>7.9999999999999946E-2</v>
      </c>
      <c r="V13" s="12">
        <f>SUMIFS(일별!U:U,
       일별!$A:$A, "&gt;="&amp;월별!$A13,
       일별!$A:$A, "&lt;"&amp;월별!$A14)</f>
        <v>2.4899999999999984</v>
      </c>
      <c r="W13" s="16">
        <f>V13/(월별!$A14 - 월별!$A13)</f>
        <v>8.2999999999999949E-2</v>
      </c>
      <c r="X13" s="12">
        <f>SUMIFS(일별!W:W,
       일별!$A:$A, "&gt;="&amp;월별!$A13,
       일별!$A:$A, "&lt;"&amp;월별!$A14)</f>
        <v>585</v>
      </c>
      <c r="Y13" s="16">
        <f>X13/(월별!$A14 - 월별!$A13)</f>
        <v>19.5</v>
      </c>
      <c r="Z13" s="15">
        <f>SUMIFS(일별!X:X,
       일별!$A:$A, "&gt;="&amp;월별!$A13,
       일별!$A:$A, "&lt;"&amp;월별!$A14)</f>
        <v>20142.370000004768</v>
      </c>
      <c r="AA13" s="12">
        <f>SUMIFS(일별!Y:Y,
       일별!$A:$A, "&gt;="&amp;월별!$A13,
       일별!$A:$A, "&lt;"&amp;월별!$A14)</f>
        <v>0</v>
      </c>
      <c r="AB13" s="12">
        <f>SUMIFS(일별!Z:Z,
       일별!$A:$A, "&gt;="&amp;월별!$A13,
       일별!$A:$A, "&lt;"&amp;월별!$A14)</f>
        <v>0</v>
      </c>
      <c r="AC13" s="12">
        <f>SUMIFS(일별!AA:AA,
       일별!$A:$A, "&gt;="&amp;월별!$A13,
       일별!$A:$A, "&lt;"&amp;월별!$A14)</f>
        <v>0</v>
      </c>
      <c r="AD13" s="12">
        <f>SUMIFS(일별!AB:AB,
       일별!$A:$A, "&gt;="&amp;월별!$A13,
       일별!$A:$A, "&lt;"&amp;월별!$A14)</f>
        <v>0</v>
      </c>
      <c r="AE13" s="16">
        <f>SUMIFS(일별!AC:AC,
       일별!$A:$A, "&gt;="&amp;월별!$A13,
       일별!$A:$A, "&lt;"&amp;월별!$A14)</f>
        <v>0</v>
      </c>
      <c r="AF13" s="15">
        <f>SUMIFS(일별!AD:AD,
       일별!$A:$A, "&gt;="&amp;월별!$A13,
       일별!$A:$A, "&lt;"&amp;월별!$A14)</f>
        <v>11</v>
      </c>
      <c r="AG13" s="12">
        <f>SUMIFS(일별!AE:AE,
       일별!$A:$A, "&gt;="&amp;월별!$A13,
       일별!$A:$A, "&lt;"&amp;월별!$A14)</f>
        <v>0</v>
      </c>
      <c r="AH13" s="12">
        <f>SUMIFS(일별!AF:AF,
       일별!$A:$A, "&gt;="&amp;월별!$A13,
       일별!$A:$A, "&lt;"&amp;월별!$A14)</f>
        <v>0</v>
      </c>
      <c r="AI13" s="16">
        <f>SUMIFS(일별!AG:AG,
       일별!$A:$A, "&gt;="&amp;월별!$A13,
       일별!$A:$A, "&lt;"&amp;월별!$A14)</f>
        <v>0</v>
      </c>
      <c r="AJ13" s="15">
        <f>SUMIFS(일별!AX:AX,
       일별!$A:$A, "&gt;="&amp;월별!$A13,
       일별!$A:$A, "&lt;"&amp;월별!$A14)</f>
        <v>115</v>
      </c>
      <c r="AK13" s="12">
        <f>SUMIFS(일별!AY:AY,
       일별!$A:$A, "&gt;="&amp;월별!$A13,
       일별!$A:$A, "&lt;"&amp;월별!$A14)</f>
        <v>0</v>
      </c>
      <c r="AL13" s="12">
        <f>SUMIFS(일별!AZ:AZ,
       일별!$A:$A, "&gt;="&amp;월별!$A13,
       일별!$A:$A, "&lt;"&amp;월별!$A14)</f>
        <v>0</v>
      </c>
      <c r="AM13" s="12">
        <f>SUMIFS(일별!BA:BA,
       일별!$A:$A, "&gt;="&amp;월별!$A13,
       일별!$A:$A, "&lt;"&amp;월별!$A14)</f>
        <v>0</v>
      </c>
      <c r="AN13" s="12">
        <f>SUMIFS(일별!BB:BB,
       일별!$A:$A, "&gt;="&amp;월별!$A13,
       일별!$A:$A, "&lt;"&amp;월별!$A14)</f>
        <v>0</v>
      </c>
      <c r="AO13" s="16">
        <f>SUMIFS(일별!BC:BC,
       일별!$A:$A, "&gt;="&amp;월별!$A13,
       일별!$A:$A, "&lt;"&amp;월별!$A14)</f>
        <v>115</v>
      </c>
      <c r="AP13" s="18" t="e" cm="1">
        <f t="array" ref="AP13">SUM(_xlfn._xlws.FILTER(일별!#REF!, (일별!$A:$A &gt;= 월별!$A13) * (일별!$A:$A &lt; 월별!$A14), 0))</f>
        <v>#REF!</v>
      </c>
      <c r="AQ13" s="20" t="e">
        <f>AP13/(월별!$A14 - 월별!$A13)</f>
        <v>#REF!</v>
      </c>
      <c r="AR13" s="20" t="e" cm="1">
        <f t="array" ref="AR13">SUM(_xlfn._xlws.FILTER(일별!#REF!, (일별!$A:$A &gt;= 월별!$A13) * (일별!$A:$A &lt; 월별!$A14), 0))</f>
        <v>#REF!</v>
      </c>
      <c r="AS13" s="20" t="e">
        <f>AR13/(월별!$A14 - 월별!$A13)</f>
        <v>#REF!</v>
      </c>
      <c r="AT13" s="20" t="e" cm="1">
        <f t="array" ref="AT13">SUM(_xlfn._xlws.FILTER(일별!#REF!, (일별!$A:$A &gt;= 월별!$A13) * (일별!$A:$A &lt; 월별!$A14), 0))</f>
        <v>#REF!</v>
      </c>
      <c r="AU13" s="20" t="e">
        <f>AT13/(월별!$A14 - 월별!$A13)</f>
        <v>#REF!</v>
      </c>
      <c r="AV13" s="18" t="e" cm="1">
        <f t="array" ref="AV13">SUM(_xlfn._xlws.FILTER(일별!#REF!, (일별!$A:$A &gt;= 월별!$A13) * (일별!$A:$A &lt; 월별!$A14), 0))</f>
        <v>#REF!</v>
      </c>
      <c r="AW13" s="20" t="e" cm="1">
        <f t="array" ref="AW13">SUM(_xlfn._xlws.FILTER(일별!#REF!, (일별!$A:$A &gt;= 월별!$A13) * (일별!$A:$A &lt; 월별!$A14), 0))</f>
        <v>#REF!</v>
      </c>
      <c r="AX13" s="20" t="e" cm="1">
        <f t="array" ref="AX13">SUM(_xlfn._xlws.FILTER(일별!#REF!, (일별!$A:$A &gt;= 월별!$A13) * (일별!$A:$A &lt; 월별!$A14), 0))</f>
        <v>#REF!</v>
      </c>
      <c r="AY13" s="20" t="e" cm="1">
        <f t="array" ref="AY13">SUM(_xlfn._xlws.FILTER(일별!#REF!, (일별!$A:$A &gt;= 월별!$A13) * (일별!$A:$A &lt; 월별!$A14), 0))</f>
        <v>#REF!</v>
      </c>
      <c r="AZ13" s="20" t="e" cm="1">
        <f t="array" ref="AZ13">SUM(_xlfn._xlws.FILTER(일별!#REF!, (일별!$A:$A &gt;= 월별!$A13) * (일별!$A:$A &lt; 월별!$A14), 0))</f>
        <v>#REF!</v>
      </c>
      <c r="BA13" s="20" t="e" cm="1">
        <f t="array" ref="BA13">SUM(_xlfn._xlws.FILTER(일별!#REF!, (일별!$A:$A &gt;= 월별!$A13) * (일별!$A:$A &lt; 월별!$A14), 0))</f>
        <v>#REF!</v>
      </c>
      <c r="BB13" s="20" t="e" cm="1">
        <f t="array" ref="BB13">SUM(_xlfn._xlws.FILTER(일별!#REF!, (일별!$A:$A &gt;= 월별!$A13) * (일별!$A:$A &lt; 월별!$A14), 0))</f>
        <v>#REF!</v>
      </c>
      <c r="BC13" s="20" t="e" cm="1">
        <f t="array" ref="BC13">SUM(_xlfn._xlws.FILTER(일별!#REF!, (일별!$A:$A &gt;= 월별!$A13) * (일별!$A:$A &lt; 월별!$A14), 0))</f>
        <v>#REF!</v>
      </c>
      <c r="BD13" s="20" t="e" cm="1">
        <f t="array" ref="BD13">SUM(_xlfn._xlws.FILTER(일별!#REF!, (일별!$A:$A &gt;= 월별!$A13) * (일별!$A:$A &lt; 월별!$A14), 0))</f>
        <v>#REF!</v>
      </c>
      <c r="BE13" s="20" t="e" cm="1">
        <f t="array" ref="BE13">SUM(_xlfn._xlws.FILTER(일별!#REF!, (일별!$A:$A &gt;= 월별!$A13) * (일별!$A:$A &lt; 월별!$A14), 0))</f>
        <v>#REF!</v>
      </c>
      <c r="BF13" s="20" t="e" cm="1">
        <f t="array" ref="BF13">SUM(_xlfn._xlws.FILTER(일별!#REF!, (일별!$A:$A &gt;= 월별!$A13) * (일별!$A:$A &lt; 월별!$A14), 0))</f>
        <v>#REF!</v>
      </c>
      <c r="BG13" s="20" t="e" cm="1">
        <f t="array" ref="BG13">SUM(_xlfn._xlws.FILTER(일별!#REF!, (일별!$A:$A &gt;= 월별!$A13) * (일별!$A:$A &lt; 월별!$A14), 0))</f>
        <v>#REF!</v>
      </c>
      <c r="BH13" s="20" t="e" cm="1">
        <f t="array" ref="BH13">SUM(_xlfn._xlws.FILTER(일별!#REF!, (일별!$A:$A &gt;= 월별!$A13) * (일별!$A:$A &lt; 월별!$A14), 0))</f>
        <v>#REF!</v>
      </c>
      <c r="BI13" s="20" t="e" cm="1">
        <f t="array" ref="BI13">SUM(_xlfn._xlws.FILTER(일별!#REF!, (일별!$A:$A &gt;= 월별!$A13) * (일별!$A:$A &lt; 월별!$A14), 0))</f>
        <v>#REF!</v>
      </c>
      <c r="BJ13" s="20" t="e" cm="1">
        <f t="array" ref="BJ13">SUM(_xlfn._xlws.FILTER(일별!#REF!, (일별!$A:$A &gt;= 월별!$A13) * (일별!$A:$A &lt; 월별!$A14), 0))</f>
        <v>#REF!</v>
      </c>
      <c r="BK13" s="20" t="e" cm="1">
        <f t="array" ref="BK13">SUM(_xlfn._xlws.FILTER(일별!#REF!, (일별!$A:$A &gt;= 월별!$A13) * (일별!$A:$A &lt; 월별!$A14), 0))</f>
        <v>#REF!</v>
      </c>
      <c r="BL13" s="20" t="e" cm="1">
        <f t="array" ref="BL13">SUM(_xlfn._xlws.FILTER(일별!#REF!, (일별!$A:$A &gt;= 월별!$A13) * (일별!$A:$A &lt; 월별!$A14), 0))</f>
        <v>#REF!</v>
      </c>
      <c r="BM13" s="20" t="e" cm="1">
        <f t="array" ref="BM13">SUM(_xlfn._xlws.FILTER(일별!#REF!, (일별!$A:$A &gt;= 월별!$A13) * (일별!$A:$A &lt; 월별!$A14), 0))</f>
        <v>#REF!</v>
      </c>
      <c r="BN13" s="20" t="e" cm="1">
        <f t="array" ref="BN13">SUM(_xlfn._xlws.FILTER(일별!#REF!, (일별!$A:$A &gt;= 월별!$A13) * (일별!$A:$A &lt; 월별!$A14), 0))</f>
        <v>#REF!</v>
      </c>
      <c r="BO13" s="20" t="e" cm="1">
        <f t="array" ref="BO13">SUM(_xlfn._xlws.FILTER(일별!#REF!, (일별!$A:$A &gt;= 월별!$A13) * (일별!$A:$A &lt; 월별!$A14), 0))</f>
        <v>#REF!</v>
      </c>
      <c r="BP13" s="20" t="e" cm="1">
        <f t="array" ref="BP13">SUM(_xlfn._xlws.FILTER(일별!#REF!, (일별!$A:$A &gt;= 월별!$A13) * (일별!$A:$A &lt; 월별!$A14), 0))</f>
        <v>#REF!</v>
      </c>
      <c r="BQ13" s="19" t="e" cm="1">
        <f t="array" ref="BQ13">SUM(_xlfn._xlws.FILTER(일별!#REF!, (일별!$A:$A &gt;= 월별!$A13) * (일별!$A:$A &lt; 월별!$A14), 0))</f>
        <v>#REF!</v>
      </c>
      <c r="BR13" s="18" t="e" cm="1">
        <f t="array" ref="BR13">SUM(_xlfn._xlws.FILTER(일별!#REF!, (일별!$A:$A &gt;= 월별!$A13) * (일별!$A:$A &lt; 월별!$A14), 0))</f>
        <v>#REF!</v>
      </c>
      <c r="BS13" s="20" t="e" cm="1">
        <f t="array" ref="BS13">SUM(_xlfn._xlws.FILTER(일별!#REF!, (일별!$A:$A &gt;= 월별!$A13) * (일별!$A:$A &lt; 월별!$A14), 0))</f>
        <v>#REF!</v>
      </c>
      <c r="BT13" s="20" t="e" cm="1">
        <f t="array" ref="BT13">SUM(_xlfn._xlws.FILTER(일별!#REF!, (일별!$A:$A &gt;= 월별!$A13) * (일별!$A:$A &lt; 월별!$A14), 0))</f>
        <v>#REF!</v>
      </c>
      <c r="BU13" s="20" t="e" cm="1">
        <f t="array" ref="BU13">SUM(_xlfn._xlws.FILTER(일별!#REF!, (일별!$A:$A &gt;= 월별!$A13) * (일별!$A:$A &lt; 월별!$A14), 0))</f>
        <v>#REF!</v>
      </c>
      <c r="BV13" s="20" t="e" cm="1">
        <f t="array" ref="BV13">SUM(_xlfn._xlws.FILTER(일별!#REF!, (일별!$A:$A &gt;= 월별!$A13) * (일별!$A:$A &lt; 월별!$A14), 0))</f>
        <v>#REF!</v>
      </c>
      <c r="BW13" s="20" t="e" cm="1">
        <f t="array" ref="BW13">SUM(_xlfn._xlws.FILTER(일별!#REF!, (일별!$A:$A &gt;= 월별!$A13) * (일별!$A:$A &lt; 월별!$A14), 0))</f>
        <v>#REF!</v>
      </c>
      <c r="BX13" s="20" t="e" cm="1">
        <f t="array" ref="BX13">SUM(_xlfn._xlws.FILTER(일별!#REF!, (일별!$A:$A &gt;= 월별!$A13) * (일별!$A:$A &lt; 월별!$A14), 0))</f>
        <v>#REF!</v>
      </c>
      <c r="BY13" s="20" t="e" cm="1">
        <f t="array" ref="BY13">SUM(_xlfn._xlws.FILTER(일별!#REF!, (일별!$A:$A &gt;= 월별!$A13) * (일별!$A:$A &lt; 월별!$A14), 0))</f>
        <v>#REF!</v>
      </c>
      <c r="BZ13" s="20" t="e" cm="1">
        <f t="array" ref="BZ13">SUM(_xlfn._xlws.FILTER(일별!#REF!, (일별!$A:$A &gt;= 월별!$A13) * (일별!$A:$A &lt; 월별!$A14), 0))</f>
        <v>#REF!</v>
      </c>
      <c r="CA13" s="20" t="e" cm="1">
        <f t="array" ref="CA13">SUM(_xlfn._xlws.FILTER(일별!#REF!, (일별!$A:$A &gt;= 월별!$A13) * (일별!$A:$A &lt; 월별!$A14), 0))</f>
        <v>#REF!</v>
      </c>
      <c r="CB13" s="20" t="e" cm="1">
        <f t="array" ref="CB13">SUM(_xlfn._xlws.FILTER(일별!#REF!, (일별!$A:$A &gt;= 월별!$A13) * (일별!$A:$A &lt; 월별!$A14), 0))</f>
        <v>#REF!</v>
      </c>
      <c r="CC13" s="20" t="e" cm="1">
        <f t="array" ref="CC13">SUM(_xlfn._xlws.FILTER(일별!#REF!, (일별!$A:$A &gt;= 월별!$A13) * (일별!$A:$A &lt; 월별!$A14), 0))</f>
        <v>#REF!</v>
      </c>
      <c r="CD13" s="20" t="e" cm="1">
        <f t="array" ref="CD13">SUM(_xlfn._xlws.FILTER(일별!#REF!, (일별!$A:$A &gt;= 월별!$A13) * (일별!$A:$A &lt; 월별!$A14), 0))</f>
        <v>#REF!</v>
      </c>
      <c r="CE13" s="20" t="e" cm="1">
        <f t="array" ref="CE13">SUM(_xlfn._xlws.FILTER(일별!#REF!, (일별!$A:$A &gt;= 월별!$A13) * (일별!$A:$A &lt; 월별!$A14), 0))</f>
        <v>#REF!</v>
      </c>
      <c r="CF13" s="20" t="e" cm="1">
        <f t="array" ref="CF13">SUM(_xlfn._xlws.FILTER(일별!#REF!, (일별!$A:$A &gt;= 월별!$A13) * (일별!$A:$A &lt; 월별!$A14), 0))</f>
        <v>#REF!</v>
      </c>
      <c r="CG13" s="20" t="e" cm="1">
        <f t="array" ref="CG13">SUM(_xlfn._xlws.FILTER(일별!#REF!, (일별!$A:$A &gt;= 월별!$A13) * (일별!$A:$A &lt; 월별!$A14), 0))</f>
        <v>#REF!</v>
      </c>
      <c r="CH13" s="20" t="e" cm="1">
        <f t="array" ref="CH13">SUM(_xlfn._xlws.FILTER(일별!#REF!, (일별!$A:$A &gt;= 월별!$A13) * (일별!$A:$A &lt; 월별!$A14), 0))</f>
        <v>#REF!</v>
      </c>
      <c r="CI13" s="20" t="e" cm="1">
        <f t="array" ref="CI13">SUM(_xlfn._xlws.FILTER(일별!#REF!, (일별!$A:$A &gt;= 월별!$A13) * (일별!$A:$A &lt; 월별!$A14), 0))</f>
        <v>#REF!</v>
      </c>
      <c r="CJ13" s="20" t="e" cm="1">
        <f t="array" ref="CJ13">SUM(_xlfn._xlws.FILTER(일별!#REF!, (일별!$A:$A &gt;= 월별!$A13) * (일별!$A:$A &lt; 월별!$A14), 0))</f>
        <v>#REF!</v>
      </c>
      <c r="CK13" s="20" t="e" cm="1">
        <f t="array" ref="CK13">SUM(_xlfn._xlws.FILTER(일별!#REF!, (일별!$A:$A &gt;= 월별!$A13) * (일별!$A:$A &lt; 월별!$A14), 0))</f>
        <v>#REF!</v>
      </c>
      <c r="CL13" s="20" t="e" cm="1">
        <f t="array" ref="CL13">SUM(_xlfn._xlws.FILTER(일별!#REF!, (일별!$A:$A &gt;= 월별!$A13) * (일별!$A:$A &lt; 월별!$A14), 0))</f>
        <v>#REF!</v>
      </c>
      <c r="CM13" s="19" t="e" cm="1">
        <f t="array" ref="CM13">SUM(_xlfn._xlws.FILTER(일별!#REF!, (일별!$A:$A &gt;= 월별!$A13) * (일별!$A:$A &lt; 월별!$A14), 0))</f>
        <v>#REF!</v>
      </c>
      <c r="CN13" s="18" t="e" cm="1">
        <f t="array" ref="CN13">SUM(_xlfn._xlws.FILTER(일별!#REF!, (일별!$A:$A &gt;= 월별!$A13) * (일별!$A:$A &lt; 월별!$A14), 0))</f>
        <v>#REF!</v>
      </c>
      <c r="CO13" s="20" t="e" cm="1">
        <f t="array" ref="CO13">SUM(_xlfn._xlws.FILTER(일별!#REF!, (일별!$A:$A &gt;= 월별!$A13) * (일별!$A:$A &lt; 월별!$A14), 0))</f>
        <v>#REF!</v>
      </c>
      <c r="CP13" s="20" t="e" cm="1">
        <f t="array" ref="CP13">SUM(_xlfn._xlws.FILTER(일별!#REF!, (일별!$A:$A &gt;= 월별!$A13) * (일별!$A:$A &lt; 월별!$A14), 0))</f>
        <v>#REF!</v>
      </c>
      <c r="CQ13" s="20" t="e" cm="1">
        <f t="array" ref="CQ13">SUM(_xlfn._xlws.FILTER(일별!#REF!, (일별!$A:$A &gt;= 월별!$A13) * (일별!$A:$A &lt; 월별!$A14), 0))</f>
        <v>#REF!</v>
      </c>
      <c r="CR13" s="20" t="e" cm="1">
        <f t="array" ref="CR13">SUM(_xlfn._xlws.FILTER(일별!#REF!, (일별!$A:$A &gt;= 월별!$A13) * (일별!$A:$A &lt; 월별!$A14), 0))</f>
        <v>#REF!</v>
      </c>
      <c r="CS13" s="20" t="e" cm="1">
        <f t="array" ref="CS13">SUM(_xlfn._xlws.FILTER(일별!#REF!, (일별!$A:$A &gt;= 월별!$A13) * (일별!$A:$A &lt; 월별!$A14), 0))</f>
        <v>#REF!</v>
      </c>
      <c r="CT13" s="20" t="e" cm="1">
        <f t="array" ref="CT13">SUM(_xlfn._xlws.FILTER(일별!#REF!, (일별!$A:$A &gt;= 월별!$A13) * (일별!$A:$A &lt; 월별!$A14), 0))</f>
        <v>#REF!</v>
      </c>
      <c r="CU13" s="20" t="e" cm="1">
        <f t="array" ref="CU13">SUM(_xlfn._xlws.FILTER(일별!#REF!, (일별!$A:$A &gt;= 월별!$A13) * (일별!$A:$A &lt; 월별!$A14), 0))</f>
        <v>#REF!</v>
      </c>
      <c r="CV13" s="20" t="e" cm="1">
        <f t="array" ref="CV13">SUM(_xlfn._xlws.FILTER(일별!#REF!, (일별!$A:$A &gt;= 월별!$A13) * (일별!$A:$A &lt; 월별!$A14), 0))</f>
        <v>#REF!</v>
      </c>
      <c r="CW13" s="20" t="e" cm="1">
        <f t="array" ref="CW13">SUM(_xlfn._xlws.FILTER(일별!#REF!, (일별!$A:$A &gt;= 월별!$A13) * (일별!$A:$A &lt; 월별!$A14), 0))</f>
        <v>#REF!</v>
      </c>
      <c r="CX13" s="20" t="e" cm="1">
        <f t="array" ref="CX13">SUM(_xlfn._xlws.FILTER(일별!#REF!, (일별!$A:$A &gt;= 월별!$A13) * (일별!$A:$A &lt; 월별!$A14), 0))</f>
        <v>#REF!</v>
      </c>
      <c r="CY13" s="20" t="e" cm="1">
        <f t="array" ref="CY13">SUM(_xlfn._xlws.FILTER(일별!#REF!, (일별!$A:$A &gt;= 월별!$A13) * (일별!$A:$A &lt; 월별!$A14), 0))</f>
        <v>#REF!</v>
      </c>
      <c r="CZ13" s="20" t="e" cm="1">
        <f t="array" ref="CZ13">SUM(_xlfn._xlws.FILTER(일별!#REF!, (일별!$A:$A &gt;= 월별!$A13) * (일별!$A:$A &lt; 월별!$A14), 0))</f>
        <v>#REF!</v>
      </c>
      <c r="DA13" s="20" t="e" cm="1">
        <f t="array" ref="DA13">SUM(_xlfn._xlws.FILTER(일별!#REF!, (일별!$A:$A &gt;= 월별!$A13) * (일별!$A:$A &lt; 월별!$A14), 0))</f>
        <v>#REF!</v>
      </c>
      <c r="DB13" s="20" t="e" cm="1">
        <f t="array" ref="DB13">SUM(_xlfn._xlws.FILTER(일별!#REF!, (일별!$A:$A &gt;= 월별!$A13) * (일별!$A:$A &lt; 월별!$A14), 0))</f>
        <v>#REF!</v>
      </c>
      <c r="DC13" s="20" t="e" cm="1">
        <f t="array" ref="DC13">SUM(_xlfn._xlws.FILTER(일별!#REF!, (일별!$A:$A &gt;= 월별!$A13) * (일별!$A:$A &lt; 월별!$A14), 0))</f>
        <v>#REF!</v>
      </c>
      <c r="DD13" s="20" t="e" cm="1">
        <f t="array" ref="DD13">SUM(_xlfn._xlws.FILTER(일별!#REF!, (일별!$A:$A &gt;= 월별!$A13) * (일별!$A:$A &lt; 월별!$A14), 0))</f>
        <v>#REF!</v>
      </c>
      <c r="DE13" s="20" t="e" cm="1">
        <f t="array" ref="DE13">SUM(_xlfn._xlws.FILTER(일별!#REF!, (일별!$A:$A &gt;= 월별!$A13) * (일별!$A:$A &lt; 월별!$A14), 0))</f>
        <v>#REF!</v>
      </c>
      <c r="DF13" s="20" t="e" cm="1">
        <f t="array" ref="DF13">SUM(_xlfn._xlws.FILTER(일별!#REF!, (일별!$A:$A &gt;= 월별!$A13) * (일별!$A:$A &lt; 월별!$A14), 0))</f>
        <v>#REF!</v>
      </c>
      <c r="DG13" s="20" t="e" cm="1">
        <f t="array" ref="DG13">SUM(_xlfn._xlws.FILTER(일별!#REF!, (일별!$A:$A &gt;= 월별!$A13) * (일별!$A:$A &lt; 월별!$A14), 0))</f>
        <v>#REF!</v>
      </c>
      <c r="DH13" s="20" t="e" cm="1">
        <f t="array" ref="DH13">SUM(_xlfn._xlws.FILTER(일별!#REF!, (일별!$A:$A &gt;= 월별!$A13) * (일별!$A:$A &lt; 월별!$A14), 0))</f>
        <v>#REF!</v>
      </c>
      <c r="DI13" s="19" t="e" cm="1">
        <f t="array" ref="DI13">SUM(_xlfn._xlws.FILTER(일별!#REF!, (일별!$A:$A &gt;= 월별!$A13) * (일별!$A:$A &lt; 월별!$A14), 0))</f>
        <v>#REF!</v>
      </c>
    </row>
    <row r="14" spans="1:113">
      <c r="A14" s="25">
        <v>45931</v>
      </c>
      <c r="B14" s="15">
        <f>SUMIFS(일별!$C:$C,
       일별!$A:$A, "&gt;="&amp;월별!$A14,
       일별!$A:$A, "&lt;"&amp;월별!$A15)</f>
        <v>210</v>
      </c>
      <c r="C14" s="16">
        <f>B14/(월별!$A15 - 월별!$A14)</f>
        <v>6.774193548387097</v>
      </c>
      <c r="D14" s="15">
        <f>SUMIFS(일별!E:E,
       일별!$A:$A, "&gt;="&amp;월별!$A14,
       일별!$A:$A, "&lt;"&amp;월별!$A15)</f>
        <v>1254</v>
      </c>
      <c r="E14" s="16">
        <f>D14/(월별!$A15 - 월별!$A14)</f>
        <v>40.451612903225808</v>
      </c>
      <c r="F14" s="12">
        <f>SUMIFS(일별!G:G,
       일별!$A:$A, "&gt;="&amp;월별!$A14,
       일별!$A:$A, "&lt;"&amp;월별!$A15)</f>
        <v>981</v>
      </c>
      <c r="G14" s="16">
        <f>F14/(월별!$A15 - 월별!$A14)</f>
        <v>31.64516129032258</v>
      </c>
      <c r="H14" s="15">
        <f t="shared" si="0"/>
        <v>2235</v>
      </c>
      <c r="I14" s="16">
        <f t="shared" si="1"/>
        <v>72.096774193548384</v>
      </c>
      <c r="J14" s="12">
        <f>SUMIFS(일별!I:I,
       일별!$A:$A, "&gt;="&amp;월별!$A14,
       일별!$A:$A, "&lt;"&amp;월별!$A15)</f>
        <v>124.11999999999898</v>
      </c>
      <c r="K14" s="16">
        <f>J14/(월별!$A15 - 월별!$A14)</f>
        <v>4.0038709677419027</v>
      </c>
      <c r="L14" s="12">
        <f>SUMIFS(일별!K:K,
       일별!$A:$A, "&gt;="&amp;월별!$A14,
       일별!$A:$A, "&lt;"&amp;월별!$A15)</f>
        <v>124.11999999999898</v>
      </c>
      <c r="M14" s="16">
        <f>L14/(월별!$A15 - 월별!$A14)</f>
        <v>4.0038709677419027</v>
      </c>
      <c r="N14" s="12">
        <f>SUMIFS(일별!M:M,
       일별!$A:$A, "&gt;="&amp;월별!$A14,
       일별!$A:$A, "&lt;"&amp;월별!$A15)</f>
        <v>27.300000000000182</v>
      </c>
      <c r="O14" s="31">
        <f>N14/(월별!$A15 - 월별!$A14)</f>
        <v>0.88064516129032844</v>
      </c>
      <c r="P14" s="12">
        <f>SUMIFS(일별!O:O,
       일별!$A:$A, "&gt;="&amp;월별!$A14,
       일별!$A:$A, "&lt;"&amp;월별!$A15)</f>
        <v>2907</v>
      </c>
      <c r="Q14" s="16">
        <f>P14/(월별!$A15 - 월별!$A14)</f>
        <v>93.774193548387103</v>
      </c>
      <c r="R14" s="12">
        <f>SUMIFS(일별!Q:Q,
       일별!$A:$A, "&gt;="&amp;월별!$A14,
       일별!$A:$A, "&lt;"&amp;월별!$A15)</f>
        <v>2860</v>
      </c>
      <c r="S14" s="16">
        <f>R14/(월별!$A15 - 월별!$A14)</f>
        <v>92.258064516129039</v>
      </c>
      <c r="T14" s="12">
        <f>SUMIFS(일별!S:S,
       일별!$A:$A, "&gt;="&amp;월별!$A14,
       일별!$A:$A, "&lt;"&amp;월별!$A15)</f>
        <v>6.0000000000002274E-2</v>
      </c>
      <c r="U14" s="16">
        <f>T14/(월별!$A15 - 월별!$A14)</f>
        <v>1.9354838709678152E-3</v>
      </c>
      <c r="V14" s="12">
        <f>SUMIFS(일별!U:U,
       일별!$A:$A, "&gt;="&amp;월별!$A14,
       일별!$A:$A, "&lt;"&amp;월별!$A15)</f>
        <v>-0.40999999999999659</v>
      </c>
      <c r="W14" s="16">
        <f>V14/(월별!$A15 - 월별!$A14)</f>
        <v>-1.3225806451612794E-2</v>
      </c>
      <c r="X14" s="12">
        <f>SUMIFS(일별!W:W,
       일별!$A:$A, "&gt;="&amp;월별!$A14,
       일별!$A:$A, "&lt;"&amp;월별!$A15)</f>
        <v>-3816</v>
      </c>
      <c r="Y14" s="16">
        <f>X14/(월별!$A15 - 월별!$A14)</f>
        <v>-123.09677419354838</v>
      </c>
      <c r="Z14" s="15">
        <f>SUMIFS(일별!X:X,
       일별!$A:$A, "&gt;="&amp;월별!$A14,
       일별!$A:$A, "&lt;"&amp;월별!$A15)</f>
        <v>53261.559999994934</v>
      </c>
      <c r="AA14" s="12">
        <f>SUMIFS(일별!Y:Y,
       일별!$A:$A, "&gt;="&amp;월별!$A14,
       일별!$A:$A, "&lt;"&amp;월별!$A15)</f>
        <v>0</v>
      </c>
      <c r="AB14" s="12">
        <f>SUMIFS(일별!Z:Z,
       일별!$A:$A, "&gt;="&amp;월별!$A14,
       일별!$A:$A, "&lt;"&amp;월별!$A15)</f>
        <v>0</v>
      </c>
      <c r="AC14" s="12">
        <f>SUMIFS(일별!AA:AA,
       일별!$A:$A, "&gt;="&amp;월별!$A14,
       일별!$A:$A, "&lt;"&amp;월별!$A15)</f>
        <v>0</v>
      </c>
      <c r="AD14" s="12">
        <f>SUMIFS(일별!AB:AB,
       일별!$A:$A, "&gt;="&amp;월별!$A14,
       일별!$A:$A, "&lt;"&amp;월별!$A15)</f>
        <v>0</v>
      </c>
      <c r="AE14" s="16">
        <f>SUMIFS(일별!AC:AC,
       일별!$A:$A, "&gt;="&amp;월별!$A14,
       일별!$A:$A, "&lt;"&amp;월별!$A15)</f>
        <v>0</v>
      </c>
      <c r="AF14" s="15">
        <f>SUMIFS(일별!AD:AD,
       일별!$A:$A, "&gt;="&amp;월별!$A14,
       일별!$A:$A, "&lt;"&amp;월별!$A15)</f>
        <v>14</v>
      </c>
      <c r="AG14" s="12">
        <f>SUMIFS(일별!AE:AE,
       일별!$A:$A, "&gt;="&amp;월별!$A14,
       일별!$A:$A, "&lt;"&amp;월별!$A15)</f>
        <v>0</v>
      </c>
      <c r="AH14" s="12">
        <f>SUMIFS(일별!AF:AF,
       일별!$A:$A, "&gt;="&amp;월별!$A14,
       일별!$A:$A, "&lt;"&amp;월별!$A15)</f>
        <v>0</v>
      </c>
      <c r="AI14" s="16">
        <f>SUMIFS(일별!AG:AG,
       일별!$A:$A, "&gt;="&amp;월별!$A14,
       일별!$A:$A, "&lt;"&amp;월별!$A15)</f>
        <v>0</v>
      </c>
      <c r="AJ14" s="15">
        <f>SUMIFS(일별!AX:AX,
       일별!$A:$A, "&gt;="&amp;월별!$A14,
       일별!$A:$A, "&lt;"&amp;월별!$A15)</f>
        <v>313</v>
      </c>
      <c r="AK14" s="12">
        <f>SUMIFS(일별!AY:AY,
       일별!$A:$A, "&gt;="&amp;월별!$A14,
       일별!$A:$A, "&lt;"&amp;월별!$A15)</f>
        <v>0</v>
      </c>
      <c r="AL14" s="12">
        <f>SUMIFS(일별!AZ:AZ,
       일별!$A:$A, "&gt;="&amp;월별!$A14,
       일별!$A:$A, "&lt;"&amp;월별!$A15)</f>
        <v>0</v>
      </c>
      <c r="AM14" s="12">
        <f>SUMIFS(일별!BA:BA,
       일별!$A:$A, "&gt;="&amp;월별!$A14,
       일별!$A:$A, "&lt;"&amp;월별!$A15)</f>
        <v>0</v>
      </c>
      <c r="AN14" s="12">
        <f>SUMIFS(일별!BB:BB,
       일별!$A:$A, "&gt;="&amp;월별!$A14,
       일별!$A:$A, "&lt;"&amp;월별!$A15)</f>
        <v>0</v>
      </c>
      <c r="AO14" s="16">
        <f>SUMIFS(일별!BC:BC,
       일별!$A:$A, "&gt;="&amp;월별!$A14,
       일별!$A:$A, "&lt;"&amp;월별!$A15)</f>
        <v>313</v>
      </c>
      <c r="AP14" s="18" t="e" cm="1">
        <f t="array" ref="AP14">SUM(_xlfn._xlws.FILTER(일별!#REF!, (일별!$A:$A &gt;= 월별!$A14) * (일별!$A:$A &lt; 월별!$A15), 0))</f>
        <v>#REF!</v>
      </c>
      <c r="AQ14" s="20" t="e">
        <f>AP14/(월별!$A15 - 월별!$A14)</f>
        <v>#REF!</v>
      </c>
      <c r="AR14" s="20" t="e" cm="1">
        <f t="array" ref="AR14">SUM(_xlfn._xlws.FILTER(일별!#REF!, (일별!$A:$A &gt;= 월별!$A14) * (일별!$A:$A &lt; 월별!$A15), 0))</f>
        <v>#REF!</v>
      </c>
      <c r="AS14" s="20" t="e">
        <f>AR14/(월별!$A15 - 월별!$A14)</f>
        <v>#REF!</v>
      </c>
      <c r="AT14" s="20" t="e" cm="1">
        <f t="array" ref="AT14">SUM(_xlfn._xlws.FILTER(일별!#REF!, (일별!$A:$A &gt;= 월별!$A14) * (일별!$A:$A &lt; 월별!$A15), 0))</f>
        <v>#REF!</v>
      </c>
      <c r="AU14" s="20" t="e">
        <f>AT14/(월별!$A15 - 월별!$A14)</f>
        <v>#REF!</v>
      </c>
      <c r="AV14" s="18" t="e" cm="1">
        <f t="array" ref="AV14">SUM(_xlfn._xlws.FILTER(일별!#REF!, (일별!$A:$A &gt;= 월별!$A14) * (일별!$A:$A &lt; 월별!$A15), 0))</f>
        <v>#REF!</v>
      </c>
      <c r="AW14" s="20" t="e" cm="1">
        <f t="array" ref="AW14">SUM(_xlfn._xlws.FILTER(일별!#REF!, (일별!$A:$A &gt;= 월별!$A14) * (일별!$A:$A &lt; 월별!$A15), 0))</f>
        <v>#REF!</v>
      </c>
      <c r="AX14" s="20" t="e" cm="1">
        <f t="array" ref="AX14">SUM(_xlfn._xlws.FILTER(일별!#REF!, (일별!$A:$A &gt;= 월별!$A14) * (일별!$A:$A &lt; 월별!$A15), 0))</f>
        <v>#REF!</v>
      </c>
      <c r="AY14" s="20" t="e" cm="1">
        <f t="array" ref="AY14">SUM(_xlfn._xlws.FILTER(일별!#REF!, (일별!$A:$A &gt;= 월별!$A14) * (일별!$A:$A &lt; 월별!$A15), 0))</f>
        <v>#REF!</v>
      </c>
      <c r="AZ14" s="20" t="e" cm="1">
        <f t="array" ref="AZ14">SUM(_xlfn._xlws.FILTER(일별!#REF!, (일별!$A:$A &gt;= 월별!$A14) * (일별!$A:$A &lt; 월별!$A15), 0))</f>
        <v>#REF!</v>
      </c>
      <c r="BA14" s="20" t="e" cm="1">
        <f t="array" ref="BA14">SUM(_xlfn._xlws.FILTER(일별!#REF!, (일별!$A:$A &gt;= 월별!$A14) * (일별!$A:$A &lt; 월별!$A15), 0))</f>
        <v>#REF!</v>
      </c>
      <c r="BB14" s="20" t="e" cm="1">
        <f t="array" ref="BB14">SUM(_xlfn._xlws.FILTER(일별!#REF!, (일별!$A:$A &gt;= 월별!$A14) * (일별!$A:$A &lt; 월별!$A15), 0))</f>
        <v>#REF!</v>
      </c>
      <c r="BC14" s="20" t="e" cm="1">
        <f t="array" ref="BC14">SUM(_xlfn._xlws.FILTER(일별!#REF!, (일별!$A:$A &gt;= 월별!$A14) * (일별!$A:$A &lt; 월별!$A15), 0))</f>
        <v>#REF!</v>
      </c>
      <c r="BD14" s="20" t="e" cm="1">
        <f t="array" ref="BD14">SUM(_xlfn._xlws.FILTER(일별!#REF!, (일별!$A:$A &gt;= 월별!$A14) * (일별!$A:$A &lt; 월별!$A15), 0))</f>
        <v>#REF!</v>
      </c>
      <c r="BE14" s="20" t="e" cm="1">
        <f t="array" ref="BE14">SUM(_xlfn._xlws.FILTER(일별!#REF!, (일별!$A:$A &gt;= 월별!$A14) * (일별!$A:$A &lt; 월별!$A15), 0))</f>
        <v>#REF!</v>
      </c>
      <c r="BF14" s="20" t="e" cm="1">
        <f t="array" ref="BF14">SUM(_xlfn._xlws.FILTER(일별!#REF!, (일별!$A:$A &gt;= 월별!$A14) * (일별!$A:$A &lt; 월별!$A15), 0))</f>
        <v>#REF!</v>
      </c>
      <c r="BG14" s="20" t="e" cm="1">
        <f t="array" ref="BG14">SUM(_xlfn._xlws.FILTER(일별!#REF!, (일별!$A:$A &gt;= 월별!$A14) * (일별!$A:$A &lt; 월별!$A15), 0))</f>
        <v>#REF!</v>
      </c>
      <c r="BH14" s="20" t="e" cm="1">
        <f t="array" ref="BH14">SUM(_xlfn._xlws.FILTER(일별!#REF!, (일별!$A:$A &gt;= 월별!$A14) * (일별!$A:$A &lt; 월별!$A15), 0))</f>
        <v>#REF!</v>
      </c>
      <c r="BI14" s="20" t="e" cm="1">
        <f t="array" ref="BI14">SUM(_xlfn._xlws.FILTER(일별!#REF!, (일별!$A:$A &gt;= 월별!$A14) * (일별!$A:$A &lt; 월별!$A15), 0))</f>
        <v>#REF!</v>
      </c>
      <c r="BJ14" s="20" t="e" cm="1">
        <f t="array" ref="BJ14">SUM(_xlfn._xlws.FILTER(일별!#REF!, (일별!$A:$A &gt;= 월별!$A14) * (일별!$A:$A &lt; 월별!$A15), 0))</f>
        <v>#REF!</v>
      </c>
      <c r="BK14" s="20" t="e" cm="1">
        <f t="array" ref="BK14">SUM(_xlfn._xlws.FILTER(일별!#REF!, (일별!$A:$A &gt;= 월별!$A14) * (일별!$A:$A &lt; 월별!$A15), 0))</f>
        <v>#REF!</v>
      </c>
      <c r="BL14" s="20" t="e" cm="1">
        <f t="array" ref="BL14">SUM(_xlfn._xlws.FILTER(일별!#REF!, (일별!$A:$A &gt;= 월별!$A14) * (일별!$A:$A &lt; 월별!$A15), 0))</f>
        <v>#REF!</v>
      </c>
      <c r="BM14" s="20" t="e" cm="1">
        <f t="array" ref="BM14">SUM(_xlfn._xlws.FILTER(일별!#REF!, (일별!$A:$A &gt;= 월별!$A14) * (일별!$A:$A &lt; 월별!$A15), 0))</f>
        <v>#REF!</v>
      </c>
      <c r="BN14" s="20" t="e" cm="1">
        <f t="array" ref="BN14">SUM(_xlfn._xlws.FILTER(일별!#REF!, (일별!$A:$A &gt;= 월별!$A14) * (일별!$A:$A &lt; 월별!$A15), 0))</f>
        <v>#REF!</v>
      </c>
      <c r="BO14" s="20" t="e" cm="1">
        <f t="array" ref="BO14">SUM(_xlfn._xlws.FILTER(일별!#REF!, (일별!$A:$A &gt;= 월별!$A14) * (일별!$A:$A &lt; 월별!$A15), 0))</f>
        <v>#REF!</v>
      </c>
      <c r="BP14" s="20" t="e" cm="1">
        <f t="array" ref="BP14">SUM(_xlfn._xlws.FILTER(일별!#REF!, (일별!$A:$A &gt;= 월별!$A14) * (일별!$A:$A &lt; 월별!$A15), 0))</f>
        <v>#REF!</v>
      </c>
      <c r="BQ14" s="19" t="e" cm="1">
        <f t="array" ref="BQ14">SUM(_xlfn._xlws.FILTER(일별!#REF!, (일별!$A:$A &gt;= 월별!$A14) * (일별!$A:$A &lt; 월별!$A15), 0))</f>
        <v>#REF!</v>
      </c>
      <c r="BR14" s="18" t="e" cm="1">
        <f t="array" ref="BR14">SUM(_xlfn._xlws.FILTER(일별!#REF!, (일별!$A:$A &gt;= 월별!$A14) * (일별!$A:$A &lt; 월별!$A15), 0))</f>
        <v>#REF!</v>
      </c>
      <c r="BS14" s="20" t="e" cm="1">
        <f t="array" ref="BS14">SUM(_xlfn._xlws.FILTER(일별!#REF!, (일별!$A:$A &gt;= 월별!$A14) * (일별!$A:$A &lt; 월별!$A15), 0))</f>
        <v>#REF!</v>
      </c>
      <c r="BT14" s="20" t="e" cm="1">
        <f t="array" ref="BT14">SUM(_xlfn._xlws.FILTER(일별!#REF!, (일별!$A:$A &gt;= 월별!$A14) * (일별!$A:$A &lt; 월별!$A15), 0))</f>
        <v>#REF!</v>
      </c>
      <c r="BU14" s="20" t="e" cm="1">
        <f t="array" ref="BU14">SUM(_xlfn._xlws.FILTER(일별!#REF!, (일별!$A:$A &gt;= 월별!$A14) * (일별!$A:$A &lt; 월별!$A15), 0))</f>
        <v>#REF!</v>
      </c>
      <c r="BV14" s="20" t="e" cm="1">
        <f t="array" ref="BV14">SUM(_xlfn._xlws.FILTER(일별!#REF!, (일별!$A:$A &gt;= 월별!$A14) * (일별!$A:$A &lt; 월별!$A15), 0))</f>
        <v>#REF!</v>
      </c>
      <c r="BW14" s="20" t="e" cm="1">
        <f t="array" ref="BW14">SUM(_xlfn._xlws.FILTER(일별!#REF!, (일별!$A:$A &gt;= 월별!$A14) * (일별!$A:$A &lt; 월별!$A15), 0))</f>
        <v>#REF!</v>
      </c>
      <c r="BX14" s="20" t="e" cm="1">
        <f t="array" ref="BX14">SUM(_xlfn._xlws.FILTER(일별!#REF!, (일별!$A:$A &gt;= 월별!$A14) * (일별!$A:$A &lt; 월별!$A15), 0))</f>
        <v>#REF!</v>
      </c>
      <c r="BY14" s="20" t="e" cm="1">
        <f t="array" ref="BY14">SUM(_xlfn._xlws.FILTER(일별!#REF!, (일별!$A:$A &gt;= 월별!$A14) * (일별!$A:$A &lt; 월별!$A15), 0))</f>
        <v>#REF!</v>
      </c>
      <c r="BZ14" s="20" t="e" cm="1">
        <f t="array" ref="BZ14">SUM(_xlfn._xlws.FILTER(일별!#REF!, (일별!$A:$A &gt;= 월별!$A14) * (일별!$A:$A &lt; 월별!$A15), 0))</f>
        <v>#REF!</v>
      </c>
      <c r="CA14" s="20" t="e" cm="1">
        <f t="array" ref="CA14">SUM(_xlfn._xlws.FILTER(일별!#REF!, (일별!$A:$A &gt;= 월별!$A14) * (일별!$A:$A &lt; 월별!$A15), 0))</f>
        <v>#REF!</v>
      </c>
      <c r="CB14" s="20" t="e" cm="1">
        <f t="array" ref="CB14">SUM(_xlfn._xlws.FILTER(일별!#REF!, (일별!$A:$A &gt;= 월별!$A14) * (일별!$A:$A &lt; 월별!$A15), 0))</f>
        <v>#REF!</v>
      </c>
      <c r="CC14" s="20" t="e" cm="1">
        <f t="array" ref="CC14">SUM(_xlfn._xlws.FILTER(일별!#REF!, (일별!$A:$A &gt;= 월별!$A14) * (일별!$A:$A &lt; 월별!$A15), 0))</f>
        <v>#REF!</v>
      </c>
      <c r="CD14" s="20" t="e" cm="1">
        <f t="array" ref="CD14">SUM(_xlfn._xlws.FILTER(일별!#REF!, (일별!$A:$A &gt;= 월별!$A14) * (일별!$A:$A &lt; 월별!$A15), 0))</f>
        <v>#REF!</v>
      </c>
      <c r="CE14" s="20" t="e" cm="1">
        <f t="array" ref="CE14">SUM(_xlfn._xlws.FILTER(일별!#REF!, (일별!$A:$A &gt;= 월별!$A14) * (일별!$A:$A &lt; 월별!$A15), 0))</f>
        <v>#REF!</v>
      </c>
      <c r="CF14" s="20" t="e" cm="1">
        <f t="array" ref="CF14">SUM(_xlfn._xlws.FILTER(일별!#REF!, (일별!$A:$A &gt;= 월별!$A14) * (일별!$A:$A &lt; 월별!$A15), 0))</f>
        <v>#REF!</v>
      </c>
      <c r="CG14" s="20" t="e" cm="1">
        <f t="array" ref="CG14">SUM(_xlfn._xlws.FILTER(일별!#REF!, (일별!$A:$A &gt;= 월별!$A14) * (일별!$A:$A &lt; 월별!$A15), 0))</f>
        <v>#REF!</v>
      </c>
      <c r="CH14" s="20" t="e" cm="1">
        <f t="array" ref="CH14">SUM(_xlfn._xlws.FILTER(일별!#REF!, (일별!$A:$A &gt;= 월별!$A14) * (일별!$A:$A &lt; 월별!$A15), 0))</f>
        <v>#REF!</v>
      </c>
      <c r="CI14" s="20" t="e" cm="1">
        <f t="array" ref="CI14">SUM(_xlfn._xlws.FILTER(일별!#REF!, (일별!$A:$A &gt;= 월별!$A14) * (일별!$A:$A &lt; 월별!$A15), 0))</f>
        <v>#REF!</v>
      </c>
      <c r="CJ14" s="20" t="e" cm="1">
        <f t="array" ref="CJ14">SUM(_xlfn._xlws.FILTER(일별!#REF!, (일별!$A:$A &gt;= 월별!$A14) * (일별!$A:$A &lt; 월별!$A15), 0))</f>
        <v>#REF!</v>
      </c>
      <c r="CK14" s="20" t="e" cm="1">
        <f t="array" ref="CK14">SUM(_xlfn._xlws.FILTER(일별!#REF!, (일별!$A:$A &gt;= 월별!$A14) * (일별!$A:$A &lt; 월별!$A15), 0))</f>
        <v>#REF!</v>
      </c>
      <c r="CL14" s="20" t="e" cm="1">
        <f t="array" ref="CL14">SUM(_xlfn._xlws.FILTER(일별!#REF!, (일별!$A:$A &gt;= 월별!$A14) * (일별!$A:$A &lt; 월별!$A15), 0))</f>
        <v>#REF!</v>
      </c>
      <c r="CM14" s="19" t="e" cm="1">
        <f t="array" ref="CM14">SUM(_xlfn._xlws.FILTER(일별!#REF!, (일별!$A:$A &gt;= 월별!$A14) * (일별!$A:$A &lt; 월별!$A15), 0))</f>
        <v>#REF!</v>
      </c>
      <c r="CN14" s="18" t="e" cm="1">
        <f t="array" ref="CN14">SUM(_xlfn._xlws.FILTER(일별!#REF!, (일별!$A:$A &gt;= 월별!$A14) * (일별!$A:$A &lt; 월별!$A15), 0))</f>
        <v>#REF!</v>
      </c>
      <c r="CO14" s="20" t="e" cm="1">
        <f t="array" ref="CO14">SUM(_xlfn._xlws.FILTER(일별!#REF!, (일별!$A:$A &gt;= 월별!$A14) * (일별!$A:$A &lt; 월별!$A15), 0))</f>
        <v>#REF!</v>
      </c>
      <c r="CP14" s="20" t="e" cm="1">
        <f t="array" ref="CP14">SUM(_xlfn._xlws.FILTER(일별!#REF!, (일별!$A:$A &gt;= 월별!$A14) * (일별!$A:$A &lt; 월별!$A15), 0))</f>
        <v>#REF!</v>
      </c>
      <c r="CQ14" s="20" t="e" cm="1">
        <f t="array" ref="CQ14">SUM(_xlfn._xlws.FILTER(일별!#REF!, (일별!$A:$A &gt;= 월별!$A14) * (일별!$A:$A &lt; 월별!$A15), 0))</f>
        <v>#REF!</v>
      </c>
      <c r="CR14" s="20" t="e" cm="1">
        <f t="array" ref="CR14">SUM(_xlfn._xlws.FILTER(일별!#REF!, (일별!$A:$A &gt;= 월별!$A14) * (일별!$A:$A &lt; 월별!$A15), 0))</f>
        <v>#REF!</v>
      </c>
      <c r="CS14" s="20" t="e" cm="1">
        <f t="array" ref="CS14">SUM(_xlfn._xlws.FILTER(일별!#REF!, (일별!$A:$A &gt;= 월별!$A14) * (일별!$A:$A &lt; 월별!$A15), 0))</f>
        <v>#REF!</v>
      </c>
      <c r="CT14" s="20" t="e" cm="1">
        <f t="array" ref="CT14">SUM(_xlfn._xlws.FILTER(일별!#REF!, (일별!$A:$A &gt;= 월별!$A14) * (일별!$A:$A &lt; 월별!$A15), 0))</f>
        <v>#REF!</v>
      </c>
      <c r="CU14" s="20" t="e" cm="1">
        <f t="array" ref="CU14">SUM(_xlfn._xlws.FILTER(일별!#REF!, (일별!$A:$A &gt;= 월별!$A14) * (일별!$A:$A &lt; 월별!$A15), 0))</f>
        <v>#REF!</v>
      </c>
      <c r="CV14" s="20" t="e" cm="1">
        <f t="array" ref="CV14">SUM(_xlfn._xlws.FILTER(일별!#REF!, (일별!$A:$A &gt;= 월별!$A14) * (일별!$A:$A &lt; 월별!$A15), 0))</f>
        <v>#REF!</v>
      </c>
      <c r="CW14" s="20" t="e" cm="1">
        <f t="array" ref="CW14">SUM(_xlfn._xlws.FILTER(일별!#REF!, (일별!$A:$A &gt;= 월별!$A14) * (일별!$A:$A &lt; 월별!$A15), 0))</f>
        <v>#REF!</v>
      </c>
      <c r="CX14" s="20" t="e" cm="1">
        <f t="array" ref="CX14">SUM(_xlfn._xlws.FILTER(일별!#REF!, (일별!$A:$A &gt;= 월별!$A14) * (일별!$A:$A &lt; 월별!$A15), 0))</f>
        <v>#REF!</v>
      </c>
      <c r="CY14" s="20" t="e" cm="1">
        <f t="array" ref="CY14">SUM(_xlfn._xlws.FILTER(일별!#REF!, (일별!$A:$A &gt;= 월별!$A14) * (일별!$A:$A &lt; 월별!$A15), 0))</f>
        <v>#REF!</v>
      </c>
      <c r="CZ14" s="20" t="e" cm="1">
        <f t="array" ref="CZ14">SUM(_xlfn._xlws.FILTER(일별!#REF!, (일별!$A:$A &gt;= 월별!$A14) * (일별!$A:$A &lt; 월별!$A15), 0))</f>
        <v>#REF!</v>
      </c>
      <c r="DA14" s="20" t="e" cm="1">
        <f t="array" ref="DA14">SUM(_xlfn._xlws.FILTER(일별!#REF!, (일별!$A:$A &gt;= 월별!$A14) * (일별!$A:$A &lt; 월별!$A15), 0))</f>
        <v>#REF!</v>
      </c>
      <c r="DB14" s="20" t="e" cm="1">
        <f t="array" ref="DB14">SUM(_xlfn._xlws.FILTER(일별!#REF!, (일별!$A:$A &gt;= 월별!$A14) * (일별!$A:$A &lt; 월별!$A15), 0))</f>
        <v>#REF!</v>
      </c>
      <c r="DC14" s="20" t="e" cm="1">
        <f t="array" ref="DC14">SUM(_xlfn._xlws.FILTER(일별!#REF!, (일별!$A:$A &gt;= 월별!$A14) * (일별!$A:$A &lt; 월별!$A15), 0))</f>
        <v>#REF!</v>
      </c>
      <c r="DD14" s="20" t="e" cm="1">
        <f t="array" ref="DD14">SUM(_xlfn._xlws.FILTER(일별!#REF!, (일별!$A:$A &gt;= 월별!$A14) * (일별!$A:$A &lt; 월별!$A15), 0))</f>
        <v>#REF!</v>
      </c>
      <c r="DE14" s="20" t="e" cm="1">
        <f t="array" ref="DE14">SUM(_xlfn._xlws.FILTER(일별!#REF!, (일별!$A:$A &gt;= 월별!$A14) * (일별!$A:$A &lt; 월별!$A15), 0))</f>
        <v>#REF!</v>
      </c>
      <c r="DF14" s="20" t="e" cm="1">
        <f t="array" ref="DF14">SUM(_xlfn._xlws.FILTER(일별!#REF!, (일별!$A:$A &gt;= 월별!$A14) * (일별!$A:$A &lt; 월별!$A15), 0))</f>
        <v>#REF!</v>
      </c>
      <c r="DG14" s="20" t="e" cm="1">
        <f t="array" ref="DG14">SUM(_xlfn._xlws.FILTER(일별!#REF!, (일별!$A:$A &gt;= 월별!$A14) * (일별!$A:$A &lt; 월별!$A15), 0))</f>
        <v>#REF!</v>
      </c>
      <c r="DH14" s="20" t="e" cm="1">
        <f t="array" ref="DH14">SUM(_xlfn._xlws.FILTER(일별!#REF!, (일별!$A:$A &gt;= 월별!$A14) * (일별!$A:$A &lt; 월별!$A15), 0))</f>
        <v>#REF!</v>
      </c>
      <c r="DI14" s="19" t="e" cm="1">
        <f t="array" ref="DI14">SUM(_xlfn._xlws.FILTER(일별!#REF!, (일별!$A:$A &gt;= 월별!$A14) * (일별!$A:$A &lt; 월별!$A15), 0))</f>
        <v>#REF!</v>
      </c>
    </row>
    <row r="15" spans="1:113">
      <c r="A15" s="25">
        <v>45962</v>
      </c>
      <c r="B15" s="15">
        <f>SUMIFS(일별!$C:$C,
       일별!$A:$A, "&gt;="&amp;월별!$A15,
       일별!$A:$A, "&lt;"&amp;월별!$A16)</f>
        <v>251</v>
      </c>
      <c r="C15" s="16">
        <f>B15/(월별!$A16 - 월별!$A15)</f>
        <v>8.3666666666666671</v>
      </c>
      <c r="D15" s="15">
        <f>SUMIFS(일별!E:E,
       일별!$A:$A, "&gt;="&amp;월별!$A15,
       일별!$A:$A, "&lt;"&amp;월별!$A16)</f>
        <v>1617</v>
      </c>
      <c r="E15" s="16">
        <f>D15/(월별!$A16 - 월별!$A15)</f>
        <v>53.9</v>
      </c>
      <c r="F15" s="12">
        <f>SUMIFS(일별!G:G,
       일별!$A:$A, "&gt;="&amp;월별!$A15,
       일별!$A:$A, "&lt;"&amp;월별!$A16)</f>
        <v>1136</v>
      </c>
      <c r="G15" s="16">
        <f>F15/(월별!$A16 - 월별!$A15)</f>
        <v>37.866666666666667</v>
      </c>
      <c r="H15" s="15">
        <f t="shared" si="0"/>
        <v>2753</v>
      </c>
      <c r="I15" s="16">
        <f t="shared" si="1"/>
        <v>91.766666666666666</v>
      </c>
      <c r="J15" s="12">
        <f>SUMIFS(일별!I:I,
       일별!$A:$A, "&gt;="&amp;월별!$A15,
       일별!$A:$A, "&lt;"&amp;월별!$A16)</f>
        <v>150.71000000000276</v>
      </c>
      <c r="K15" s="16">
        <f>J15/(월별!$A16 - 월별!$A15)</f>
        <v>5.0236666666667587</v>
      </c>
      <c r="L15" s="12">
        <f>SUMIFS(일별!K:K,
       일별!$A:$A, "&gt;="&amp;월별!$A15,
       일별!$A:$A, "&lt;"&amp;월별!$A16)</f>
        <v>150.71000000000276</v>
      </c>
      <c r="M15" s="16">
        <f>L15/(월별!$A16 - 월별!$A15)</f>
        <v>5.0236666666667587</v>
      </c>
      <c r="N15" s="12">
        <f>SUMIFS(일별!M:M,
       일별!$A:$A, "&gt;="&amp;월별!$A15,
       일별!$A:$A, "&lt;"&amp;월별!$A16)</f>
        <v>29.199999999999818</v>
      </c>
      <c r="O15" s="31">
        <f>N15/(월별!$A16 - 월별!$A15)</f>
        <v>0.97333333333332728</v>
      </c>
      <c r="P15" s="12">
        <f>SUMIFS(일별!O:O,
       일별!$A:$A, "&gt;="&amp;월별!$A15,
       일별!$A:$A, "&lt;"&amp;월별!$A16)</f>
        <v>2996</v>
      </c>
      <c r="Q15" s="16">
        <f>P15/(월별!$A16 - 월별!$A15)</f>
        <v>99.86666666666666</v>
      </c>
      <c r="R15" s="12">
        <f>SUMIFS(일별!Q:Q,
       일별!$A:$A, "&gt;="&amp;월별!$A15,
       일별!$A:$A, "&lt;"&amp;월별!$A16)</f>
        <v>4193</v>
      </c>
      <c r="S15" s="16">
        <f>R15/(월별!$A16 - 월별!$A15)</f>
        <v>139.76666666666668</v>
      </c>
      <c r="T15" s="12">
        <f>SUMIFS(일별!S:S,
       일별!$A:$A, "&gt;="&amp;월별!$A15,
       일별!$A:$A, "&lt;"&amp;월별!$A16)</f>
        <v>-0.24000000000000199</v>
      </c>
      <c r="U15" s="16">
        <f>T15/(월별!$A16 - 월별!$A15)</f>
        <v>-8.0000000000000661E-3</v>
      </c>
      <c r="V15" s="12">
        <f>SUMIFS(일별!U:U,
       일별!$A:$A, "&gt;="&amp;월별!$A15,
       일별!$A:$A, "&lt;"&amp;월별!$A16)</f>
        <v>0</v>
      </c>
      <c r="W15" s="16">
        <f>V15/(월별!$A16 - 월별!$A15)</f>
        <v>0</v>
      </c>
      <c r="X15" s="12">
        <f>SUMIFS(일별!W:W,
       일별!$A:$A, "&gt;="&amp;월별!$A15,
       일별!$A:$A, "&lt;"&amp;월별!$A16)</f>
        <v>3408</v>
      </c>
      <c r="Y15" s="16">
        <f>X15/(월별!$A16 - 월별!$A15)</f>
        <v>113.6</v>
      </c>
      <c r="Z15" s="15">
        <f>SUMIFS(일별!X:X,
       일별!$A:$A, "&gt;="&amp;월별!$A15,
       일별!$A:$A, "&lt;"&amp;월별!$A16)</f>
        <v>1253170.9399999962</v>
      </c>
      <c r="AA15" s="12">
        <f>SUMIFS(일별!Y:Y,
       일별!$A:$A, "&gt;="&amp;월별!$A15,
       일별!$A:$A, "&lt;"&amp;월별!$A16)</f>
        <v>0</v>
      </c>
      <c r="AB15" s="12">
        <f>SUMIFS(일별!Z:Z,
       일별!$A:$A, "&gt;="&amp;월별!$A15,
       일별!$A:$A, "&lt;"&amp;월별!$A16)</f>
        <v>0</v>
      </c>
      <c r="AC15" s="12">
        <f>SUMIFS(일별!AA:AA,
       일별!$A:$A, "&gt;="&amp;월별!$A15,
       일별!$A:$A, "&lt;"&amp;월별!$A16)</f>
        <v>0</v>
      </c>
      <c r="AD15" s="12">
        <f>SUMIFS(일별!AB:AB,
       일별!$A:$A, "&gt;="&amp;월별!$A15,
       일별!$A:$A, "&lt;"&amp;월별!$A16)</f>
        <v>0</v>
      </c>
      <c r="AE15" s="16">
        <f>SUMIFS(일별!AC:AC,
       일별!$A:$A, "&gt;="&amp;월별!$A15,
       일별!$A:$A, "&lt;"&amp;월별!$A16)</f>
        <v>0</v>
      </c>
      <c r="AF15" s="15">
        <f>SUMIFS(일별!AD:AD,
       일별!$A:$A, "&gt;="&amp;월별!$A15,
       일별!$A:$A, "&lt;"&amp;월별!$A16)</f>
        <v>189</v>
      </c>
      <c r="AG15" s="12">
        <f>SUMIFS(일별!AE:AE,
       일별!$A:$A, "&gt;="&amp;월별!$A15,
       일별!$A:$A, "&lt;"&amp;월별!$A16)</f>
        <v>0</v>
      </c>
      <c r="AH15" s="12">
        <f>SUMIFS(일별!AF:AF,
       일별!$A:$A, "&gt;="&amp;월별!$A15,
       일별!$A:$A, "&lt;"&amp;월별!$A16)</f>
        <v>0</v>
      </c>
      <c r="AI15" s="16">
        <f>SUMIFS(일별!AG:AG,
       일별!$A:$A, "&gt;="&amp;월별!$A15,
       일별!$A:$A, "&lt;"&amp;월별!$A16)</f>
        <v>0</v>
      </c>
      <c r="AJ15" s="15">
        <f>SUMIFS(일별!AX:AX,
       일별!$A:$A, "&gt;="&amp;월별!$A15,
       일별!$A:$A, "&lt;"&amp;월별!$A16)</f>
        <v>7865</v>
      </c>
      <c r="AK15" s="12">
        <f>SUMIFS(일별!AY:AY,
       일별!$A:$A, "&gt;="&amp;월별!$A15,
       일별!$A:$A, "&lt;"&amp;월별!$A16)</f>
        <v>0</v>
      </c>
      <c r="AL15" s="12">
        <f>SUMIFS(일별!AZ:AZ,
       일별!$A:$A, "&gt;="&amp;월별!$A15,
       일별!$A:$A, "&lt;"&amp;월별!$A16)</f>
        <v>0</v>
      </c>
      <c r="AM15" s="12">
        <f>SUMIFS(일별!BA:BA,
       일별!$A:$A, "&gt;="&amp;월별!$A15,
       일별!$A:$A, "&lt;"&amp;월별!$A16)</f>
        <v>0</v>
      </c>
      <c r="AN15" s="12">
        <f>SUMIFS(일별!BB:BB,
       일별!$A:$A, "&gt;="&amp;월별!$A15,
       일별!$A:$A, "&lt;"&amp;월별!$A16)</f>
        <v>0</v>
      </c>
      <c r="AO15" s="16">
        <f>SUMIFS(일별!BC:BC,
       일별!$A:$A, "&gt;="&amp;월별!$A15,
       일별!$A:$A, "&lt;"&amp;월별!$A16)</f>
        <v>7865</v>
      </c>
      <c r="AP15" s="18" t="e" cm="1">
        <f t="array" ref="AP15">SUM(_xlfn._xlws.FILTER(일별!#REF!, (일별!$A:$A &gt;= 월별!$A15) * (일별!$A:$A &lt; 월별!$A16), 0))</f>
        <v>#REF!</v>
      </c>
      <c r="AQ15" s="20" t="e">
        <f>AP15/(월별!$A16 - 월별!$A15)</f>
        <v>#REF!</v>
      </c>
      <c r="AR15" s="20" t="e" cm="1">
        <f t="array" ref="AR15">SUM(_xlfn._xlws.FILTER(일별!#REF!, (일별!$A:$A &gt;= 월별!$A15) * (일별!$A:$A &lt; 월별!$A16), 0))</f>
        <v>#REF!</v>
      </c>
      <c r="AS15" s="20" t="e">
        <f>AR15/(월별!$A16 - 월별!$A15)</f>
        <v>#REF!</v>
      </c>
      <c r="AT15" s="20" t="e" cm="1">
        <f t="array" ref="AT15">SUM(_xlfn._xlws.FILTER(일별!#REF!, (일별!$A:$A &gt;= 월별!$A15) * (일별!$A:$A &lt; 월별!$A16), 0))</f>
        <v>#REF!</v>
      </c>
      <c r="AU15" s="20" t="e">
        <f>AT15/(월별!$A16 - 월별!$A15)</f>
        <v>#REF!</v>
      </c>
      <c r="AV15" s="18" t="e" cm="1">
        <f t="array" ref="AV15">SUM(_xlfn._xlws.FILTER(일별!#REF!, (일별!$A:$A &gt;= 월별!$A15) * (일별!$A:$A &lt; 월별!$A16), 0))</f>
        <v>#REF!</v>
      </c>
      <c r="AW15" s="20" t="e" cm="1">
        <f t="array" ref="AW15">SUM(_xlfn._xlws.FILTER(일별!#REF!, (일별!$A:$A &gt;= 월별!$A15) * (일별!$A:$A &lt; 월별!$A16), 0))</f>
        <v>#REF!</v>
      </c>
      <c r="AX15" s="20" t="e" cm="1">
        <f t="array" ref="AX15">SUM(_xlfn._xlws.FILTER(일별!#REF!, (일별!$A:$A &gt;= 월별!$A15) * (일별!$A:$A &lt; 월별!$A16), 0))</f>
        <v>#REF!</v>
      </c>
      <c r="AY15" s="20" t="e" cm="1">
        <f t="array" ref="AY15">SUM(_xlfn._xlws.FILTER(일별!#REF!, (일별!$A:$A &gt;= 월별!$A15) * (일별!$A:$A &lt; 월별!$A16), 0))</f>
        <v>#REF!</v>
      </c>
      <c r="AZ15" s="20" t="e" cm="1">
        <f t="array" ref="AZ15">SUM(_xlfn._xlws.FILTER(일별!#REF!, (일별!$A:$A &gt;= 월별!$A15) * (일별!$A:$A &lt; 월별!$A16), 0))</f>
        <v>#REF!</v>
      </c>
      <c r="BA15" s="20" t="e" cm="1">
        <f t="array" ref="BA15">SUM(_xlfn._xlws.FILTER(일별!#REF!, (일별!$A:$A &gt;= 월별!$A15) * (일별!$A:$A &lt; 월별!$A16), 0))</f>
        <v>#REF!</v>
      </c>
      <c r="BB15" s="20" t="e" cm="1">
        <f t="array" ref="BB15">SUM(_xlfn._xlws.FILTER(일별!#REF!, (일별!$A:$A &gt;= 월별!$A15) * (일별!$A:$A &lt; 월별!$A16), 0))</f>
        <v>#REF!</v>
      </c>
      <c r="BC15" s="20" t="e" cm="1">
        <f t="array" ref="BC15">SUM(_xlfn._xlws.FILTER(일별!#REF!, (일별!$A:$A &gt;= 월별!$A15) * (일별!$A:$A &lt; 월별!$A16), 0))</f>
        <v>#REF!</v>
      </c>
      <c r="BD15" s="20" t="e" cm="1">
        <f t="array" ref="BD15">SUM(_xlfn._xlws.FILTER(일별!#REF!, (일별!$A:$A &gt;= 월별!$A15) * (일별!$A:$A &lt; 월별!$A16), 0))</f>
        <v>#REF!</v>
      </c>
      <c r="BE15" s="20" t="e" cm="1">
        <f t="array" ref="BE15">SUM(_xlfn._xlws.FILTER(일별!#REF!, (일별!$A:$A &gt;= 월별!$A15) * (일별!$A:$A &lt; 월별!$A16), 0))</f>
        <v>#REF!</v>
      </c>
      <c r="BF15" s="20" t="e" cm="1">
        <f t="array" ref="BF15">SUM(_xlfn._xlws.FILTER(일별!#REF!, (일별!$A:$A &gt;= 월별!$A15) * (일별!$A:$A &lt; 월별!$A16), 0))</f>
        <v>#REF!</v>
      </c>
      <c r="BG15" s="20" t="e" cm="1">
        <f t="array" ref="BG15">SUM(_xlfn._xlws.FILTER(일별!#REF!, (일별!$A:$A &gt;= 월별!$A15) * (일별!$A:$A &lt; 월별!$A16), 0))</f>
        <v>#REF!</v>
      </c>
      <c r="BH15" s="20" t="e" cm="1">
        <f t="array" ref="BH15">SUM(_xlfn._xlws.FILTER(일별!#REF!, (일별!$A:$A &gt;= 월별!$A15) * (일별!$A:$A &lt; 월별!$A16), 0))</f>
        <v>#REF!</v>
      </c>
      <c r="BI15" s="20" t="e" cm="1">
        <f t="array" ref="BI15">SUM(_xlfn._xlws.FILTER(일별!#REF!, (일별!$A:$A &gt;= 월별!$A15) * (일별!$A:$A &lt; 월별!$A16), 0))</f>
        <v>#REF!</v>
      </c>
      <c r="BJ15" s="20" t="e" cm="1">
        <f t="array" ref="BJ15">SUM(_xlfn._xlws.FILTER(일별!#REF!, (일별!$A:$A &gt;= 월별!$A15) * (일별!$A:$A &lt; 월별!$A16), 0))</f>
        <v>#REF!</v>
      </c>
      <c r="BK15" s="20" t="e" cm="1">
        <f t="array" ref="BK15">SUM(_xlfn._xlws.FILTER(일별!#REF!, (일별!$A:$A &gt;= 월별!$A15) * (일별!$A:$A &lt; 월별!$A16), 0))</f>
        <v>#REF!</v>
      </c>
      <c r="BL15" s="20" t="e" cm="1">
        <f t="array" ref="BL15">SUM(_xlfn._xlws.FILTER(일별!#REF!, (일별!$A:$A &gt;= 월별!$A15) * (일별!$A:$A &lt; 월별!$A16), 0))</f>
        <v>#REF!</v>
      </c>
      <c r="BM15" s="20" t="e" cm="1">
        <f t="array" ref="BM15">SUM(_xlfn._xlws.FILTER(일별!#REF!, (일별!$A:$A &gt;= 월별!$A15) * (일별!$A:$A &lt; 월별!$A16), 0))</f>
        <v>#REF!</v>
      </c>
      <c r="BN15" s="20" t="e" cm="1">
        <f t="array" ref="BN15">SUM(_xlfn._xlws.FILTER(일별!#REF!, (일별!$A:$A &gt;= 월별!$A15) * (일별!$A:$A &lt; 월별!$A16), 0))</f>
        <v>#REF!</v>
      </c>
      <c r="BO15" s="20" t="e" cm="1">
        <f t="array" ref="BO15">SUM(_xlfn._xlws.FILTER(일별!#REF!, (일별!$A:$A &gt;= 월별!$A15) * (일별!$A:$A &lt; 월별!$A16), 0))</f>
        <v>#REF!</v>
      </c>
      <c r="BP15" s="20" t="e" cm="1">
        <f t="array" ref="BP15">SUM(_xlfn._xlws.FILTER(일별!#REF!, (일별!$A:$A &gt;= 월별!$A15) * (일별!$A:$A &lt; 월별!$A16), 0))</f>
        <v>#REF!</v>
      </c>
      <c r="BQ15" s="19" t="e" cm="1">
        <f t="array" ref="BQ15">SUM(_xlfn._xlws.FILTER(일별!#REF!, (일별!$A:$A &gt;= 월별!$A15) * (일별!$A:$A &lt; 월별!$A16), 0))</f>
        <v>#REF!</v>
      </c>
      <c r="BR15" s="18" t="e" cm="1">
        <f t="array" ref="BR15">SUM(_xlfn._xlws.FILTER(일별!#REF!, (일별!$A:$A &gt;= 월별!$A15) * (일별!$A:$A &lt; 월별!$A16), 0))</f>
        <v>#REF!</v>
      </c>
      <c r="BS15" s="20" t="e" cm="1">
        <f t="array" ref="BS15">SUM(_xlfn._xlws.FILTER(일별!#REF!, (일별!$A:$A &gt;= 월별!$A15) * (일별!$A:$A &lt; 월별!$A16), 0))</f>
        <v>#REF!</v>
      </c>
      <c r="BT15" s="20" t="e" cm="1">
        <f t="array" ref="BT15">SUM(_xlfn._xlws.FILTER(일별!#REF!, (일별!$A:$A &gt;= 월별!$A15) * (일별!$A:$A &lt; 월별!$A16), 0))</f>
        <v>#REF!</v>
      </c>
      <c r="BU15" s="20" t="e" cm="1">
        <f t="array" ref="BU15">SUM(_xlfn._xlws.FILTER(일별!#REF!, (일별!$A:$A &gt;= 월별!$A15) * (일별!$A:$A &lt; 월별!$A16), 0))</f>
        <v>#REF!</v>
      </c>
      <c r="BV15" s="20" t="e" cm="1">
        <f t="array" ref="BV15">SUM(_xlfn._xlws.FILTER(일별!#REF!, (일별!$A:$A &gt;= 월별!$A15) * (일별!$A:$A &lt; 월별!$A16), 0))</f>
        <v>#REF!</v>
      </c>
      <c r="BW15" s="20" t="e" cm="1">
        <f t="array" ref="BW15">SUM(_xlfn._xlws.FILTER(일별!#REF!, (일별!$A:$A &gt;= 월별!$A15) * (일별!$A:$A &lt; 월별!$A16), 0))</f>
        <v>#REF!</v>
      </c>
      <c r="BX15" s="20" t="e" cm="1">
        <f t="array" ref="BX15">SUM(_xlfn._xlws.FILTER(일별!#REF!, (일별!$A:$A &gt;= 월별!$A15) * (일별!$A:$A &lt; 월별!$A16), 0))</f>
        <v>#REF!</v>
      </c>
      <c r="BY15" s="20" t="e" cm="1">
        <f t="array" ref="BY15">SUM(_xlfn._xlws.FILTER(일별!#REF!, (일별!$A:$A &gt;= 월별!$A15) * (일별!$A:$A &lt; 월별!$A16), 0))</f>
        <v>#REF!</v>
      </c>
      <c r="BZ15" s="20" t="e" cm="1">
        <f t="array" ref="BZ15">SUM(_xlfn._xlws.FILTER(일별!#REF!, (일별!$A:$A &gt;= 월별!$A15) * (일별!$A:$A &lt; 월별!$A16), 0))</f>
        <v>#REF!</v>
      </c>
      <c r="CA15" s="20" t="e" cm="1">
        <f t="array" ref="CA15">SUM(_xlfn._xlws.FILTER(일별!#REF!, (일별!$A:$A &gt;= 월별!$A15) * (일별!$A:$A &lt; 월별!$A16), 0))</f>
        <v>#REF!</v>
      </c>
      <c r="CB15" s="20" t="e" cm="1">
        <f t="array" ref="CB15">SUM(_xlfn._xlws.FILTER(일별!#REF!, (일별!$A:$A &gt;= 월별!$A15) * (일별!$A:$A &lt; 월별!$A16), 0))</f>
        <v>#REF!</v>
      </c>
      <c r="CC15" s="20" t="e" cm="1">
        <f t="array" ref="CC15">SUM(_xlfn._xlws.FILTER(일별!#REF!, (일별!$A:$A &gt;= 월별!$A15) * (일별!$A:$A &lt; 월별!$A16), 0))</f>
        <v>#REF!</v>
      </c>
      <c r="CD15" s="20" t="e" cm="1">
        <f t="array" ref="CD15">SUM(_xlfn._xlws.FILTER(일별!#REF!, (일별!$A:$A &gt;= 월별!$A15) * (일별!$A:$A &lt; 월별!$A16), 0))</f>
        <v>#REF!</v>
      </c>
      <c r="CE15" s="20" t="e" cm="1">
        <f t="array" ref="CE15">SUM(_xlfn._xlws.FILTER(일별!#REF!, (일별!$A:$A &gt;= 월별!$A15) * (일별!$A:$A &lt; 월별!$A16), 0))</f>
        <v>#REF!</v>
      </c>
      <c r="CF15" s="20" t="e" cm="1">
        <f t="array" ref="CF15">SUM(_xlfn._xlws.FILTER(일별!#REF!, (일별!$A:$A &gt;= 월별!$A15) * (일별!$A:$A &lt; 월별!$A16), 0))</f>
        <v>#REF!</v>
      </c>
      <c r="CG15" s="20" t="e" cm="1">
        <f t="array" ref="CG15">SUM(_xlfn._xlws.FILTER(일별!#REF!, (일별!$A:$A &gt;= 월별!$A15) * (일별!$A:$A &lt; 월별!$A16), 0))</f>
        <v>#REF!</v>
      </c>
      <c r="CH15" s="20" t="e" cm="1">
        <f t="array" ref="CH15">SUM(_xlfn._xlws.FILTER(일별!#REF!, (일별!$A:$A &gt;= 월별!$A15) * (일별!$A:$A &lt; 월별!$A16), 0))</f>
        <v>#REF!</v>
      </c>
      <c r="CI15" s="20" t="e" cm="1">
        <f t="array" ref="CI15">SUM(_xlfn._xlws.FILTER(일별!#REF!, (일별!$A:$A &gt;= 월별!$A15) * (일별!$A:$A &lt; 월별!$A16), 0))</f>
        <v>#REF!</v>
      </c>
      <c r="CJ15" s="20" t="e" cm="1">
        <f t="array" ref="CJ15">SUM(_xlfn._xlws.FILTER(일별!#REF!, (일별!$A:$A &gt;= 월별!$A15) * (일별!$A:$A &lt; 월별!$A16), 0))</f>
        <v>#REF!</v>
      </c>
      <c r="CK15" s="20" t="e" cm="1">
        <f t="array" ref="CK15">SUM(_xlfn._xlws.FILTER(일별!#REF!, (일별!$A:$A &gt;= 월별!$A15) * (일별!$A:$A &lt; 월별!$A16), 0))</f>
        <v>#REF!</v>
      </c>
      <c r="CL15" s="20" t="e" cm="1">
        <f t="array" ref="CL15">SUM(_xlfn._xlws.FILTER(일별!#REF!, (일별!$A:$A &gt;= 월별!$A15) * (일별!$A:$A &lt; 월별!$A16), 0))</f>
        <v>#REF!</v>
      </c>
      <c r="CM15" s="19" t="e" cm="1">
        <f t="array" ref="CM15">SUM(_xlfn._xlws.FILTER(일별!#REF!, (일별!$A:$A &gt;= 월별!$A15) * (일별!$A:$A &lt; 월별!$A16), 0))</f>
        <v>#REF!</v>
      </c>
      <c r="CN15" s="18" t="e" cm="1">
        <f t="array" ref="CN15">SUM(_xlfn._xlws.FILTER(일별!#REF!, (일별!$A:$A &gt;= 월별!$A15) * (일별!$A:$A &lt; 월별!$A16), 0))</f>
        <v>#REF!</v>
      </c>
      <c r="CO15" s="20" t="e" cm="1">
        <f t="array" ref="CO15">SUM(_xlfn._xlws.FILTER(일별!#REF!, (일별!$A:$A &gt;= 월별!$A15) * (일별!$A:$A &lt; 월별!$A16), 0))</f>
        <v>#REF!</v>
      </c>
      <c r="CP15" s="20" t="e" cm="1">
        <f t="array" ref="CP15">SUM(_xlfn._xlws.FILTER(일별!#REF!, (일별!$A:$A &gt;= 월별!$A15) * (일별!$A:$A &lt; 월별!$A16), 0))</f>
        <v>#REF!</v>
      </c>
      <c r="CQ15" s="20" t="e" cm="1">
        <f t="array" ref="CQ15">SUM(_xlfn._xlws.FILTER(일별!#REF!, (일별!$A:$A &gt;= 월별!$A15) * (일별!$A:$A &lt; 월별!$A16), 0))</f>
        <v>#REF!</v>
      </c>
      <c r="CR15" s="20" t="e" cm="1">
        <f t="array" ref="CR15">SUM(_xlfn._xlws.FILTER(일별!#REF!, (일별!$A:$A &gt;= 월별!$A15) * (일별!$A:$A &lt; 월별!$A16), 0))</f>
        <v>#REF!</v>
      </c>
      <c r="CS15" s="20" t="e" cm="1">
        <f t="array" ref="CS15">SUM(_xlfn._xlws.FILTER(일별!#REF!, (일별!$A:$A &gt;= 월별!$A15) * (일별!$A:$A &lt; 월별!$A16), 0))</f>
        <v>#REF!</v>
      </c>
      <c r="CT15" s="20" t="e" cm="1">
        <f t="array" ref="CT15">SUM(_xlfn._xlws.FILTER(일별!#REF!, (일별!$A:$A &gt;= 월별!$A15) * (일별!$A:$A &lt; 월별!$A16), 0))</f>
        <v>#REF!</v>
      </c>
      <c r="CU15" s="20" t="e" cm="1">
        <f t="array" ref="CU15">SUM(_xlfn._xlws.FILTER(일별!#REF!, (일별!$A:$A &gt;= 월별!$A15) * (일별!$A:$A &lt; 월별!$A16), 0))</f>
        <v>#REF!</v>
      </c>
      <c r="CV15" s="20" t="e" cm="1">
        <f t="array" ref="CV15">SUM(_xlfn._xlws.FILTER(일별!#REF!, (일별!$A:$A &gt;= 월별!$A15) * (일별!$A:$A &lt; 월별!$A16), 0))</f>
        <v>#REF!</v>
      </c>
      <c r="CW15" s="20" t="e" cm="1">
        <f t="array" ref="CW15">SUM(_xlfn._xlws.FILTER(일별!#REF!, (일별!$A:$A &gt;= 월별!$A15) * (일별!$A:$A &lt; 월별!$A16), 0))</f>
        <v>#REF!</v>
      </c>
      <c r="CX15" s="20" t="e" cm="1">
        <f t="array" ref="CX15">SUM(_xlfn._xlws.FILTER(일별!#REF!, (일별!$A:$A &gt;= 월별!$A15) * (일별!$A:$A &lt; 월별!$A16), 0))</f>
        <v>#REF!</v>
      </c>
      <c r="CY15" s="20" t="e" cm="1">
        <f t="array" ref="CY15">SUM(_xlfn._xlws.FILTER(일별!#REF!, (일별!$A:$A &gt;= 월별!$A15) * (일별!$A:$A &lt; 월별!$A16), 0))</f>
        <v>#REF!</v>
      </c>
      <c r="CZ15" s="20" t="e" cm="1">
        <f t="array" ref="CZ15">SUM(_xlfn._xlws.FILTER(일별!#REF!, (일별!$A:$A &gt;= 월별!$A15) * (일별!$A:$A &lt; 월별!$A16), 0))</f>
        <v>#REF!</v>
      </c>
      <c r="DA15" s="20" t="e" cm="1">
        <f t="array" ref="DA15">SUM(_xlfn._xlws.FILTER(일별!#REF!, (일별!$A:$A &gt;= 월별!$A15) * (일별!$A:$A &lt; 월별!$A16), 0))</f>
        <v>#REF!</v>
      </c>
      <c r="DB15" s="20" t="e" cm="1">
        <f t="array" ref="DB15">SUM(_xlfn._xlws.FILTER(일별!#REF!, (일별!$A:$A &gt;= 월별!$A15) * (일별!$A:$A &lt; 월별!$A16), 0))</f>
        <v>#REF!</v>
      </c>
      <c r="DC15" s="20" t="e" cm="1">
        <f t="array" ref="DC15">SUM(_xlfn._xlws.FILTER(일별!#REF!, (일별!$A:$A &gt;= 월별!$A15) * (일별!$A:$A &lt; 월별!$A16), 0))</f>
        <v>#REF!</v>
      </c>
      <c r="DD15" s="20" t="e" cm="1">
        <f t="array" ref="DD15">SUM(_xlfn._xlws.FILTER(일별!#REF!, (일별!$A:$A &gt;= 월별!$A15) * (일별!$A:$A &lt; 월별!$A16), 0))</f>
        <v>#REF!</v>
      </c>
      <c r="DE15" s="20" t="e" cm="1">
        <f t="array" ref="DE15">SUM(_xlfn._xlws.FILTER(일별!#REF!, (일별!$A:$A &gt;= 월별!$A15) * (일별!$A:$A &lt; 월별!$A16), 0))</f>
        <v>#REF!</v>
      </c>
      <c r="DF15" s="20" t="e" cm="1">
        <f t="array" ref="DF15">SUM(_xlfn._xlws.FILTER(일별!#REF!, (일별!$A:$A &gt;= 월별!$A15) * (일별!$A:$A &lt; 월별!$A16), 0))</f>
        <v>#REF!</v>
      </c>
      <c r="DG15" s="20" t="e" cm="1">
        <f t="array" ref="DG15">SUM(_xlfn._xlws.FILTER(일별!#REF!, (일별!$A:$A &gt;= 월별!$A15) * (일별!$A:$A &lt; 월별!$A16), 0))</f>
        <v>#REF!</v>
      </c>
      <c r="DH15" s="20" t="e" cm="1">
        <f t="array" ref="DH15">SUM(_xlfn._xlws.FILTER(일별!#REF!, (일별!$A:$A &gt;= 월별!$A15) * (일별!$A:$A &lt; 월별!$A16), 0))</f>
        <v>#REF!</v>
      </c>
      <c r="DI15" s="19" t="e" cm="1">
        <f t="array" ref="DI15">SUM(_xlfn._xlws.FILTER(일별!#REF!, (일별!$A:$A &gt;= 월별!$A15) * (일별!$A:$A &lt; 월별!$A16), 0))</f>
        <v>#REF!</v>
      </c>
    </row>
    <row r="16" spans="1:113">
      <c r="A16" s="26">
        <v>45992</v>
      </c>
      <c r="B16" s="27">
        <f>SUMIFS(일별!$C:$C,
       일별!$A:$A, "&gt;="&amp;월별!$A16,
       일별!$A:$A, "&lt;"&amp;월별!$A4)</f>
        <v>190.20000000000005</v>
      </c>
      <c r="C16" s="28">
        <f>B16/(월별!$A4 - 월별!$A16)</f>
        <v>0.4803030303030304</v>
      </c>
      <c r="D16" s="27">
        <f>SUMIFS(일별!E:E,
       일별!$A:$A, "&gt;="&amp;월별!$A16,
       일별!$A:$A, "&lt;"&amp;월별!$A17)</f>
        <v>0</v>
      </c>
      <c r="E16" s="28">
        <f>D16/(월별!$A4 - 월별!$A16)</f>
        <v>0</v>
      </c>
      <c r="F16" s="29">
        <f>SUMIFS(일별!G:G,
       일별!$A:$A, "&gt;="&amp;월별!$A16,
       일별!$A:$A, "&lt;"&amp;월별!$A17)</f>
        <v>0</v>
      </c>
      <c r="G16" s="28">
        <f>F16/(월별!$A4 - 월별!$A16)</f>
        <v>0</v>
      </c>
      <c r="H16" s="27">
        <f t="shared" si="0"/>
        <v>0</v>
      </c>
      <c r="I16" s="28">
        <f t="shared" si="1"/>
        <v>0</v>
      </c>
      <c r="J16" s="29">
        <f>SUMIFS(일별!I:I,
       일별!$A:$A, "&gt;="&amp;월별!$A16,
       일별!$A:$A, "&lt;"&amp;월별!$A17)</f>
        <v>0</v>
      </c>
      <c r="K16" s="28">
        <f>J16/(월별!$A4 - 월별!$A16)</f>
        <v>0</v>
      </c>
      <c r="L16" s="29">
        <f>SUMIFS(일별!K:K,
       일별!$A:$A, "&gt;="&amp;월별!$A16,
       일별!$A:$A, "&lt;"&amp;월별!$A17)</f>
        <v>0</v>
      </c>
      <c r="M16" s="28">
        <f>L16/(월별!$A4 - 월별!$A16)</f>
        <v>0</v>
      </c>
      <c r="N16" s="29">
        <f>SUMIFS(일별!M:M,
       일별!$A:$A, "&gt;="&amp;월별!$A16,
       일별!$A:$A, "&lt;"&amp;월별!$A17)</f>
        <v>0</v>
      </c>
      <c r="O16" s="153">
        <f>N16/(월별!$A4 - 월별!$A16)</f>
        <v>0</v>
      </c>
      <c r="P16" s="29">
        <f>SUMIFS(일별!O:O,
       일별!$A:$A, "&gt;="&amp;월별!$A16,
       일별!$A:$A, "&lt;"&amp;월별!$A17)</f>
        <v>0</v>
      </c>
      <c r="Q16" s="28">
        <f>P16/(월별!$A4 - 월별!$A16)</f>
        <v>0</v>
      </c>
      <c r="R16" s="29">
        <f>SUMIFS(일별!Q:Q,
       일별!$A:$A, "&gt;="&amp;월별!$A16,
       일별!$A:$A, "&lt;"&amp;월별!$A17)</f>
        <v>0</v>
      </c>
      <c r="S16" s="28">
        <f>R16/(월별!$A4 - 월별!$A16)</f>
        <v>0</v>
      </c>
      <c r="T16" s="29">
        <f>SUMIFS(일별!S:S,
       일별!$A:$A, "&gt;="&amp;월별!$A16,
       일별!$A:$A, "&lt;"&amp;월별!$A17)</f>
        <v>0</v>
      </c>
      <c r="U16" s="28">
        <f>T16/(월별!$A4 - 월별!$A16)</f>
        <v>0</v>
      </c>
      <c r="V16" s="29">
        <f>SUMIFS(일별!U:U,
       일별!$A:$A, "&gt;="&amp;월별!$A16,
       일별!$A:$A, "&lt;"&amp;월별!$A17)</f>
        <v>0</v>
      </c>
      <c r="W16" s="28">
        <f>V16/(월별!$A4 - 월별!$A16)</f>
        <v>0</v>
      </c>
      <c r="X16" s="29">
        <f>SUMIFS(일별!W:W,
       일별!$A:$A, "&gt;="&amp;월별!$A16,
       일별!$A:$A, "&lt;"&amp;월별!$A17)</f>
        <v>0</v>
      </c>
      <c r="Y16" s="28">
        <f>X16/(월별!$A4 - 월별!$A16)</f>
        <v>0</v>
      </c>
      <c r="Z16" s="27">
        <f>SUMIFS(일별!X:X,
       일별!$A:$A, "&gt;="&amp;월별!$A16,
       일별!$A:$A, "&lt;"&amp;월별!$A4)</f>
        <v>4421582.2200000035</v>
      </c>
      <c r="AA16" s="29">
        <f>SUMIFS(일별!Y:Y,
       일별!$A:$A, "&gt;="&amp;월별!$A16,
       일별!$A:$A, "&lt;"&amp;월별!$A4)</f>
        <v>0</v>
      </c>
      <c r="AB16" s="29">
        <f>SUMIFS(일별!Z:Z,
       일별!$A:$A, "&gt;="&amp;월별!$A16,
       일별!$A:$A, "&lt;"&amp;월별!$A4)</f>
        <v>0</v>
      </c>
      <c r="AC16" s="29">
        <f>SUMIFS(일별!AA:AA,
       일별!$A:$A, "&gt;="&amp;월별!$A16,
       일별!$A:$A, "&lt;"&amp;월별!$A4)</f>
        <v>79246.799999999814</v>
      </c>
      <c r="AD16" s="29">
        <f>SUMIFS(일별!AB:AB,
       일별!$A:$A, "&gt;="&amp;월별!$A16,
       일별!$A:$A, "&lt;"&amp;월별!$A4)</f>
        <v>0</v>
      </c>
      <c r="AE16" s="28">
        <f>SUMIFS(일별!AC:AC,
       일별!$A:$A, "&gt;="&amp;월별!$A16,
       일별!$A:$A, "&lt;"&amp;월별!$A4)</f>
        <v>79246.799999999814</v>
      </c>
      <c r="AF16" s="27">
        <f>SUMIFS(일별!AD:AD,
       일별!$A:$A, "&gt;="&amp;월별!$A16,
       일별!$A:$A, "&lt;"&amp;월별!$A4)</f>
        <v>592</v>
      </c>
      <c r="AG16" s="29">
        <f>SUMIFS(일별!AE:AE,
       일별!$A:$A, "&gt;="&amp;월별!$A16,
       일별!$A:$A, "&lt;"&amp;월별!$A4)</f>
        <v>0</v>
      </c>
      <c r="AH16" s="29">
        <f>SUMIFS(일별!AF:AF,
       일별!$A:$A, "&gt;="&amp;월별!$A16,
       일별!$A:$A, "&lt;"&amp;월별!$A4)</f>
        <v>0</v>
      </c>
      <c r="AI16" s="28">
        <f>SUMIFS(일별!AG:AG,
       일별!$A:$A, "&gt;="&amp;월별!$A16,
       일별!$A:$A, "&lt;"&amp;월별!$A4)</f>
        <v>12</v>
      </c>
      <c r="AJ16" s="27">
        <f>SUMIFS(일별!AX:AX,
       일별!$A:$A, "&gt;="&amp;월별!$A16,
       일별!$A:$A, "&lt;"&amp;월별!$A4)</f>
        <v>27963</v>
      </c>
      <c r="AK16" s="29">
        <f>SUMIFS(일별!AY:AY,
       일별!$A:$A, "&gt;="&amp;월별!$A16,
       일별!$A:$A, "&lt;"&amp;월별!$A4)</f>
        <v>0</v>
      </c>
      <c r="AL16" s="29">
        <f>SUMIFS(일별!AZ:AZ,
       일별!$A:$A, "&gt;="&amp;월별!$A16,
       일별!$A:$A, "&lt;"&amp;월별!$A4)</f>
        <v>0</v>
      </c>
      <c r="AM16" s="29">
        <f>SUMIFS(일별!BA:BA,
       일별!$A:$A, "&gt;="&amp;월별!$A16,
       일별!$A:$A, "&lt;"&amp;월별!$A4)</f>
        <v>700</v>
      </c>
      <c r="AN16" s="29">
        <f>SUMIFS(일별!BB:BB,
       일별!$A:$A, "&gt;="&amp;월별!$A16,
       일별!$A:$A, "&lt;"&amp;월별!$A4)</f>
        <v>700</v>
      </c>
      <c r="AO16" s="28">
        <f>SUMIFS(일별!BC:BC,
       일별!$A:$A, "&gt;="&amp;월별!$A16,
       일별!$A:$A, "&lt;"&amp;월별!$A4)</f>
        <v>28663</v>
      </c>
      <c r="AP16" s="154" t="e" cm="1">
        <f t="array" ref="AP16">SUM(_xlfn._xlws.FILTER(일별!#REF!, (일별!$A:$A &gt;= 월별!$A16) * (일별!$A:$A &lt; $A4), 0))</f>
        <v>#REF!</v>
      </c>
      <c r="AQ16" s="155" t="e">
        <f>AP16/($A4 - 월별!$A16)</f>
        <v>#REF!</v>
      </c>
      <c r="AR16" s="155" t="e" cm="1">
        <f t="array" ref="AR16">SUM(_xlfn._xlws.FILTER(일별!#REF!, (일별!$A:$A &gt;= 월별!$A16) * (일별!$A:$A &lt; $A4), 0))</f>
        <v>#REF!</v>
      </c>
      <c r="AS16" s="155" t="e">
        <f>AR16/($A4 - 월별!$A16)</f>
        <v>#REF!</v>
      </c>
      <c r="AT16" s="155" t="e" cm="1">
        <f t="array" ref="AT16">SUM(_xlfn._xlws.FILTER(일별!#REF!, (일별!$A:$A &gt;= 월별!$A16) * (일별!$A:$A &lt; 월별!$A17), 0))</f>
        <v>#REF!</v>
      </c>
      <c r="AU16" s="155" t="e">
        <f>AT16/($A4 - 월별!$A16)</f>
        <v>#REF!</v>
      </c>
      <c r="AV16" s="18" t="e" cm="1">
        <f t="array" ref="AV16">SUM(_xlfn._xlws.FILTER(일별!#REF!, (일별!$A:$A &gt;= 월별!$A16) * (일별!$A:$A &lt; 월별!$A17), 0))</f>
        <v>#REF!</v>
      </c>
      <c r="AW16" s="20" t="e" cm="1">
        <f t="array" ref="AW16">SUM(_xlfn._xlws.FILTER(일별!#REF!, (일별!$A:$A &gt;= 월별!$A16) * (일별!$A:$A &lt; 월별!$A17), 0))</f>
        <v>#REF!</v>
      </c>
      <c r="AX16" s="20" t="e" cm="1">
        <f t="array" ref="AX16">SUM(_xlfn._xlws.FILTER(일별!#REF!, (일별!$A:$A &gt;= 월별!$A16) * (일별!$A:$A &lt; 월별!$A17), 0))</f>
        <v>#REF!</v>
      </c>
      <c r="AY16" s="20" t="e" cm="1">
        <f t="array" ref="AY16">SUM(_xlfn._xlws.FILTER(일별!#REF!, (일별!$A:$A &gt;= 월별!$A16) * (일별!$A:$A &lt; 월별!$A17), 0))</f>
        <v>#REF!</v>
      </c>
      <c r="AZ16" s="20" t="e" cm="1">
        <f t="array" ref="AZ16">SUM(_xlfn._xlws.FILTER(일별!#REF!, (일별!$A:$A &gt;= 월별!$A16) * (일별!$A:$A &lt; 월별!$A17), 0))</f>
        <v>#REF!</v>
      </c>
      <c r="BA16" s="20" t="e" cm="1">
        <f t="array" ref="BA16">SUM(_xlfn._xlws.FILTER(일별!#REF!, (일별!$A:$A &gt;= 월별!$A16) * (일별!$A:$A &lt; 월별!$A17), 0))</f>
        <v>#REF!</v>
      </c>
      <c r="BB16" s="20" t="e" cm="1">
        <f t="array" ref="BB16">SUM(_xlfn._xlws.FILTER(일별!#REF!, (일별!$A:$A &gt;= 월별!$A16) * (일별!$A:$A &lt; 월별!$A17), 0))</f>
        <v>#REF!</v>
      </c>
      <c r="BC16" s="20" t="e" cm="1">
        <f t="array" ref="BC16">SUM(_xlfn._xlws.FILTER(일별!#REF!, (일별!$A:$A &gt;= 월별!$A16) * (일별!$A:$A &lt; 월별!$A17), 0))</f>
        <v>#REF!</v>
      </c>
      <c r="BD16" s="20" t="e" cm="1">
        <f t="array" ref="BD16">SUM(_xlfn._xlws.FILTER(일별!#REF!, (일별!$A:$A &gt;= 월별!$A16) * (일별!$A:$A &lt; 월별!$A17), 0))</f>
        <v>#REF!</v>
      </c>
      <c r="BE16" s="20" t="e" cm="1">
        <f t="array" ref="BE16">SUM(_xlfn._xlws.FILTER(일별!#REF!, (일별!$A:$A &gt;= 월별!$A16) * (일별!$A:$A &lt; 월별!$A17), 0))</f>
        <v>#REF!</v>
      </c>
      <c r="BF16" s="20" t="e" cm="1">
        <f t="array" ref="BF16">SUM(_xlfn._xlws.FILTER(일별!#REF!, (일별!$A:$A &gt;= 월별!$A16) * (일별!$A:$A &lt; 월별!$A17), 0))</f>
        <v>#REF!</v>
      </c>
      <c r="BG16" s="20" t="e" cm="1">
        <f t="array" ref="BG16">SUM(_xlfn._xlws.FILTER(일별!#REF!, (일별!$A:$A &gt;= 월별!$A16) * (일별!$A:$A &lt; 월별!$A17), 0))</f>
        <v>#REF!</v>
      </c>
      <c r="BH16" s="20" t="e" cm="1">
        <f t="array" ref="BH16">SUM(_xlfn._xlws.FILTER(일별!#REF!, (일별!$A:$A &gt;= 월별!$A16) * (일별!$A:$A &lt; 월별!$A17), 0))</f>
        <v>#REF!</v>
      </c>
      <c r="BI16" s="20" t="e" cm="1">
        <f t="array" ref="BI16">SUM(_xlfn._xlws.FILTER(일별!#REF!, (일별!$A:$A &gt;= 월별!$A16) * (일별!$A:$A &lt; 월별!$A17), 0))</f>
        <v>#REF!</v>
      </c>
      <c r="BJ16" s="20" t="e" cm="1">
        <f t="array" ref="BJ16">SUM(_xlfn._xlws.FILTER(일별!#REF!, (일별!$A:$A &gt;= 월별!$A16) * (일별!$A:$A &lt; 월별!$A17), 0))</f>
        <v>#REF!</v>
      </c>
      <c r="BK16" s="20" t="e" cm="1">
        <f t="array" ref="BK16">SUM(_xlfn._xlws.FILTER(일별!#REF!, (일별!$A:$A &gt;= 월별!$A16) * (일별!$A:$A &lt; 월별!$A17), 0))</f>
        <v>#REF!</v>
      </c>
      <c r="BL16" s="20" t="e" cm="1">
        <f t="array" ref="BL16">SUM(_xlfn._xlws.FILTER(일별!#REF!, (일별!$A:$A &gt;= 월별!$A16) * (일별!$A:$A &lt; 월별!$A17), 0))</f>
        <v>#REF!</v>
      </c>
      <c r="BM16" s="20" t="e" cm="1">
        <f t="array" ref="BM16">SUM(_xlfn._xlws.FILTER(일별!#REF!, (일별!$A:$A &gt;= 월별!$A16) * (일별!$A:$A &lt; 월별!$A17), 0))</f>
        <v>#REF!</v>
      </c>
      <c r="BN16" s="20" t="e" cm="1">
        <f t="array" ref="BN16">SUM(_xlfn._xlws.FILTER(일별!#REF!, (일별!$A:$A &gt;= 월별!$A16) * (일별!$A:$A &lt; 월별!$A17), 0))</f>
        <v>#REF!</v>
      </c>
      <c r="BO16" s="20" t="e" cm="1">
        <f t="array" ref="BO16">SUM(_xlfn._xlws.FILTER(일별!#REF!, (일별!$A:$A &gt;= 월별!$A16) * (일별!$A:$A &lt; 월별!$A17), 0))</f>
        <v>#REF!</v>
      </c>
      <c r="BP16" s="20" t="e" cm="1">
        <f t="array" ref="BP16">SUM(_xlfn._xlws.FILTER(일별!#REF!, (일별!$A:$A &gt;= 월별!$A16) * (일별!$A:$A &lt; 월별!$A17), 0))</f>
        <v>#REF!</v>
      </c>
      <c r="BQ16" s="19" t="e" cm="1">
        <f t="array" ref="BQ16">SUM(_xlfn._xlws.FILTER(일별!#REF!, (일별!$A:$A &gt;= 월별!$A16) * (일별!$A:$A &lt; 월별!$A17), 0))</f>
        <v>#REF!</v>
      </c>
      <c r="BR16" s="18" t="e" cm="1">
        <f t="array" ref="BR16">SUM(_xlfn._xlws.FILTER(일별!#REF!, (일별!$A:$A &gt;= 월별!$A16) * (일별!$A:$A &lt; 월별!$A17), 0))</f>
        <v>#REF!</v>
      </c>
      <c r="BS16" s="20" t="e" cm="1">
        <f t="array" ref="BS16">SUM(_xlfn._xlws.FILTER(일별!#REF!, (일별!$A:$A &gt;= 월별!$A16) * (일별!$A:$A &lt; 월별!$A17), 0))</f>
        <v>#REF!</v>
      </c>
      <c r="BT16" s="20" t="e" cm="1">
        <f t="array" ref="BT16">SUM(_xlfn._xlws.FILTER(일별!#REF!, (일별!$A:$A &gt;= 월별!$A16) * (일별!$A:$A &lt; 월별!$A17), 0))</f>
        <v>#REF!</v>
      </c>
      <c r="BU16" s="20" t="e" cm="1">
        <f t="array" ref="BU16">SUM(_xlfn._xlws.FILTER(일별!#REF!, (일별!$A:$A &gt;= 월별!$A16) * (일별!$A:$A &lt; 월별!$A17), 0))</f>
        <v>#REF!</v>
      </c>
      <c r="BV16" s="20" t="e" cm="1">
        <f t="array" ref="BV16">SUM(_xlfn._xlws.FILTER(일별!#REF!, (일별!$A:$A &gt;= 월별!$A16) * (일별!$A:$A &lt; 월별!$A17), 0))</f>
        <v>#REF!</v>
      </c>
      <c r="BW16" s="20" t="e" cm="1">
        <f t="array" ref="BW16">SUM(_xlfn._xlws.FILTER(일별!#REF!, (일별!$A:$A &gt;= 월별!$A16) * (일별!$A:$A &lt; 월별!$A17), 0))</f>
        <v>#REF!</v>
      </c>
      <c r="BX16" s="20" t="e" cm="1">
        <f t="array" ref="BX16">SUM(_xlfn._xlws.FILTER(일별!#REF!, (일별!$A:$A &gt;= 월별!$A16) * (일별!$A:$A &lt; 월별!$A17), 0))</f>
        <v>#REF!</v>
      </c>
      <c r="BY16" s="20" t="e" cm="1">
        <f t="array" ref="BY16">SUM(_xlfn._xlws.FILTER(일별!#REF!, (일별!$A:$A &gt;= 월별!$A16) * (일별!$A:$A &lt; 월별!$A17), 0))</f>
        <v>#REF!</v>
      </c>
      <c r="BZ16" s="20" t="e" cm="1">
        <f t="array" ref="BZ16">SUM(_xlfn._xlws.FILTER(일별!#REF!, (일별!$A:$A &gt;= 월별!$A16) * (일별!$A:$A &lt; 월별!$A17), 0))</f>
        <v>#REF!</v>
      </c>
      <c r="CA16" s="20" t="e" cm="1">
        <f t="array" ref="CA16">SUM(_xlfn._xlws.FILTER(일별!#REF!, (일별!$A:$A &gt;= 월별!$A16) * (일별!$A:$A &lt; 월별!$A17), 0))</f>
        <v>#REF!</v>
      </c>
      <c r="CB16" s="20" t="e" cm="1">
        <f t="array" ref="CB16">SUM(_xlfn._xlws.FILTER(일별!#REF!, (일별!$A:$A &gt;= 월별!$A16) * (일별!$A:$A &lt; 월별!$A17), 0))</f>
        <v>#REF!</v>
      </c>
      <c r="CC16" s="20" t="e" cm="1">
        <f t="array" ref="CC16">SUM(_xlfn._xlws.FILTER(일별!#REF!, (일별!$A:$A &gt;= 월별!$A16) * (일별!$A:$A &lt; 월별!$A17), 0))</f>
        <v>#REF!</v>
      </c>
      <c r="CD16" s="20" t="e" cm="1">
        <f t="array" ref="CD16">SUM(_xlfn._xlws.FILTER(일별!#REF!, (일별!$A:$A &gt;= 월별!$A16) * (일별!$A:$A &lt; 월별!$A17), 0))</f>
        <v>#REF!</v>
      </c>
      <c r="CE16" s="20" t="e" cm="1">
        <f t="array" ref="CE16">SUM(_xlfn._xlws.FILTER(일별!#REF!, (일별!$A:$A &gt;= 월별!$A16) * (일별!$A:$A &lt; 월별!$A17), 0))</f>
        <v>#REF!</v>
      </c>
      <c r="CF16" s="20" t="e" cm="1">
        <f t="array" ref="CF16">SUM(_xlfn._xlws.FILTER(일별!#REF!, (일별!$A:$A &gt;= 월별!$A16) * (일별!$A:$A &lt; 월별!$A17), 0))</f>
        <v>#REF!</v>
      </c>
      <c r="CG16" s="20" t="e" cm="1">
        <f t="array" ref="CG16">SUM(_xlfn._xlws.FILTER(일별!#REF!, (일별!$A:$A &gt;= 월별!$A16) * (일별!$A:$A &lt; 월별!$A17), 0))</f>
        <v>#REF!</v>
      </c>
      <c r="CH16" s="20" t="e" cm="1">
        <f t="array" ref="CH16">SUM(_xlfn._xlws.FILTER(일별!#REF!, (일별!$A:$A &gt;= 월별!$A16) * (일별!$A:$A &lt; 월별!$A17), 0))</f>
        <v>#REF!</v>
      </c>
      <c r="CI16" s="20" t="e" cm="1">
        <f t="array" ref="CI16">SUM(_xlfn._xlws.FILTER(일별!#REF!, (일별!$A:$A &gt;= 월별!$A16) * (일별!$A:$A &lt; 월별!$A17), 0))</f>
        <v>#REF!</v>
      </c>
      <c r="CJ16" s="20" t="e" cm="1">
        <f t="array" ref="CJ16">SUM(_xlfn._xlws.FILTER(일별!#REF!, (일별!$A:$A &gt;= 월별!$A16) * (일별!$A:$A &lt; 월별!$A17), 0))</f>
        <v>#REF!</v>
      </c>
      <c r="CK16" s="20" t="e" cm="1">
        <f t="array" ref="CK16">SUM(_xlfn._xlws.FILTER(일별!#REF!, (일별!$A:$A &gt;= 월별!$A16) * (일별!$A:$A &lt; 월별!$A17), 0))</f>
        <v>#REF!</v>
      </c>
      <c r="CL16" s="20" t="e" cm="1">
        <f t="array" ref="CL16">SUM(_xlfn._xlws.FILTER(일별!#REF!, (일별!$A:$A &gt;= 월별!$A16) * (일별!$A:$A &lt; 월별!$A17), 0))</f>
        <v>#REF!</v>
      </c>
      <c r="CM16" s="19" t="e" cm="1">
        <f t="array" ref="CM16">SUM(_xlfn._xlws.FILTER(일별!#REF!, (일별!$A:$A &gt;= 월별!$A16) * (일별!$A:$A &lt; 월별!$A17), 0))</f>
        <v>#REF!</v>
      </c>
      <c r="CN16" s="18" t="e" cm="1">
        <f t="array" ref="CN16">SUM(_xlfn._xlws.FILTER(일별!#REF!, (일별!$A:$A &gt;= 월별!$A16) * (일별!$A:$A &lt; 월별!$A17), 0))</f>
        <v>#REF!</v>
      </c>
      <c r="CO16" s="20" t="e" cm="1">
        <f t="array" ref="CO16">SUM(_xlfn._xlws.FILTER(일별!#REF!, (일별!$A:$A &gt;= 월별!$A16) * (일별!$A:$A &lt; 월별!$A17), 0))</f>
        <v>#REF!</v>
      </c>
      <c r="CP16" s="20" t="e" cm="1">
        <f t="array" ref="CP16">SUM(_xlfn._xlws.FILTER(일별!#REF!, (일별!$A:$A &gt;= 월별!$A16) * (일별!$A:$A &lt; 월별!$A17), 0))</f>
        <v>#REF!</v>
      </c>
      <c r="CQ16" s="20" t="e" cm="1">
        <f t="array" ref="CQ16">SUM(_xlfn._xlws.FILTER(일별!#REF!, (일별!$A:$A &gt;= 월별!$A16) * (일별!$A:$A &lt; 월별!$A17), 0))</f>
        <v>#REF!</v>
      </c>
      <c r="CR16" s="20" t="e" cm="1">
        <f t="array" ref="CR16">SUM(_xlfn._xlws.FILTER(일별!#REF!, (일별!$A:$A &gt;= 월별!$A16) * (일별!$A:$A &lt; 월별!$A17), 0))</f>
        <v>#REF!</v>
      </c>
      <c r="CS16" s="20" t="e" cm="1">
        <f t="array" ref="CS16">SUM(_xlfn._xlws.FILTER(일별!#REF!, (일별!$A:$A &gt;= 월별!$A16) * (일별!$A:$A &lt; 월별!$A17), 0))</f>
        <v>#REF!</v>
      </c>
      <c r="CT16" s="20" t="e" cm="1">
        <f t="array" ref="CT16">SUM(_xlfn._xlws.FILTER(일별!#REF!, (일별!$A:$A &gt;= 월별!$A16) * (일별!$A:$A &lt; 월별!$A17), 0))</f>
        <v>#REF!</v>
      </c>
      <c r="CU16" s="20" t="e" cm="1">
        <f t="array" ref="CU16">SUM(_xlfn._xlws.FILTER(일별!#REF!, (일별!$A:$A &gt;= 월별!$A16) * (일별!$A:$A &lt; 월별!$A17), 0))</f>
        <v>#REF!</v>
      </c>
      <c r="CV16" s="20" t="e" cm="1">
        <f t="array" ref="CV16">SUM(_xlfn._xlws.FILTER(일별!#REF!, (일별!$A:$A &gt;= 월별!$A16) * (일별!$A:$A &lt; 월별!$A17), 0))</f>
        <v>#REF!</v>
      </c>
      <c r="CW16" s="20" t="e" cm="1">
        <f t="array" ref="CW16">SUM(_xlfn._xlws.FILTER(일별!#REF!, (일별!$A:$A &gt;= 월별!$A16) * (일별!$A:$A &lt; 월별!$A17), 0))</f>
        <v>#REF!</v>
      </c>
      <c r="CX16" s="20" t="e" cm="1">
        <f t="array" ref="CX16">SUM(_xlfn._xlws.FILTER(일별!#REF!, (일별!$A:$A &gt;= 월별!$A16) * (일별!$A:$A &lt; 월별!$A17), 0))</f>
        <v>#REF!</v>
      </c>
      <c r="CY16" s="20" t="e" cm="1">
        <f t="array" ref="CY16">SUM(_xlfn._xlws.FILTER(일별!#REF!, (일별!$A:$A &gt;= 월별!$A16) * (일별!$A:$A &lt; 월별!$A17), 0))</f>
        <v>#REF!</v>
      </c>
      <c r="CZ16" s="20" t="e" cm="1">
        <f t="array" ref="CZ16">SUM(_xlfn._xlws.FILTER(일별!#REF!, (일별!$A:$A &gt;= 월별!$A16) * (일별!$A:$A &lt; 월별!$A17), 0))</f>
        <v>#REF!</v>
      </c>
      <c r="DA16" s="20" t="e" cm="1">
        <f t="array" ref="DA16">SUM(_xlfn._xlws.FILTER(일별!#REF!, (일별!$A:$A &gt;= 월별!$A16) * (일별!$A:$A &lt; 월별!$A17), 0))</f>
        <v>#REF!</v>
      </c>
      <c r="DB16" s="20" t="e" cm="1">
        <f t="array" ref="DB16">SUM(_xlfn._xlws.FILTER(일별!#REF!, (일별!$A:$A &gt;= 월별!$A16) * (일별!$A:$A &lt; 월별!$A17), 0))</f>
        <v>#REF!</v>
      </c>
      <c r="DC16" s="20" t="e" cm="1">
        <f t="array" ref="DC16">SUM(_xlfn._xlws.FILTER(일별!#REF!, (일별!$A:$A &gt;= 월별!$A16) * (일별!$A:$A &lt; 월별!$A17), 0))</f>
        <v>#REF!</v>
      </c>
      <c r="DD16" s="20" t="e" cm="1">
        <f t="array" ref="DD16">SUM(_xlfn._xlws.FILTER(일별!#REF!, (일별!$A:$A &gt;= 월별!$A16) * (일별!$A:$A &lt; 월별!$A17), 0))</f>
        <v>#REF!</v>
      </c>
      <c r="DE16" s="20" t="e" cm="1">
        <f t="array" ref="DE16">SUM(_xlfn._xlws.FILTER(일별!#REF!, (일별!$A:$A &gt;= 월별!$A16) * (일별!$A:$A &lt; 월별!$A17), 0))</f>
        <v>#REF!</v>
      </c>
      <c r="DF16" s="20" t="e" cm="1">
        <f t="array" ref="DF16">SUM(_xlfn._xlws.FILTER(일별!#REF!, (일별!$A:$A &gt;= 월별!$A16) * (일별!$A:$A &lt; 월별!$A17), 0))</f>
        <v>#REF!</v>
      </c>
      <c r="DG16" s="20" t="e" cm="1">
        <f t="array" ref="DG16">SUM(_xlfn._xlws.FILTER(일별!#REF!, (일별!$A:$A &gt;= 월별!$A16) * (일별!$A:$A &lt; 월별!$A17), 0))</f>
        <v>#REF!</v>
      </c>
      <c r="DH16" s="20" t="e" cm="1">
        <f t="array" ref="DH16">SUM(_xlfn._xlws.FILTER(일별!#REF!, (일별!$A:$A &gt;= 월별!$A16) * (일별!$A:$A &lt; 월별!$A17), 0))</f>
        <v>#REF!</v>
      </c>
      <c r="DI16" s="19" t="e" cm="1">
        <f t="array" ref="DI16">SUM(_xlfn._xlws.FILTER(일별!#REF!, (일별!$A:$A &gt;= 월별!$A16) * (일별!$A:$A &lt; 월별!$A17), 0))</f>
        <v>#REF!</v>
      </c>
    </row>
    <row r="17" spans="1:113" s="36" customFormat="1" ht="12">
      <c r="A17" s="170" t="s">
        <v>92</v>
      </c>
      <c r="B17" s="40">
        <f>SUM(B5:B16)</f>
        <v>5613.2</v>
      </c>
      <c r="C17" s="40">
        <f>AVERAGE(C5:C16)</f>
        <v>14.963361146022438</v>
      </c>
      <c r="D17" s="115">
        <f t="shared" ref="D17" si="2">SUM(D5:D16)</f>
        <v>19724</v>
      </c>
      <c r="E17" s="116">
        <f t="shared" ref="E17" si="3">AVERAGE(E5:E16)</f>
        <v>54.313293650793646</v>
      </c>
      <c r="F17" s="40">
        <f t="shared" ref="F17" si="4">SUM(F5:F16)</f>
        <v>17926</v>
      </c>
      <c r="G17" s="40">
        <f t="shared" ref="G17" si="5">AVERAGE(G5:G16)</f>
        <v>49.426945724526377</v>
      </c>
      <c r="H17" s="115">
        <f t="shared" ref="H17" si="6">SUM(H5:H16)</f>
        <v>37650</v>
      </c>
      <c r="I17" s="116">
        <f t="shared" ref="I17" si="7">AVERAGE(I5:I16)</f>
        <v>103.74023937532002</v>
      </c>
      <c r="J17" s="115">
        <f t="shared" ref="J17" si="8">SUM(J5:J16)</f>
        <v>3049.8300000000017</v>
      </c>
      <c r="K17" s="116">
        <f t="shared" ref="K17" si="9">AVERAGE(K5:K16)</f>
        <v>8.3222560163850527</v>
      </c>
      <c r="L17" s="40">
        <f t="shared" ref="L17" si="10">SUM(L5:L16)</f>
        <v>3049.8300000000017</v>
      </c>
      <c r="M17" s="40">
        <f t="shared" ref="M17" si="11">AVERAGE(M5:M16)</f>
        <v>8.3222560163850527</v>
      </c>
      <c r="N17" s="115">
        <f t="shared" ref="N17" si="12">SUM(N5:N16)</f>
        <v>262.19999999999993</v>
      </c>
      <c r="O17" s="117">
        <f t="shared" ref="O17" si="13">AVERAGE(O5:O16)</f>
        <v>0.72135304659498178</v>
      </c>
      <c r="P17" s="40">
        <f t="shared" ref="P17" si="14">SUM(P5:P16)</f>
        <v>25486</v>
      </c>
      <c r="Q17" s="40">
        <f t="shared" ref="Q17" si="15">AVERAGE(Q5:Q16)</f>
        <v>70.166769073220678</v>
      </c>
      <c r="R17" s="115">
        <f t="shared" ref="R17" si="16">SUM(R5:R16)</f>
        <v>-232220</v>
      </c>
      <c r="S17" s="116">
        <f t="shared" ref="S17" si="17">AVERAGE(S5:S16)</f>
        <v>-646.43057475678449</v>
      </c>
      <c r="T17" s="40">
        <f t="shared" ref="T17" si="18">SUM(T5:T16)</f>
        <v>2.5300000000000011</v>
      </c>
      <c r="U17" s="40">
        <f t="shared" ref="U17" si="19">AVERAGE(U5:U16)</f>
        <v>7.3088837685611899E-3</v>
      </c>
      <c r="V17" s="115">
        <f t="shared" ref="V17" si="20">SUM(V5:V16)</f>
        <v>2.8530000000000015</v>
      </c>
      <c r="W17" s="116">
        <f t="shared" ref="W17" si="21">AVERAGE(W5:W16)</f>
        <v>7.949500768049159E-3</v>
      </c>
      <c r="X17" s="40">
        <f>SUM(X5:X16)</f>
        <v>8242</v>
      </c>
      <c r="Y17" s="40">
        <f t="shared" ref="Y17" si="22">AVERAGE(Y5:Y16)</f>
        <v>23.291935483870969</v>
      </c>
      <c r="Z17" s="41">
        <f>SUM(Z5:Z16)</f>
        <v>14906252.100000016</v>
      </c>
      <c r="AA17" s="43">
        <f t="shared" ref="AA17:AP17" si="23">SUM(AA5:AA16)</f>
        <v>591</v>
      </c>
      <c r="AB17" s="43">
        <f t="shared" si="23"/>
        <v>0</v>
      </c>
      <c r="AC17" s="43">
        <f t="shared" si="23"/>
        <v>219523.79999999981</v>
      </c>
      <c r="AD17" s="43">
        <f t="shared" si="23"/>
        <v>0</v>
      </c>
      <c r="AE17" s="42">
        <f t="shared" si="23"/>
        <v>220114.79999999981</v>
      </c>
      <c r="AF17" s="40">
        <f t="shared" si="23"/>
        <v>2211</v>
      </c>
      <c r="AG17" s="40">
        <f t="shared" si="23"/>
        <v>0</v>
      </c>
      <c r="AH17" s="40">
        <f t="shared" si="23"/>
        <v>0</v>
      </c>
      <c r="AI17" s="40">
        <f t="shared" si="23"/>
        <v>37.5</v>
      </c>
      <c r="AJ17" s="41">
        <f t="shared" si="23"/>
        <v>94326.099999999991</v>
      </c>
      <c r="AK17" s="43">
        <f t="shared" si="23"/>
        <v>0</v>
      </c>
      <c r="AL17" s="43">
        <f t="shared" si="23"/>
        <v>0</v>
      </c>
      <c r="AM17" s="43">
        <f t="shared" si="23"/>
        <v>1945</v>
      </c>
      <c r="AN17" s="43">
        <f t="shared" si="23"/>
        <v>1945</v>
      </c>
      <c r="AO17" s="42">
        <f t="shared" si="23"/>
        <v>96271.099999999991</v>
      </c>
      <c r="AP17" s="175" t="e">
        <f t="shared" si="23"/>
        <v>#REF!</v>
      </c>
      <c r="AQ17" s="176" t="e">
        <f t="shared" ref="AQ17:BQ17" si="24">AVERAGE(AQ5:AQ16)</f>
        <v>#REF!</v>
      </c>
      <c r="AR17" s="176" t="e">
        <f t="shared" ref="AR17:AT17" si="25">SUM(AR5:AR16)</f>
        <v>#REF!</v>
      </c>
      <c r="AS17" s="177" t="e">
        <f t="shared" si="24"/>
        <v>#REF!</v>
      </c>
      <c r="AT17" s="176" t="e">
        <f t="shared" si="25"/>
        <v>#REF!</v>
      </c>
      <c r="AU17" s="177" t="e">
        <f t="shared" ref="AU17" si="26">AVERAGE(AU5:AU16)</f>
        <v>#REF!</v>
      </c>
      <c r="AV17" s="178" t="e">
        <f t="shared" si="24"/>
        <v>#REF!</v>
      </c>
      <c r="AW17" s="176" t="e">
        <f t="shared" si="24"/>
        <v>#REF!</v>
      </c>
      <c r="AX17" s="176" t="e">
        <f t="shared" si="24"/>
        <v>#REF!</v>
      </c>
      <c r="AY17" s="176" t="e">
        <f t="shared" si="24"/>
        <v>#REF!</v>
      </c>
      <c r="AZ17" s="176" t="e">
        <f t="shared" si="24"/>
        <v>#REF!</v>
      </c>
      <c r="BA17" s="176" t="e">
        <f t="shared" si="24"/>
        <v>#REF!</v>
      </c>
      <c r="BB17" s="176" t="e">
        <f t="shared" si="24"/>
        <v>#REF!</v>
      </c>
      <c r="BC17" s="176" t="e">
        <f t="shared" si="24"/>
        <v>#REF!</v>
      </c>
      <c r="BD17" s="176" t="e">
        <f t="shared" si="24"/>
        <v>#REF!</v>
      </c>
      <c r="BE17" s="176" t="e">
        <f t="shared" si="24"/>
        <v>#REF!</v>
      </c>
      <c r="BF17" s="176" t="e">
        <f t="shared" si="24"/>
        <v>#REF!</v>
      </c>
      <c r="BG17" s="176" t="e">
        <f t="shared" si="24"/>
        <v>#REF!</v>
      </c>
      <c r="BH17" s="176" t="e">
        <f t="shared" si="24"/>
        <v>#REF!</v>
      </c>
      <c r="BI17" s="176" t="e">
        <f t="shared" si="24"/>
        <v>#REF!</v>
      </c>
      <c r="BJ17" s="176" t="e">
        <f t="shared" si="24"/>
        <v>#REF!</v>
      </c>
      <c r="BK17" s="176" t="e">
        <f t="shared" si="24"/>
        <v>#REF!</v>
      </c>
      <c r="BL17" s="176" t="e">
        <f t="shared" si="24"/>
        <v>#REF!</v>
      </c>
      <c r="BM17" s="176" t="e">
        <f t="shared" si="24"/>
        <v>#REF!</v>
      </c>
      <c r="BN17" s="176" t="e">
        <f t="shared" si="24"/>
        <v>#REF!</v>
      </c>
      <c r="BO17" s="176" t="e">
        <f t="shared" si="24"/>
        <v>#REF!</v>
      </c>
      <c r="BP17" s="176" t="e">
        <f t="shared" si="24"/>
        <v>#REF!</v>
      </c>
      <c r="BQ17" s="179" t="e">
        <f t="shared" si="24"/>
        <v>#REF!</v>
      </c>
      <c r="BR17" s="178" t="e">
        <f t="shared" ref="BR17:CM17" si="27">AVERAGE(BR5:BR16)</f>
        <v>#REF!</v>
      </c>
      <c r="BS17" s="176" t="e">
        <f t="shared" si="27"/>
        <v>#REF!</v>
      </c>
      <c r="BT17" s="176" t="e">
        <f t="shared" si="27"/>
        <v>#REF!</v>
      </c>
      <c r="BU17" s="176" t="e">
        <f t="shared" si="27"/>
        <v>#REF!</v>
      </c>
      <c r="BV17" s="176" t="e">
        <f t="shared" si="27"/>
        <v>#REF!</v>
      </c>
      <c r="BW17" s="176" t="e">
        <f t="shared" si="27"/>
        <v>#REF!</v>
      </c>
      <c r="BX17" s="176" t="e">
        <f t="shared" si="27"/>
        <v>#REF!</v>
      </c>
      <c r="BY17" s="176" t="e">
        <f t="shared" si="27"/>
        <v>#REF!</v>
      </c>
      <c r="BZ17" s="176" t="e">
        <f t="shared" si="27"/>
        <v>#REF!</v>
      </c>
      <c r="CA17" s="176" t="e">
        <f t="shared" si="27"/>
        <v>#REF!</v>
      </c>
      <c r="CB17" s="176" t="e">
        <f t="shared" si="27"/>
        <v>#REF!</v>
      </c>
      <c r="CC17" s="176" t="e">
        <f t="shared" si="27"/>
        <v>#REF!</v>
      </c>
      <c r="CD17" s="176" t="e">
        <f t="shared" si="27"/>
        <v>#REF!</v>
      </c>
      <c r="CE17" s="176" t="e">
        <f t="shared" si="27"/>
        <v>#REF!</v>
      </c>
      <c r="CF17" s="176" t="e">
        <f t="shared" si="27"/>
        <v>#REF!</v>
      </c>
      <c r="CG17" s="176" t="e">
        <f t="shared" si="27"/>
        <v>#REF!</v>
      </c>
      <c r="CH17" s="176" t="e">
        <f t="shared" si="27"/>
        <v>#REF!</v>
      </c>
      <c r="CI17" s="176" t="e">
        <f t="shared" si="27"/>
        <v>#REF!</v>
      </c>
      <c r="CJ17" s="176" t="e">
        <f t="shared" si="27"/>
        <v>#REF!</v>
      </c>
      <c r="CK17" s="176" t="e">
        <f t="shared" si="27"/>
        <v>#REF!</v>
      </c>
      <c r="CL17" s="176" t="e">
        <f t="shared" si="27"/>
        <v>#REF!</v>
      </c>
      <c r="CM17" s="179" t="e">
        <f t="shared" si="27"/>
        <v>#REF!</v>
      </c>
      <c r="CN17" s="178" t="e">
        <f t="shared" ref="CN17:DI17" si="28">AVERAGE(CN5:CN16)</f>
        <v>#REF!</v>
      </c>
      <c r="CO17" s="176" t="e">
        <f t="shared" si="28"/>
        <v>#REF!</v>
      </c>
      <c r="CP17" s="176" t="e">
        <f t="shared" si="28"/>
        <v>#REF!</v>
      </c>
      <c r="CQ17" s="176" t="e">
        <f t="shared" si="28"/>
        <v>#REF!</v>
      </c>
      <c r="CR17" s="176" t="e">
        <f t="shared" si="28"/>
        <v>#REF!</v>
      </c>
      <c r="CS17" s="176" t="e">
        <f t="shared" si="28"/>
        <v>#REF!</v>
      </c>
      <c r="CT17" s="176" t="e">
        <f t="shared" si="28"/>
        <v>#REF!</v>
      </c>
      <c r="CU17" s="176" t="e">
        <f t="shared" si="28"/>
        <v>#REF!</v>
      </c>
      <c r="CV17" s="176" t="e">
        <f t="shared" si="28"/>
        <v>#REF!</v>
      </c>
      <c r="CW17" s="176" t="e">
        <f t="shared" si="28"/>
        <v>#REF!</v>
      </c>
      <c r="CX17" s="176" t="e">
        <f t="shared" si="28"/>
        <v>#REF!</v>
      </c>
      <c r="CY17" s="176" t="e">
        <f t="shared" si="28"/>
        <v>#REF!</v>
      </c>
      <c r="CZ17" s="176" t="e">
        <f t="shared" si="28"/>
        <v>#REF!</v>
      </c>
      <c r="DA17" s="176" t="e">
        <f t="shared" si="28"/>
        <v>#REF!</v>
      </c>
      <c r="DB17" s="176" t="e">
        <f t="shared" si="28"/>
        <v>#REF!</v>
      </c>
      <c r="DC17" s="176" t="e">
        <f t="shared" si="28"/>
        <v>#REF!</v>
      </c>
      <c r="DD17" s="176" t="e">
        <f t="shared" si="28"/>
        <v>#REF!</v>
      </c>
      <c r="DE17" s="176" t="e">
        <f t="shared" si="28"/>
        <v>#REF!</v>
      </c>
      <c r="DF17" s="176" t="e">
        <f t="shared" si="28"/>
        <v>#REF!</v>
      </c>
      <c r="DG17" s="176" t="e">
        <f t="shared" si="28"/>
        <v>#REF!</v>
      </c>
      <c r="DH17" s="176" t="e">
        <f t="shared" si="28"/>
        <v>#REF!</v>
      </c>
      <c r="DI17" s="179" t="e">
        <f t="shared" si="28"/>
        <v>#REF!</v>
      </c>
    </row>
  </sheetData>
  <mergeCells count="3">
    <mergeCell ref="AV3:BQ3"/>
    <mergeCell ref="BR3:CM3"/>
    <mergeCell ref="CN3:DI3"/>
  </mergeCells>
  <phoneticPr fontId="3" type="noConversion"/>
  <conditionalFormatting sqref="A4:A16">
    <cfRule type="expression" dxfId="6" priority="31">
      <formula>TODAY()-1=$A4</formula>
    </cfRule>
  </conditionalFormatting>
  <conditionalFormatting sqref="B5:DI16">
    <cfRule type="expression" dxfId="5" priority="1">
      <formula>TODAY()-1=$A5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FF69-742C-4422-9FF5-F6AA216BAF97}">
  <dimension ref="A1:BG370"/>
  <sheetViews>
    <sheetView showGridLines="0" zoomScale="85" zoomScaleNormal="85" workbookViewId="0">
      <pane xSplit="1" ySplit="4" topLeftCell="AM5" activePane="bottomRight" state="frozen"/>
      <selection pane="topRight" activeCell="B1" sqref="B1"/>
      <selection pane="bottomLeft" activeCell="A5" sqref="A5"/>
      <selection pane="bottomRight" activeCell="BG12" sqref="BG12"/>
    </sheetView>
  </sheetViews>
  <sheetFormatPr defaultColWidth="8.625" defaultRowHeight="12"/>
  <cols>
    <col min="1" max="1" width="21.75" style="30" customWidth="1"/>
    <col min="2" max="18" width="8.625" style="30"/>
    <col min="19" max="19" width="8.625" style="166"/>
    <col min="20" max="23" width="8.625" style="30"/>
    <col min="24" max="27" width="11.625" style="30" customWidth="1"/>
    <col min="28" max="28" width="15" style="30" bestFit="1" customWidth="1"/>
    <col min="29" max="29" width="11.625" style="30" customWidth="1"/>
    <col min="30" max="33" width="8.875" style="30" bestFit="1" customWidth="1"/>
    <col min="34" max="34" width="11" style="30" bestFit="1" customWidth="1"/>
    <col min="35" max="37" width="8.875" style="30" bestFit="1" customWidth="1"/>
    <col min="38" max="39" width="14.375" style="165" customWidth="1"/>
    <col min="40" max="40" width="14.625" style="165" bestFit="1" customWidth="1"/>
    <col min="41" max="41" width="14.375" style="165" customWidth="1"/>
    <col min="42" max="42" width="12.75" style="165" customWidth="1"/>
    <col min="43" max="45" width="14.375" style="165" customWidth="1"/>
    <col min="46" max="49" width="14.375" style="167" customWidth="1"/>
    <col min="50" max="55" width="9.25" style="30" customWidth="1"/>
    <col min="56" max="59" width="7.5" style="30" customWidth="1"/>
    <col min="60" max="16384" width="8.625" style="30"/>
  </cols>
  <sheetData>
    <row r="1" spans="1:59">
      <c r="S1" s="30"/>
      <c r="AH1" s="159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</row>
    <row r="2" spans="1:59">
      <c r="A2" s="30">
        <v>1</v>
      </c>
      <c r="B2" s="30">
        <v>2</v>
      </c>
      <c r="C2" s="30">
        <v>3</v>
      </c>
      <c r="D2" s="30">
        <v>4</v>
      </c>
      <c r="E2" s="30">
        <v>5</v>
      </c>
      <c r="F2" s="30">
        <v>6</v>
      </c>
      <c r="G2" s="30">
        <v>7</v>
      </c>
      <c r="H2" s="30">
        <v>8</v>
      </c>
      <c r="I2" s="30">
        <v>9</v>
      </c>
      <c r="J2" s="30">
        <v>10</v>
      </c>
      <c r="K2" s="30">
        <v>11</v>
      </c>
      <c r="L2" s="30">
        <v>12</v>
      </c>
      <c r="M2" s="30">
        <v>13</v>
      </c>
      <c r="N2" s="30">
        <v>14</v>
      </c>
      <c r="O2" s="30">
        <v>15</v>
      </c>
      <c r="P2" s="30">
        <v>16</v>
      </c>
      <c r="Q2" s="30">
        <v>17</v>
      </c>
      <c r="R2" s="30">
        <v>18</v>
      </c>
      <c r="S2" s="30">
        <v>19</v>
      </c>
      <c r="T2" s="30">
        <v>20</v>
      </c>
      <c r="U2" s="30">
        <v>21</v>
      </c>
      <c r="V2" s="30">
        <v>22</v>
      </c>
      <c r="W2" s="30">
        <v>23</v>
      </c>
      <c r="X2" s="30">
        <v>24</v>
      </c>
      <c r="Y2" s="30">
        <v>25</v>
      </c>
      <c r="Z2" s="30">
        <v>26</v>
      </c>
      <c r="AA2" s="30">
        <v>27</v>
      </c>
      <c r="AB2" s="30">
        <v>28</v>
      </c>
      <c r="AC2" s="30">
        <v>29</v>
      </c>
      <c r="AD2" s="30">
        <v>30</v>
      </c>
      <c r="AE2" s="30">
        <v>31</v>
      </c>
      <c r="AF2" s="30">
        <v>32</v>
      </c>
      <c r="AG2" s="30">
        <v>33</v>
      </c>
      <c r="AH2" s="30">
        <v>34</v>
      </c>
      <c r="AI2" s="30">
        <v>35</v>
      </c>
      <c r="AJ2" s="30">
        <v>36</v>
      </c>
      <c r="AK2" s="30">
        <v>37</v>
      </c>
      <c r="AL2" s="30">
        <v>38</v>
      </c>
      <c r="AM2" s="30">
        <v>39</v>
      </c>
      <c r="AN2" s="30">
        <v>40</v>
      </c>
      <c r="AO2" s="30">
        <v>41</v>
      </c>
      <c r="AP2" s="30">
        <v>42</v>
      </c>
      <c r="AQ2" s="30">
        <v>43</v>
      </c>
      <c r="AR2" s="30">
        <v>44</v>
      </c>
      <c r="AS2" s="30">
        <v>45</v>
      </c>
      <c r="AT2" s="30">
        <v>46</v>
      </c>
      <c r="AU2" s="30">
        <v>47</v>
      </c>
      <c r="AV2" s="30">
        <v>48</v>
      </c>
      <c r="AW2" s="30">
        <v>49</v>
      </c>
      <c r="AX2" s="30">
        <v>50</v>
      </c>
      <c r="AY2" s="30">
        <v>51</v>
      </c>
      <c r="AZ2" s="30">
        <v>52</v>
      </c>
      <c r="BA2" s="30">
        <v>53</v>
      </c>
      <c r="BB2" s="30">
        <v>54</v>
      </c>
      <c r="BC2" s="30">
        <v>55</v>
      </c>
      <c r="BD2" s="30">
        <v>56</v>
      </c>
      <c r="BE2" s="30">
        <v>57</v>
      </c>
      <c r="BF2" s="30">
        <v>58</v>
      </c>
      <c r="BG2" s="30">
        <v>59</v>
      </c>
    </row>
    <row r="3" spans="1:59">
      <c r="A3" s="4" t="s">
        <v>54</v>
      </c>
      <c r="B3" s="13" t="s">
        <v>93</v>
      </c>
      <c r="C3" s="4"/>
      <c r="D3" s="13" t="s">
        <v>93</v>
      </c>
      <c r="E3" s="200"/>
      <c r="F3" s="1" t="s">
        <v>93</v>
      </c>
      <c r="G3" s="1"/>
      <c r="H3" s="13" t="s">
        <v>93</v>
      </c>
      <c r="I3" s="4"/>
      <c r="J3" s="1" t="s">
        <v>93</v>
      </c>
      <c r="K3" s="1"/>
      <c r="L3" s="13" t="s">
        <v>94</v>
      </c>
      <c r="M3" s="4"/>
      <c r="N3" s="1" t="s">
        <v>93</v>
      </c>
      <c r="O3" s="1"/>
      <c r="P3" s="13" t="s">
        <v>95</v>
      </c>
      <c r="Q3" s="4"/>
      <c r="R3" s="1" t="s">
        <v>96</v>
      </c>
      <c r="S3" s="1"/>
      <c r="T3" s="13" t="s">
        <v>96</v>
      </c>
      <c r="U3" s="4"/>
      <c r="V3" s="13" t="s">
        <v>97</v>
      </c>
      <c r="W3" s="4"/>
      <c r="X3" s="1" t="s">
        <v>67</v>
      </c>
      <c r="Y3" s="1"/>
      <c r="Z3" s="1"/>
      <c r="AA3" s="1"/>
      <c r="AB3" s="1"/>
      <c r="AC3" s="1"/>
      <c r="AD3" s="13" t="s">
        <v>98</v>
      </c>
      <c r="AE3" s="1"/>
      <c r="AF3" s="1"/>
      <c r="AG3" s="1"/>
      <c r="AH3" s="13" t="s">
        <v>99</v>
      </c>
      <c r="AI3" s="1"/>
      <c r="AJ3" s="1"/>
      <c r="AK3" s="200"/>
      <c r="AL3" s="160" t="s">
        <v>100</v>
      </c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1" t="s">
        <v>69</v>
      </c>
      <c r="AY3" s="162"/>
      <c r="AZ3" s="162"/>
      <c r="BA3" s="162"/>
      <c r="BB3" s="162"/>
      <c r="BC3" s="162"/>
      <c r="BD3" s="13" t="s">
        <v>101</v>
      </c>
      <c r="BE3" s="1"/>
      <c r="BF3" s="1"/>
      <c r="BG3" s="4"/>
    </row>
    <row r="4" spans="1:59">
      <c r="A4" s="5" t="s">
        <v>102</v>
      </c>
      <c r="B4" s="163" t="s">
        <v>103</v>
      </c>
      <c r="C4" s="14"/>
      <c r="D4" s="163" t="s">
        <v>104</v>
      </c>
      <c r="E4" s="201"/>
      <c r="F4" s="2" t="s">
        <v>105</v>
      </c>
      <c r="G4" s="2"/>
      <c r="H4" s="163" t="s">
        <v>106</v>
      </c>
      <c r="I4" s="14"/>
      <c r="J4" s="2" t="s">
        <v>107</v>
      </c>
      <c r="K4" s="2"/>
      <c r="L4" s="163" t="s">
        <v>108</v>
      </c>
      <c r="M4" s="14"/>
      <c r="N4" s="2" t="s">
        <v>109</v>
      </c>
      <c r="O4" s="2"/>
      <c r="P4" s="163" t="s">
        <v>110</v>
      </c>
      <c r="Q4" s="14"/>
      <c r="R4" s="2" t="s">
        <v>111</v>
      </c>
      <c r="S4" s="2"/>
      <c r="T4" s="163" t="s">
        <v>112</v>
      </c>
      <c r="U4" s="14"/>
      <c r="V4" s="163" t="s">
        <v>113</v>
      </c>
      <c r="W4" s="14"/>
      <c r="X4" s="7" t="s">
        <v>75</v>
      </c>
      <c r="Y4" s="7" t="s">
        <v>76</v>
      </c>
      <c r="Z4" s="7" t="s">
        <v>77</v>
      </c>
      <c r="AA4" s="7" t="s">
        <v>78</v>
      </c>
      <c r="AB4" s="7" t="s">
        <v>79</v>
      </c>
      <c r="AC4" s="7" t="s">
        <v>80</v>
      </c>
      <c r="AD4" s="17" t="s">
        <v>81</v>
      </c>
      <c r="AE4" s="7" t="s">
        <v>82</v>
      </c>
      <c r="AF4" s="7" t="s">
        <v>83</v>
      </c>
      <c r="AG4" s="7" t="s">
        <v>84</v>
      </c>
      <c r="AH4" s="17" t="s">
        <v>81</v>
      </c>
      <c r="AI4" s="7" t="s">
        <v>82</v>
      </c>
      <c r="AJ4" s="7" t="s">
        <v>83</v>
      </c>
      <c r="AK4" s="203" t="s">
        <v>84</v>
      </c>
      <c r="AL4" s="164" t="s">
        <v>81</v>
      </c>
      <c r="AM4" s="164"/>
      <c r="AN4" s="164"/>
      <c r="AO4" s="164"/>
      <c r="AP4" s="164"/>
      <c r="AQ4" s="164"/>
      <c r="AR4" s="111" t="s">
        <v>82</v>
      </c>
      <c r="AS4" s="111"/>
      <c r="AT4" s="111" t="s">
        <v>83</v>
      </c>
      <c r="AU4" s="111"/>
      <c r="AV4" s="111" t="s">
        <v>114</v>
      </c>
      <c r="AW4" s="111"/>
      <c r="AX4" s="17" t="s">
        <v>85</v>
      </c>
      <c r="AY4" s="124" t="s">
        <v>86</v>
      </c>
      <c r="AZ4" s="124" t="s">
        <v>87</v>
      </c>
      <c r="BA4" s="124" t="s">
        <v>88</v>
      </c>
      <c r="BB4" s="124" t="s">
        <v>89</v>
      </c>
      <c r="BC4" s="7" t="s">
        <v>90</v>
      </c>
      <c r="BD4" s="17" t="s">
        <v>115</v>
      </c>
      <c r="BE4" s="7">
        <v>51.39</v>
      </c>
      <c r="BF4" s="7" t="s">
        <v>116</v>
      </c>
      <c r="BG4" s="5">
        <v>68.8</v>
      </c>
    </row>
    <row r="5" spans="1:59">
      <c r="A5" s="6">
        <f>운전실적_원본!A5</f>
        <v>45657</v>
      </c>
      <c r="B5" s="15">
        <f>운전실적_원본!B5</f>
        <v>3486</v>
      </c>
      <c r="C5" s="16"/>
      <c r="D5" s="9">
        <f>운전실적_원본!C5</f>
        <v>226260</v>
      </c>
      <c r="E5" s="199"/>
      <c r="F5" s="9">
        <f>운전실적_원본!D5</f>
        <v>220542</v>
      </c>
      <c r="G5" s="16"/>
      <c r="H5" s="15">
        <f>운전실적_원본!E5</f>
        <v>13810</v>
      </c>
      <c r="I5" s="16"/>
      <c r="J5" s="15">
        <f>운전실적_원본!E5</f>
        <v>13810</v>
      </c>
      <c r="K5" s="16"/>
      <c r="L5" s="15">
        <f>운전실적_원본!G5</f>
        <v>3741.5</v>
      </c>
      <c r="M5" s="16"/>
      <c r="N5" s="15">
        <f>운전실적_원본!H5</f>
        <v>3667</v>
      </c>
      <c r="O5" s="16"/>
      <c r="P5" s="15">
        <f>운전실적_원본!I5</f>
        <v>241771</v>
      </c>
      <c r="Q5" s="16"/>
      <c r="R5" s="18">
        <f>운전실적_원본!J5</f>
        <v>30.97</v>
      </c>
      <c r="S5" s="19"/>
      <c r="T5" s="18">
        <f>운전실적_원본!K5</f>
        <v>30.167000000000002</v>
      </c>
      <c r="U5" s="19"/>
      <c r="V5" s="12">
        <f>운전실적_원본!L5</f>
        <v>0</v>
      </c>
      <c r="W5" s="199"/>
      <c r="X5" s="10">
        <f>운전실적_원본!M5</f>
        <v>8660.2999999999993</v>
      </c>
      <c r="Y5" s="10">
        <f>운전실적_원본!N5</f>
        <v>0</v>
      </c>
      <c r="Z5" s="10">
        <f>운전실적_원본!O5</f>
        <v>0</v>
      </c>
      <c r="AA5" s="10">
        <f>운전실적_원본!P5</f>
        <v>0</v>
      </c>
      <c r="AB5" s="10">
        <f>운전실적_원본!Q5</f>
        <v>0</v>
      </c>
      <c r="AC5" s="10">
        <f>운전실적_원본!R5</f>
        <v>0</v>
      </c>
      <c r="AD5" s="181">
        <f>운전실적_원본!S5</f>
        <v>2</v>
      </c>
      <c r="AE5" s="181">
        <f>운전실적_원본!T5</f>
        <v>0</v>
      </c>
      <c r="AF5" s="181">
        <f>운전실적_원본!U5</f>
        <v>0</v>
      </c>
      <c r="AG5" s="181">
        <f>운전실적_원본!V5</f>
        <v>0</v>
      </c>
      <c r="AH5" s="108">
        <f>((AM5-AL5)+(AO5-AN5)+(AQ5-AP5))*24</f>
        <v>0</v>
      </c>
      <c r="AI5" s="109">
        <f>(AS5-AR5)*24</f>
        <v>0</v>
      </c>
      <c r="AJ5" s="107">
        <f>(AU5-AT5)*24</f>
        <v>0</v>
      </c>
      <c r="AK5" s="204">
        <f>(AW5-AV5)*24</f>
        <v>0</v>
      </c>
      <c r="AL5" s="102"/>
      <c r="AM5" s="102"/>
      <c r="AN5" s="103"/>
      <c r="AO5" s="102"/>
      <c r="AP5" s="102"/>
      <c r="AQ5" s="104"/>
      <c r="AR5" s="103"/>
      <c r="AS5" s="103"/>
      <c r="AT5" s="101"/>
      <c r="AU5" s="101"/>
      <c r="AV5" s="101"/>
      <c r="AW5" s="101"/>
      <c r="AX5" s="32">
        <f>운전실적_원본!W5</f>
        <v>56.3</v>
      </c>
      <c r="AY5" s="198">
        <f>운전실적_원본!X5</f>
        <v>0</v>
      </c>
      <c r="AZ5" s="198">
        <f>운전실적_원본!Y5</f>
        <v>0</v>
      </c>
      <c r="BA5" s="198">
        <f>운전실적_원본!Z5</f>
        <v>0</v>
      </c>
      <c r="BB5" s="198">
        <f>운전실적_원본!AA5</f>
        <v>0</v>
      </c>
      <c r="BC5" s="198">
        <f>운전실적_원본!AB5</f>
        <v>56.3</v>
      </c>
      <c r="BD5" s="32" t="str">
        <f>IFERROR(AX5/AD6,"-")</f>
        <v>-</v>
      </c>
      <c r="BE5" s="11" t="str">
        <f>IFERROR(BD5/$BE$4,"-")</f>
        <v>-</v>
      </c>
      <c r="BF5" s="11" t="str">
        <f>IFERROR(BB5/AE6,"-")</f>
        <v>-</v>
      </c>
      <c r="BG5" s="119" t="str">
        <f t="shared" ref="BG5:BG68" si="0">IFERROR(BF5/$BG$4,"-")</f>
        <v>-</v>
      </c>
    </row>
    <row r="6" spans="1:59">
      <c r="A6" s="6">
        <f>A5+1</f>
        <v>45658</v>
      </c>
      <c r="B6" s="15">
        <f>운전실적_원본!B6</f>
        <v>3536</v>
      </c>
      <c r="C6" s="16">
        <f>B6-B5</f>
        <v>50</v>
      </c>
      <c r="D6" s="9">
        <f>운전실적_원본!C6</f>
        <v>226305</v>
      </c>
      <c r="E6" s="199">
        <f>D6-D5</f>
        <v>45</v>
      </c>
      <c r="F6" s="9">
        <f>운전실적_원본!D6</f>
        <v>220548</v>
      </c>
      <c r="G6" s="16">
        <f>F6-F5</f>
        <v>6</v>
      </c>
      <c r="H6" s="15">
        <f>운전실적_원본!E6</f>
        <v>13811</v>
      </c>
      <c r="I6" s="16">
        <f>H6-H5</f>
        <v>1</v>
      </c>
      <c r="J6" s="15">
        <f>운전실적_원본!E6</f>
        <v>13811</v>
      </c>
      <c r="K6" s="16">
        <f>J6-J5</f>
        <v>1</v>
      </c>
      <c r="L6" s="15">
        <f>운전실적_원본!G6</f>
        <v>3742.4</v>
      </c>
      <c r="M6" s="31">
        <f>L6-L5</f>
        <v>0.90000000000009095</v>
      </c>
      <c r="N6" s="15">
        <f>운전실적_원본!H6</f>
        <v>3739</v>
      </c>
      <c r="O6" s="16">
        <f>N6-N5</f>
        <v>72</v>
      </c>
      <c r="P6" s="15">
        <f>운전실적_원본!I6</f>
        <v>241878</v>
      </c>
      <c r="Q6" s="16">
        <f>P6-P5</f>
        <v>107</v>
      </c>
      <c r="R6" s="18">
        <f>운전실적_원본!J6</f>
        <v>30.74</v>
      </c>
      <c r="S6" s="19">
        <f>R6-R5</f>
        <v>-0.23000000000000043</v>
      </c>
      <c r="T6" s="18">
        <f>운전실적_원본!K6</f>
        <v>30.15</v>
      </c>
      <c r="U6" s="19">
        <f>T6-T5</f>
        <v>-1.7000000000003013E-2</v>
      </c>
      <c r="V6" s="12">
        <f>운전실적_원본!L6</f>
        <v>0</v>
      </c>
      <c r="W6" s="16">
        <f>V6-V5</f>
        <v>0</v>
      </c>
      <c r="X6" s="10">
        <f>운전실적_원본!M6</f>
        <v>0</v>
      </c>
      <c r="Y6" s="10">
        <f>운전실적_원본!N6</f>
        <v>0</v>
      </c>
      <c r="Z6" s="10">
        <f>운전실적_원본!O6</f>
        <v>0</v>
      </c>
      <c r="AA6" s="10">
        <f>운전실적_원본!P6</f>
        <v>0</v>
      </c>
      <c r="AB6" s="10">
        <f>운전실적_원본!Q6</f>
        <v>0</v>
      </c>
      <c r="AC6" s="10">
        <f>운전실적_원본!R6</f>
        <v>0</v>
      </c>
      <c r="AD6" s="181">
        <f>운전실적_원본!S6</f>
        <v>0</v>
      </c>
      <c r="AE6" s="181">
        <f>운전실적_원본!T6</f>
        <v>0</v>
      </c>
      <c r="AF6" s="181">
        <f>운전실적_원본!U6</f>
        <v>0</v>
      </c>
      <c r="AG6" s="181">
        <f>운전실적_원본!V6</f>
        <v>0</v>
      </c>
      <c r="AH6" s="106">
        <f t="shared" ref="AH6:AH69" si="1">((AM6-AL6)+(AO6-AN6)+(AQ6-AP6))*24</f>
        <v>8.7500000000582077</v>
      </c>
      <c r="AI6" s="110">
        <f>(AS6-AR6)*24</f>
        <v>0</v>
      </c>
      <c r="AJ6" s="107">
        <f>(AU6-AT6)*24</f>
        <v>0</v>
      </c>
      <c r="AK6" s="204">
        <f>(AW6-AV6)*24</f>
        <v>0</v>
      </c>
      <c r="AL6" s="103">
        <v>45658</v>
      </c>
      <c r="AM6" s="103">
        <v>45658.083333333336</v>
      </c>
      <c r="AN6" s="103">
        <v>45658.71875</v>
      </c>
      <c r="AO6" s="103">
        <f>AL7</f>
        <v>45659</v>
      </c>
      <c r="AP6" s="103"/>
      <c r="AQ6" s="105"/>
      <c r="AT6" s="101"/>
      <c r="AU6" s="101"/>
      <c r="AV6" s="101"/>
      <c r="AW6" s="101"/>
      <c r="AX6" s="32">
        <f>운전실적_원본!W6</f>
        <v>0</v>
      </c>
      <c r="AY6" s="198">
        <f>운전실적_원본!X6</f>
        <v>0</v>
      </c>
      <c r="AZ6" s="198">
        <f>운전실적_원본!Y6</f>
        <v>0</v>
      </c>
      <c r="BA6" s="198">
        <f>운전실적_원본!Z6</f>
        <v>0</v>
      </c>
      <c r="BB6" s="198">
        <f>운전실적_원본!AA6</f>
        <v>0</v>
      </c>
      <c r="BC6" s="198">
        <f>운전실적_원본!AB6</f>
        <v>0</v>
      </c>
      <c r="BD6" s="32" t="str">
        <f>IFERROR(AX6/#REF!,"-")</f>
        <v>-</v>
      </c>
      <c r="BE6" s="11" t="str">
        <f t="shared" ref="BE6:BE69" si="2">IFERROR(BD6/$BE$4,"-")</f>
        <v>-</v>
      </c>
      <c r="BF6" s="11" t="str">
        <f>IFERROR(BB6/#REF!,"-")</f>
        <v>-</v>
      </c>
      <c r="BG6" s="31" t="str">
        <f t="shared" si="0"/>
        <v>-</v>
      </c>
    </row>
    <row r="7" spans="1:59">
      <c r="A7" s="6">
        <f t="shared" ref="A7:A70" si="3">A6+1</f>
        <v>45659</v>
      </c>
      <c r="B7" s="15">
        <f>운전실적_원본!B7</f>
        <v>3564</v>
      </c>
      <c r="C7" s="16">
        <f t="shared" ref="C7:E38" si="4">B7-B6</f>
        <v>28</v>
      </c>
      <c r="D7" s="9">
        <f>운전실적_원본!C7</f>
        <v>226331</v>
      </c>
      <c r="E7" s="199">
        <f t="shared" si="4"/>
        <v>26</v>
      </c>
      <c r="F7" s="9">
        <f>운전실적_원본!D7</f>
        <v>220692</v>
      </c>
      <c r="G7" s="16">
        <f t="shared" ref="G7" si="5">F7-F6</f>
        <v>144</v>
      </c>
      <c r="H7" s="15">
        <f>운전실적_원본!E7</f>
        <v>13816</v>
      </c>
      <c r="I7" s="16">
        <f t="shared" ref="I7" si="6">H7-H6</f>
        <v>5</v>
      </c>
      <c r="J7" s="15">
        <f>운전실적_원본!E7</f>
        <v>13816</v>
      </c>
      <c r="K7" s="16">
        <f t="shared" ref="K7" si="7">J7-J6</f>
        <v>5</v>
      </c>
      <c r="L7" s="15">
        <f>운전실적_원본!G7</f>
        <v>3743.2</v>
      </c>
      <c r="M7" s="31">
        <f t="shared" ref="M7" si="8">L7-L6</f>
        <v>0.79999999999972715</v>
      </c>
      <c r="N7" s="15">
        <f>운전실적_원본!H7</f>
        <v>3859</v>
      </c>
      <c r="O7" s="16">
        <f t="shared" ref="O7" si="9">N7-N6</f>
        <v>120</v>
      </c>
      <c r="P7" s="15">
        <f>운전실적_원본!I7</f>
        <v>242123</v>
      </c>
      <c r="Q7" s="16">
        <f t="shared" ref="Q7" si="10">P7-P6</f>
        <v>245</v>
      </c>
      <c r="R7" s="18">
        <f>운전실적_원본!J7</f>
        <v>30.63</v>
      </c>
      <c r="S7" s="19">
        <f t="shared" ref="S7" si="11">R7-R6</f>
        <v>-0.10999999999999943</v>
      </c>
      <c r="T7" s="18">
        <f>운전실적_원본!K7</f>
        <v>30.04</v>
      </c>
      <c r="U7" s="19">
        <f t="shared" ref="U7" si="12">T7-T6</f>
        <v>-0.10999999999999943</v>
      </c>
      <c r="V7" s="12">
        <f>운전실적_원본!L7</f>
        <v>0</v>
      </c>
      <c r="W7" s="16">
        <f t="shared" ref="W7" si="13">V7-V6</f>
        <v>0</v>
      </c>
      <c r="X7" s="10">
        <f>운전실적_원본!M7</f>
        <v>0</v>
      </c>
      <c r="Y7" s="10">
        <f>운전실적_원본!N7</f>
        <v>0</v>
      </c>
      <c r="Z7" s="10">
        <f>운전실적_원본!O7</f>
        <v>0</v>
      </c>
      <c r="AA7" s="10">
        <f>운전실적_원본!P7</f>
        <v>0</v>
      </c>
      <c r="AB7" s="10">
        <f>운전실적_원본!Q7</f>
        <v>0</v>
      </c>
      <c r="AC7" s="10">
        <f>운전실적_원본!R7</f>
        <v>0</v>
      </c>
      <c r="AD7" s="181">
        <f>운전실적_원본!S7</f>
        <v>0</v>
      </c>
      <c r="AE7" s="181">
        <f>운전실적_원본!T7</f>
        <v>0</v>
      </c>
      <c r="AF7" s="181">
        <f>운전실적_원본!U7</f>
        <v>0</v>
      </c>
      <c r="AG7" s="181">
        <f>운전실적_원본!V7</f>
        <v>0</v>
      </c>
      <c r="AH7" s="106">
        <f>((AM7-AL7)+(AO7-AN7)+(AQ7-AP7))*24</f>
        <v>2.0000000000582077</v>
      </c>
      <c r="AI7" s="107">
        <f t="shared" ref="AI7:AI18" si="14">(AS7-AR7)*24</f>
        <v>0</v>
      </c>
      <c r="AJ7" s="107">
        <f t="shared" ref="AJ7:AJ70" si="15">(AU7-AT7)*24</f>
        <v>0</v>
      </c>
      <c r="AK7" s="204">
        <f t="shared" ref="AK7:AK70" si="16">(AW7-AV7)*24</f>
        <v>0</v>
      </c>
      <c r="AL7" s="103">
        <v>45659</v>
      </c>
      <c r="AM7" s="103">
        <v>45659.083333333336</v>
      </c>
      <c r="AN7" s="103"/>
      <c r="AO7" s="103"/>
      <c r="AP7" s="103"/>
      <c r="AQ7" s="105"/>
      <c r="AR7" s="103"/>
      <c r="AS7" s="103"/>
      <c r="AT7" s="101"/>
      <c r="AU7" s="101"/>
      <c r="AV7" s="101"/>
      <c r="AW7" s="101"/>
      <c r="AX7" s="32">
        <f>운전실적_원본!W7</f>
        <v>0</v>
      </c>
      <c r="AY7" s="198">
        <f>운전실적_원본!X7</f>
        <v>0</v>
      </c>
      <c r="AZ7" s="198">
        <f>운전실적_원본!Y7</f>
        <v>0</v>
      </c>
      <c r="BA7" s="198">
        <f>운전실적_원본!Z7</f>
        <v>0</v>
      </c>
      <c r="BB7" s="198">
        <f>운전실적_원본!AA7</f>
        <v>0</v>
      </c>
      <c r="BC7" s="198">
        <f>운전실적_원본!AB7</f>
        <v>0</v>
      </c>
      <c r="BD7" s="32" t="str">
        <f t="shared" ref="BD7:BD68" si="17">IFERROR(AX7/AD7,"-")</f>
        <v>-</v>
      </c>
      <c r="BE7" s="11" t="str">
        <f t="shared" si="2"/>
        <v>-</v>
      </c>
      <c r="BF7" s="11" t="str">
        <f t="shared" ref="BF7:BF26" si="18">IFERROR(BB7/AE7,"-")</f>
        <v>-</v>
      </c>
      <c r="BG7" s="31" t="str">
        <f t="shared" si="0"/>
        <v>-</v>
      </c>
    </row>
    <row r="8" spans="1:59">
      <c r="A8" s="6">
        <f t="shared" si="3"/>
        <v>45660</v>
      </c>
      <c r="B8" s="15">
        <f>운전실적_원본!B8</f>
        <v>3592</v>
      </c>
      <c r="C8" s="16">
        <f t="shared" si="4"/>
        <v>28</v>
      </c>
      <c r="D8" s="9">
        <f>운전실적_원본!C8</f>
        <v>226467</v>
      </c>
      <c r="E8" s="199">
        <f t="shared" si="4"/>
        <v>136</v>
      </c>
      <c r="F8" s="9">
        <f>운전실적_원본!D8</f>
        <v>220716</v>
      </c>
      <c r="G8" s="16">
        <f t="shared" ref="G8" si="19">F8-F7</f>
        <v>24</v>
      </c>
      <c r="H8" s="15">
        <f>운전실적_원본!E8</f>
        <v>13821</v>
      </c>
      <c r="I8" s="16">
        <f t="shared" ref="I8" si="20">H8-H7</f>
        <v>5</v>
      </c>
      <c r="J8" s="15">
        <f>운전실적_원본!E8</f>
        <v>13821</v>
      </c>
      <c r="K8" s="16">
        <f t="shared" ref="K8" si="21">J8-J7</f>
        <v>5</v>
      </c>
      <c r="L8" s="15">
        <f>운전실적_원본!G8</f>
        <v>3743.9</v>
      </c>
      <c r="M8" s="31">
        <f t="shared" ref="M8" si="22">L8-L7</f>
        <v>0.70000000000027285</v>
      </c>
      <c r="N8" s="15">
        <f>운전실적_원본!H8</f>
        <v>3943</v>
      </c>
      <c r="O8" s="16">
        <f t="shared" ref="O8" si="23">N8-N7</f>
        <v>84</v>
      </c>
      <c r="P8" s="15">
        <f>운전실적_원본!I8</f>
        <v>242322</v>
      </c>
      <c r="Q8" s="16">
        <f t="shared" ref="Q8" si="24">P8-P7</f>
        <v>199</v>
      </c>
      <c r="R8" s="18">
        <f>운전실적_원본!J8</f>
        <v>30.82</v>
      </c>
      <c r="S8" s="19">
        <f t="shared" ref="S8" si="25">R8-R7</f>
        <v>0.19000000000000128</v>
      </c>
      <c r="T8" s="18">
        <f>운전실적_원본!K8</f>
        <v>30.15</v>
      </c>
      <c r="U8" s="19">
        <f t="shared" ref="U8" si="26">T8-T7</f>
        <v>0.10999999999999943</v>
      </c>
      <c r="V8" s="12">
        <f>운전실적_원본!L8</f>
        <v>0</v>
      </c>
      <c r="W8" s="16">
        <f t="shared" ref="W8" si="27">V8-V7</f>
        <v>0</v>
      </c>
      <c r="X8" s="10">
        <f>운전실적_원본!M8</f>
        <v>0</v>
      </c>
      <c r="Y8" s="10">
        <f>운전실적_원본!N8</f>
        <v>0</v>
      </c>
      <c r="Z8" s="10">
        <f>운전실적_원본!O8</f>
        <v>0</v>
      </c>
      <c r="AA8" s="10">
        <f>운전실적_원본!P8</f>
        <v>0</v>
      </c>
      <c r="AB8" s="10">
        <f>운전실적_원본!Q8</f>
        <v>0</v>
      </c>
      <c r="AC8" s="10">
        <f>운전실적_원본!R8</f>
        <v>0</v>
      </c>
      <c r="AD8" s="181">
        <f>운전실적_원본!S8</f>
        <v>0</v>
      </c>
      <c r="AE8" s="181">
        <f>운전실적_원본!T8</f>
        <v>0</v>
      </c>
      <c r="AF8" s="181">
        <f>운전실적_원본!U8</f>
        <v>0</v>
      </c>
      <c r="AG8" s="181">
        <f>운전실적_원본!V8</f>
        <v>0</v>
      </c>
      <c r="AH8" s="106">
        <f t="shared" ref="AH8:AH9" si="28">((AM8-AL8)+(AO8-AN8)+(AQ8-AP8))*24</f>
        <v>0</v>
      </c>
      <c r="AI8" s="110">
        <f t="shared" si="14"/>
        <v>0</v>
      </c>
      <c r="AJ8" s="107">
        <f t="shared" si="15"/>
        <v>0</v>
      </c>
      <c r="AK8" s="204">
        <f t="shared" si="16"/>
        <v>0</v>
      </c>
      <c r="AL8" s="103"/>
      <c r="AM8" s="103"/>
      <c r="AN8" s="103"/>
      <c r="AO8" s="103"/>
      <c r="AP8" s="103"/>
      <c r="AQ8" s="105"/>
      <c r="AR8" s="103"/>
      <c r="AS8" s="103"/>
      <c r="AT8" s="101"/>
      <c r="AU8" s="101"/>
      <c r="AV8" s="101"/>
      <c r="AW8" s="101"/>
      <c r="AX8" s="32">
        <f>운전실적_원본!W8</f>
        <v>0</v>
      </c>
      <c r="AY8" s="198">
        <f>운전실적_원본!X8</f>
        <v>0</v>
      </c>
      <c r="AZ8" s="198">
        <f>운전실적_원본!Y8</f>
        <v>0</v>
      </c>
      <c r="BA8" s="198">
        <f>운전실적_원본!Z8</f>
        <v>0</v>
      </c>
      <c r="BB8" s="198">
        <f>운전실적_원본!AA8</f>
        <v>0</v>
      </c>
      <c r="BC8" s="198">
        <f>운전실적_원본!AB8</f>
        <v>0</v>
      </c>
      <c r="BD8" s="32" t="str">
        <f t="shared" si="17"/>
        <v>-</v>
      </c>
      <c r="BE8" s="11" t="str">
        <f t="shared" si="2"/>
        <v>-</v>
      </c>
      <c r="BF8" s="11" t="str">
        <f t="shared" si="18"/>
        <v>-</v>
      </c>
      <c r="BG8" s="31" t="str">
        <f t="shared" si="0"/>
        <v>-</v>
      </c>
    </row>
    <row r="9" spans="1:59">
      <c r="A9" s="6">
        <f t="shared" si="3"/>
        <v>45661</v>
      </c>
      <c r="B9" s="15">
        <f>운전실적_원본!B9</f>
        <v>3605</v>
      </c>
      <c r="C9" s="16">
        <f t="shared" si="4"/>
        <v>13</v>
      </c>
      <c r="D9" s="9">
        <f>운전실적_원본!C9</f>
        <v>226467</v>
      </c>
      <c r="E9" s="199">
        <f t="shared" si="4"/>
        <v>0</v>
      </c>
      <c r="F9" s="9">
        <f>운전실적_원본!D9</f>
        <v>220797</v>
      </c>
      <c r="G9" s="16">
        <f t="shared" ref="G9" si="29">F9-F8</f>
        <v>81</v>
      </c>
      <c r="H9" s="15">
        <f>운전실적_원본!E9</f>
        <v>13822</v>
      </c>
      <c r="I9" s="16">
        <f t="shared" ref="I9" si="30">H9-H8</f>
        <v>1</v>
      </c>
      <c r="J9" s="15">
        <f>운전실적_원본!E9</f>
        <v>13822</v>
      </c>
      <c r="K9" s="16">
        <f t="shared" ref="K9" si="31">J9-J8</f>
        <v>1</v>
      </c>
      <c r="L9" s="15">
        <f>운전실적_원본!G9</f>
        <v>3744.5</v>
      </c>
      <c r="M9" s="31">
        <f t="shared" ref="M9" si="32">L9-L8</f>
        <v>0.59999999999990905</v>
      </c>
      <c r="N9" s="15">
        <f>운전실적_원본!H9</f>
        <v>3981</v>
      </c>
      <c r="O9" s="16">
        <f t="shared" ref="O9" si="33">N9-N8</f>
        <v>38</v>
      </c>
      <c r="P9" s="15">
        <f>운전실적_원본!I9</f>
        <v>242472</v>
      </c>
      <c r="Q9" s="16">
        <f t="shared" ref="Q9" si="34">P9-P8</f>
        <v>150</v>
      </c>
      <c r="R9" s="18">
        <f>운전실적_원본!J9</f>
        <v>30.52</v>
      </c>
      <c r="S9" s="19">
        <f t="shared" ref="S9" si="35">R9-R8</f>
        <v>-0.30000000000000071</v>
      </c>
      <c r="T9" s="18">
        <f>운전실적_원본!K9</f>
        <v>30.19</v>
      </c>
      <c r="U9" s="19">
        <f t="shared" ref="U9" si="36">T9-T8</f>
        <v>4.00000000000027E-2</v>
      </c>
      <c r="V9" s="12">
        <f>운전실적_원본!L9</f>
        <v>0</v>
      </c>
      <c r="W9" s="16">
        <f t="shared" ref="W9" si="37">V9-V8</f>
        <v>0</v>
      </c>
      <c r="X9" s="10">
        <f>운전실적_원본!M9</f>
        <v>74419.7</v>
      </c>
      <c r="Y9" s="10">
        <f>운전실적_원본!N9</f>
        <v>0</v>
      </c>
      <c r="Z9" s="10">
        <f>운전실적_원본!O9</f>
        <v>0</v>
      </c>
      <c r="AA9" s="10">
        <f>운전실적_원본!P9</f>
        <v>0</v>
      </c>
      <c r="AB9" s="10">
        <f>운전실적_원본!Q9</f>
        <v>0</v>
      </c>
      <c r="AC9" s="10">
        <f>운전실적_원본!R9</f>
        <v>0</v>
      </c>
      <c r="AD9" s="181">
        <f>운전실적_원본!S9</f>
        <v>14</v>
      </c>
      <c r="AE9" s="181">
        <f>운전실적_원본!T9</f>
        <v>0</v>
      </c>
      <c r="AF9" s="181">
        <f>운전실적_원본!U9</f>
        <v>0</v>
      </c>
      <c r="AG9" s="181">
        <f>운전실적_원본!V9</f>
        <v>0</v>
      </c>
      <c r="AH9" s="106">
        <f t="shared" si="28"/>
        <v>13.666666666686069</v>
      </c>
      <c r="AI9" s="107">
        <f t="shared" si="14"/>
        <v>0</v>
      </c>
      <c r="AJ9" s="107">
        <f t="shared" si="15"/>
        <v>0</v>
      </c>
      <c r="AK9" s="204">
        <f t="shared" si="16"/>
        <v>14.2</v>
      </c>
      <c r="AL9" s="103">
        <v>45661.430555555555</v>
      </c>
      <c r="AM9" s="103">
        <v>45662</v>
      </c>
      <c r="AN9" s="103"/>
      <c r="AO9" s="103"/>
      <c r="AP9" s="103"/>
      <c r="AQ9" s="105"/>
      <c r="AR9" s="103"/>
      <c r="AS9" s="103"/>
      <c r="AT9" s="101"/>
      <c r="AU9" s="101"/>
      <c r="AV9" s="101">
        <v>3.8194444444444448E-2</v>
      </c>
      <c r="AW9" s="101">
        <v>0.62986111111111109</v>
      </c>
      <c r="AX9" s="32">
        <f>운전실적_원본!W9</f>
        <v>465</v>
      </c>
      <c r="AY9" s="198">
        <f>운전실적_원본!X9</f>
        <v>0</v>
      </c>
      <c r="AZ9" s="198">
        <f>운전실적_원본!Y9</f>
        <v>0</v>
      </c>
      <c r="BA9" s="198">
        <f>운전실적_원본!Z9</f>
        <v>0</v>
      </c>
      <c r="BB9" s="198">
        <f>운전실적_원본!AA9</f>
        <v>0</v>
      </c>
      <c r="BC9" s="198">
        <f>운전실적_원본!AB9</f>
        <v>465</v>
      </c>
      <c r="BD9" s="32">
        <f t="shared" si="17"/>
        <v>33.214285714285715</v>
      </c>
      <c r="BE9" s="11">
        <f t="shared" si="2"/>
        <v>0.64631807188724877</v>
      </c>
      <c r="BF9" s="11" t="str">
        <f t="shared" si="18"/>
        <v>-</v>
      </c>
      <c r="BG9" s="31" t="str">
        <f t="shared" si="0"/>
        <v>-</v>
      </c>
    </row>
    <row r="10" spans="1:59">
      <c r="A10" s="6">
        <f t="shared" si="3"/>
        <v>45662</v>
      </c>
      <c r="B10" s="15">
        <f>운전실적_원본!B10</f>
        <v>3619</v>
      </c>
      <c r="C10" s="16">
        <f t="shared" si="4"/>
        <v>14</v>
      </c>
      <c r="D10" s="9">
        <f>운전실적_원본!C10</f>
        <v>226526</v>
      </c>
      <c r="E10" s="199">
        <f t="shared" si="4"/>
        <v>59</v>
      </c>
      <c r="F10" s="9">
        <f>운전실적_원본!D10</f>
        <v>220881</v>
      </c>
      <c r="G10" s="16">
        <f t="shared" ref="G10" si="38">F10-F9</f>
        <v>84</v>
      </c>
      <c r="H10" s="15">
        <f>운전실적_원본!E10</f>
        <v>13824</v>
      </c>
      <c r="I10" s="16">
        <f t="shared" ref="I10" si="39">H10-H9</f>
        <v>2</v>
      </c>
      <c r="J10" s="15">
        <f>운전실적_원본!E10</f>
        <v>13824</v>
      </c>
      <c r="K10" s="16">
        <f t="shared" ref="K10" si="40">J10-J9</f>
        <v>2</v>
      </c>
      <c r="L10" s="15">
        <f>운전실적_원본!G10</f>
        <v>3745.1</v>
      </c>
      <c r="M10" s="31">
        <f t="shared" ref="M10" si="41">L10-L9</f>
        <v>0.59999999999990905</v>
      </c>
      <c r="N10" s="15">
        <f>운전실적_원본!H10</f>
        <v>4035</v>
      </c>
      <c r="O10" s="16">
        <f t="shared" ref="O10" si="42">N10-N9</f>
        <v>54</v>
      </c>
      <c r="P10" s="15">
        <f>운전실적_원본!I10</f>
        <v>242667</v>
      </c>
      <c r="Q10" s="16">
        <f t="shared" ref="Q10" si="43">P10-P9</f>
        <v>195</v>
      </c>
      <c r="R10" s="18">
        <f>운전실적_원본!J10</f>
        <v>30.46</v>
      </c>
      <c r="S10" s="19">
        <f t="shared" ref="S10" si="44">R10-R9</f>
        <v>-5.9999999999998721E-2</v>
      </c>
      <c r="T10" s="18">
        <f>운전실적_원본!K10</f>
        <v>30.14</v>
      </c>
      <c r="U10" s="19">
        <f t="shared" ref="U10" si="45">T10-T9</f>
        <v>-5.0000000000000711E-2</v>
      </c>
      <c r="V10" s="12">
        <f>운전실적_원본!L10</f>
        <v>0</v>
      </c>
      <c r="W10" s="16">
        <f t="shared" ref="W10" si="46">V10-V9</f>
        <v>0</v>
      </c>
      <c r="X10" s="10">
        <f>운전실적_원본!M10</f>
        <v>0</v>
      </c>
      <c r="Y10" s="10">
        <f>운전실적_원본!N10</f>
        <v>0</v>
      </c>
      <c r="Z10" s="10">
        <f>운전실적_원본!O10</f>
        <v>0</v>
      </c>
      <c r="AA10" s="10">
        <f>운전실적_원본!P10</f>
        <v>90259.6</v>
      </c>
      <c r="AB10" s="10">
        <f>운전실적_원본!Q10</f>
        <v>0</v>
      </c>
      <c r="AC10" s="10">
        <f>운전실적_원본!R10</f>
        <v>90259.6</v>
      </c>
      <c r="AD10" s="181">
        <f>운전실적_원본!S10</f>
        <v>0</v>
      </c>
      <c r="AE10" s="181">
        <f>운전실적_원본!T10</f>
        <v>0</v>
      </c>
      <c r="AF10" s="181">
        <f>운전실적_원본!U10</f>
        <v>0</v>
      </c>
      <c r="AG10" s="181">
        <f>운전실적_원본!V10</f>
        <v>14</v>
      </c>
      <c r="AH10" s="106">
        <f t="shared" si="1"/>
        <v>0</v>
      </c>
      <c r="AI10" s="107">
        <f t="shared" si="14"/>
        <v>0</v>
      </c>
      <c r="AJ10" s="107">
        <f t="shared" si="15"/>
        <v>0</v>
      </c>
      <c r="AK10" s="204">
        <f t="shared" si="16"/>
        <v>0</v>
      </c>
      <c r="AL10" s="103"/>
      <c r="AM10" s="103"/>
      <c r="AN10" s="103"/>
      <c r="AO10" s="103"/>
      <c r="AP10" s="103"/>
      <c r="AQ10" s="105"/>
      <c r="AR10" s="103"/>
      <c r="AS10" s="103"/>
      <c r="AT10" s="101"/>
      <c r="AU10" s="101"/>
      <c r="AV10" s="101"/>
      <c r="AW10" s="101"/>
      <c r="AX10" s="32">
        <f>운전실적_원본!W10</f>
        <v>0</v>
      </c>
      <c r="AY10" s="198">
        <f>운전실적_원본!X10</f>
        <v>0</v>
      </c>
      <c r="AZ10" s="198">
        <f>운전실적_원본!Y10</f>
        <v>0</v>
      </c>
      <c r="BA10" s="198">
        <f>운전실적_원본!Z10</f>
        <v>805</v>
      </c>
      <c r="BB10" s="198">
        <f>운전실적_원본!AA10</f>
        <v>805</v>
      </c>
      <c r="BC10" s="198">
        <f>운전실적_원본!AB10</f>
        <v>805</v>
      </c>
      <c r="BD10" s="32" t="str">
        <f t="shared" si="17"/>
        <v>-</v>
      </c>
      <c r="BE10" s="11" t="str">
        <f t="shared" si="2"/>
        <v>-</v>
      </c>
      <c r="BF10" s="11" t="str">
        <f t="shared" si="18"/>
        <v>-</v>
      </c>
      <c r="BG10" s="31" t="str">
        <f t="shared" si="0"/>
        <v>-</v>
      </c>
    </row>
    <row r="11" spans="1:59">
      <c r="A11" s="6">
        <f t="shared" si="3"/>
        <v>45663</v>
      </c>
      <c r="B11" s="15">
        <f>운전실적_원본!B11</f>
        <v>3647</v>
      </c>
      <c r="C11" s="16">
        <f t="shared" si="4"/>
        <v>28</v>
      </c>
      <c r="D11" s="9">
        <f>운전실적_원본!C11</f>
        <v>226620</v>
      </c>
      <c r="E11" s="199">
        <f t="shared" si="4"/>
        <v>94</v>
      </c>
      <c r="F11" s="9">
        <f>운전실적_원본!D11</f>
        <v>220940</v>
      </c>
      <c r="G11" s="16">
        <f t="shared" ref="G11" si="47">F11-F10</f>
        <v>59</v>
      </c>
      <c r="H11" s="15">
        <f>운전실적_원본!E11</f>
        <v>13829</v>
      </c>
      <c r="I11" s="16">
        <f t="shared" ref="I11" si="48">H11-H10</f>
        <v>5</v>
      </c>
      <c r="J11" s="15">
        <f>운전실적_원본!E11</f>
        <v>13829</v>
      </c>
      <c r="K11" s="16">
        <f t="shared" ref="K11" si="49">J11-J10</f>
        <v>5</v>
      </c>
      <c r="L11" s="15">
        <f>운전실적_원본!G11</f>
        <v>3745.7</v>
      </c>
      <c r="M11" s="31">
        <f t="shared" ref="M11" si="50">L11-L10</f>
        <v>0.59999999999990905</v>
      </c>
      <c r="N11" s="15">
        <f>운전실적_원본!H11</f>
        <v>4081</v>
      </c>
      <c r="O11" s="16">
        <f t="shared" ref="O11" si="51">N11-N10</f>
        <v>46</v>
      </c>
      <c r="P11" s="15">
        <f>운전실적_원본!I11</f>
        <v>242867</v>
      </c>
      <c r="Q11" s="16">
        <f t="shared" ref="Q11" si="52">P11-P10</f>
        <v>200</v>
      </c>
      <c r="R11" s="18">
        <f>운전실적_원본!J11</f>
        <v>30.38</v>
      </c>
      <c r="S11" s="19">
        <f t="shared" ref="S11" si="53">R11-R10</f>
        <v>-8.0000000000001847E-2</v>
      </c>
      <c r="T11" s="18">
        <f>운전실적_원본!K11</f>
        <v>30.12</v>
      </c>
      <c r="U11" s="19">
        <f t="shared" ref="U11" si="54">T11-T10</f>
        <v>-1.9999999999999574E-2</v>
      </c>
      <c r="V11" s="12">
        <f>운전실적_원본!L11</f>
        <v>0</v>
      </c>
      <c r="W11" s="16">
        <f t="shared" ref="W11" si="55">V11-V10</f>
        <v>0</v>
      </c>
      <c r="X11" s="10">
        <f>운전실적_원본!M11</f>
        <v>0</v>
      </c>
      <c r="Y11" s="10">
        <f>운전실적_원본!N11</f>
        <v>0</v>
      </c>
      <c r="Z11" s="10">
        <f>운전실적_원본!O11</f>
        <v>0</v>
      </c>
      <c r="AA11" s="10">
        <f>운전실적_원본!P11</f>
        <v>0</v>
      </c>
      <c r="AB11" s="10">
        <f>운전실적_원본!Q11</f>
        <v>0</v>
      </c>
      <c r="AC11" s="10">
        <f>운전실적_원본!R11</f>
        <v>0</v>
      </c>
      <c r="AD11" s="181">
        <f>운전실적_원본!S11</f>
        <v>0</v>
      </c>
      <c r="AE11" s="181">
        <f>운전실적_원본!T11</f>
        <v>0</v>
      </c>
      <c r="AF11" s="181">
        <f>운전실적_원본!U11</f>
        <v>0</v>
      </c>
      <c r="AG11" s="181">
        <f>운전실적_원본!V11</f>
        <v>0</v>
      </c>
      <c r="AH11" s="106">
        <f t="shared" si="1"/>
        <v>0</v>
      </c>
      <c r="AI11" s="107">
        <f t="shared" si="14"/>
        <v>0</v>
      </c>
      <c r="AJ11" s="107">
        <f t="shared" si="15"/>
        <v>0</v>
      </c>
      <c r="AK11" s="204">
        <f t="shared" si="16"/>
        <v>0</v>
      </c>
      <c r="AL11" s="103"/>
      <c r="AM11" s="103"/>
      <c r="AN11" s="103"/>
      <c r="AO11" s="103"/>
      <c r="AP11" s="103"/>
      <c r="AQ11" s="105"/>
      <c r="AR11" s="103"/>
      <c r="AS11" s="103"/>
      <c r="AT11" s="101"/>
      <c r="AU11" s="101"/>
      <c r="AV11" s="101"/>
      <c r="AW11" s="101"/>
      <c r="AX11" s="32">
        <f>운전실적_원본!W11</f>
        <v>0</v>
      </c>
      <c r="AY11" s="198">
        <f>운전실적_원본!X11</f>
        <v>0</v>
      </c>
      <c r="AZ11" s="198">
        <f>운전실적_원본!Y11</f>
        <v>0</v>
      </c>
      <c r="BA11" s="198">
        <f>운전실적_원본!Z11</f>
        <v>0</v>
      </c>
      <c r="BB11" s="198">
        <f>운전실적_원본!AA11</f>
        <v>0</v>
      </c>
      <c r="BC11" s="198">
        <f>운전실적_원본!AB11</f>
        <v>0</v>
      </c>
      <c r="BD11" s="32" t="str">
        <f t="shared" si="17"/>
        <v>-</v>
      </c>
      <c r="BE11" s="11" t="str">
        <f t="shared" si="2"/>
        <v>-</v>
      </c>
      <c r="BF11" s="11" t="str">
        <f t="shared" si="18"/>
        <v>-</v>
      </c>
      <c r="BG11" s="31" t="str">
        <f t="shared" si="0"/>
        <v>-</v>
      </c>
    </row>
    <row r="12" spans="1:59">
      <c r="A12" s="6">
        <f t="shared" si="3"/>
        <v>45664</v>
      </c>
      <c r="B12" s="15">
        <f>운전실적_원본!B12</f>
        <v>3654</v>
      </c>
      <c r="C12" s="16">
        <f t="shared" si="4"/>
        <v>7</v>
      </c>
      <c r="D12" s="9">
        <f>운전실적_원본!C12</f>
        <v>226639</v>
      </c>
      <c r="E12" s="199">
        <f t="shared" si="4"/>
        <v>19</v>
      </c>
      <c r="F12" s="9">
        <f>운전실적_원본!D12</f>
        <v>221040</v>
      </c>
      <c r="G12" s="16">
        <f t="shared" ref="G12" si="56">F12-F11</f>
        <v>100</v>
      </c>
      <c r="H12" s="15">
        <f>운전실적_원본!E12</f>
        <v>13833</v>
      </c>
      <c r="I12" s="16">
        <f t="shared" ref="I12" si="57">H12-H11</f>
        <v>4</v>
      </c>
      <c r="J12" s="15">
        <f>운전실적_원본!E12</f>
        <v>13833</v>
      </c>
      <c r="K12" s="16">
        <f t="shared" ref="K12" si="58">J12-J11</f>
        <v>4</v>
      </c>
      <c r="L12" s="15">
        <f>운전실적_원본!G12</f>
        <v>3746.5</v>
      </c>
      <c r="M12" s="31">
        <f t="shared" ref="M12" si="59">L12-L11</f>
        <v>0.8000000000001819</v>
      </c>
      <c r="N12" s="15">
        <f>운전실적_원본!H12</f>
        <v>4204</v>
      </c>
      <c r="O12" s="16">
        <f t="shared" ref="O12" si="60">N12-N11</f>
        <v>123</v>
      </c>
      <c r="P12" s="15">
        <f>운전실적_원본!I12</f>
        <v>243036</v>
      </c>
      <c r="Q12" s="16">
        <f t="shared" ref="Q12" si="61">P12-P11</f>
        <v>169</v>
      </c>
      <c r="R12" s="18">
        <f>운전실적_원본!J12</f>
        <v>30.7</v>
      </c>
      <c r="S12" s="19">
        <f t="shared" ref="S12" si="62">R12-R11</f>
        <v>0.32000000000000028</v>
      </c>
      <c r="T12" s="18">
        <f>운전실적_원본!K12</f>
        <v>30.04</v>
      </c>
      <c r="U12" s="19">
        <f t="shared" ref="U12" si="63">T12-T11</f>
        <v>-8.0000000000001847E-2</v>
      </c>
      <c r="V12" s="12">
        <f>운전실적_원본!L12</f>
        <v>0</v>
      </c>
      <c r="W12" s="16">
        <f t="shared" ref="W12" si="64">V12-V11</f>
        <v>0</v>
      </c>
      <c r="X12" s="10">
        <f>운전실적_원본!M12</f>
        <v>160135.40000000224</v>
      </c>
      <c r="Y12" s="10">
        <f>운전실적_원본!N12</f>
        <v>0</v>
      </c>
      <c r="Z12" s="10">
        <f>운전실적_원본!O12</f>
        <v>0</v>
      </c>
      <c r="AA12" s="10">
        <f>운전실적_원본!P12</f>
        <v>0</v>
      </c>
      <c r="AB12" s="10">
        <f>운전실적_원본!Q12</f>
        <v>0</v>
      </c>
      <c r="AC12" s="10">
        <f>운전실적_원본!R12</f>
        <v>0</v>
      </c>
      <c r="AD12" s="181">
        <f>운전실적_원본!S12</f>
        <v>23</v>
      </c>
      <c r="AE12" s="181">
        <f>운전실적_원본!T12</f>
        <v>0</v>
      </c>
      <c r="AF12" s="181">
        <f>운전실적_원본!U12</f>
        <v>0</v>
      </c>
      <c r="AG12" s="181">
        <f>운전실적_원본!V12</f>
        <v>0</v>
      </c>
      <c r="AH12" s="106">
        <f t="shared" si="1"/>
        <v>23.25</v>
      </c>
      <c r="AI12" s="107">
        <f t="shared" si="14"/>
        <v>0</v>
      </c>
      <c r="AJ12" s="107">
        <f t="shared" si="15"/>
        <v>0</v>
      </c>
      <c r="AK12" s="204">
        <f t="shared" si="16"/>
        <v>0</v>
      </c>
      <c r="AL12" s="103">
        <v>45664.03125</v>
      </c>
      <c r="AM12" s="103">
        <v>45665</v>
      </c>
      <c r="AN12" s="103"/>
      <c r="AO12" s="103"/>
      <c r="AP12" s="103"/>
      <c r="AQ12" s="105"/>
      <c r="AR12" s="103"/>
      <c r="AS12" s="103"/>
      <c r="AT12" s="101"/>
      <c r="AU12" s="101"/>
      <c r="AV12" s="101"/>
      <c r="AW12" s="101"/>
      <c r="AX12" s="32">
        <f>운전실적_원본!W12</f>
        <v>1020</v>
      </c>
      <c r="AY12" s="198">
        <f>운전실적_원본!X12</f>
        <v>0</v>
      </c>
      <c r="AZ12" s="198">
        <f>운전실적_원본!Y12</f>
        <v>0</v>
      </c>
      <c r="BA12" s="198">
        <f>운전실적_원본!Z12</f>
        <v>0</v>
      </c>
      <c r="BB12" s="198">
        <f>운전실적_원본!AA12</f>
        <v>0</v>
      </c>
      <c r="BC12" s="198">
        <f>운전실적_원본!AB12</f>
        <v>1020</v>
      </c>
      <c r="BD12" s="32">
        <f t="shared" si="17"/>
        <v>44.347826086956523</v>
      </c>
      <c r="BE12" s="11">
        <f t="shared" si="2"/>
        <v>0.86296606512855656</v>
      </c>
      <c r="BF12" s="11" t="str">
        <f t="shared" si="18"/>
        <v>-</v>
      </c>
      <c r="BG12" s="31" t="str">
        <f t="shared" si="0"/>
        <v>-</v>
      </c>
    </row>
    <row r="13" spans="1:59">
      <c r="A13" s="6">
        <f t="shared" si="3"/>
        <v>45665</v>
      </c>
      <c r="B13" s="15">
        <f>운전실적_원본!B13</f>
        <v>3685</v>
      </c>
      <c r="C13" s="16">
        <f t="shared" si="4"/>
        <v>31</v>
      </c>
      <c r="D13" s="9">
        <f>운전실적_원본!C13</f>
        <v>226756</v>
      </c>
      <c r="E13" s="199">
        <f t="shared" si="4"/>
        <v>117</v>
      </c>
      <c r="F13" s="9">
        <f>운전실적_원본!D13</f>
        <v>221163</v>
      </c>
      <c r="G13" s="16">
        <f t="shared" ref="G13" si="65">F13-F12</f>
        <v>123</v>
      </c>
      <c r="H13" s="15">
        <f>운전실적_원본!E13</f>
        <v>13837</v>
      </c>
      <c r="I13" s="16">
        <f t="shared" ref="I13" si="66">H13-H12</f>
        <v>4</v>
      </c>
      <c r="J13" s="15">
        <f>운전실적_원본!E13</f>
        <v>13837</v>
      </c>
      <c r="K13" s="16">
        <f t="shared" ref="K13" si="67">J13-J12</f>
        <v>4</v>
      </c>
      <c r="L13" s="15">
        <f>운전실적_원본!G13</f>
        <v>3747.7</v>
      </c>
      <c r="M13" s="31">
        <f t="shared" ref="M13" si="68">L13-L12</f>
        <v>1.1999999999998181</v>
      </c>
      <c r="N13" s="15">
        <f>운전실적_원본!H13</f>
        <v>4326</v>
      </c>
      <c r="O13" s="16">
        <f t="shared" ref="O13" si="69">N13-N12</f>
        <v>122</v>
      </c>
      <c r="P13" s="15">
        <f>운전실적_원본!I13</f>
        <v>243372</v>
      </c>
      <c r="Q13" s="16">
        <f t="shared" ref="Q13" si="70">P13-P12</f>
        <v>336</v>
      </c>
      <c r="R13" s="18">
        <f>운전실적_원본!J13</f>
        <v>30.3</v>
      </c>
      <c r="S13" s="19">
        <f t="shared" ref="S13" si="71">R13-R12</f>
        <v>-0.39999999999999858</v>
      </c>
      <c r="T13" s="18">
        <f>운전실적_원본!K13</f>
        <v>29.9</v>
      </c>
      <c r="U13" s="19">
        <f t="shared" ref="U13" si="72">T13-T12</f>
        <v>-0.14000000000000057</v>
      </c>
      <c r="V13" s="12">
        <f>운전실적_원본!L13</f>
        <v>0</v>
      </c>
      <c r="W13" s="16">
        <f t="shared" ref="W13" si="73">V13-V12</f>
        <v>0</v>
      </c>
      <c r="X13" s="10">
        <f>운전실적_원본!M13</f>
        <v>99420.9</v>
      </c>
      <c r="Y13" s="10">
        <f>운전실적_원본!N13</f>
        <v>0</v>
      </c>
      <c r="Z13" s="10">
        <f>운전실적_원본!O13</f>
        <v>0</v>
      </c>
      <c r="AA13" s="10">
        <f>운전실적_원본!P13</f>
        <v>0</v>
      </c>
      <c r="AB13" s="10">
        <f>운전실적_원본!Q13</f>
        <v>0</v>
      </c>
      <c r="AC13" s="10">
        <f>운전실적_원본!R13</f>
        <v>0</v>
      </c>
      <c r="AD13" s="181">
        <f>운전실적_원본!S13</f>
        <v>16</v>
      </c>
      <c r="AE13" s="181">
        <f>운전실적_원본!T13</f>
        <v>0</v>
      </c>
      <c r="AF13" s="181">
        <f>운전실적_원본!U13</f>
        <v>0</v>
      </c>
      <c r="AG13" s="181">
        <f>운전실적_원본!V13</f>
        <v>0</v>
      </c>
      <c r="AH13" s="106">
        <f t="shared" si="1"/>
        <v>16.083333333372138</v>
      </c>
      <c r="AI13" s="107">
        <f t="shared" si="14"/>
        <v>0</v>
      </c>
      <c r="AJ13" s="107">
        <f t="shared" si="15"/>
        <v>0</v>
      </c>
      <c r="AK13" s="204">
        <f t="shared" si="16"/>
        <v>0</v>
      </c>
      <c r="AL13" s="103">
        <v>45665</v>
      </c>
      <c r="AM13" s="103">
        <v>45665.524305555555</v>
      </c>
      <c r="AN13" s="103">
        <v>45665.854166666664</v>
      </c>
      <c r="AO13" s="103">
        <f>AL14</f>
        <v>45666</v>
      </c>
      <c r="AP13" s="103"/>
      <c r="AQ13" s="105"/>
      <c r="AR13" s="103"/>
      <c r="AS13" s="103"/>
      <c r="AT13" s="101"/>
      <c r="AU13" s="101"/>
      <c r="AV13" s="101"/>
      <c r="AW13" s="101"/>
      <c r="AX13" s="32">
        <f>운전실적_원본!W13</f>
        <v>651</v>
      </c>
      <c r="AY13" s="198">
        <f>운전실적_원본!X13</f>
        <v>0</v>
      </c>
      <c r="AZ13" s="198">
        <f>운전실적_원본!Y13</f>
        <v>0</v>
      </c>
      <c r="BA13" s="198">
        <f>운전실적_원본!Z13</f>
        <v>0</v>
      </c>
      <c r="BB13" s="198">
        <f>운전실적_원본!AA13</f>
        <v>0</v>
      </c>
      <c r="BC13" s="198">
        <f>운전실적_원본!AB13</f>
        <v>651</v>
      </c>
      <c r="BD13" s="32">
        <f t="shared" si="17"/>
        <v>40.6875</v>
      </c>
      <c r="BE13" s="11">
        <f t="shared" si="2"/>
        <v>0.79173963806187975</v>
      </c>
      <c r="BF13" s="11" t="str">
        <f t="shared" si="18"/>
        <v>-</v>
      </c>
      <c r="BG13" s="31" t="str">
        <f t="shared" si="0"/>
        <v>-</v>
      </c>
    </row>
    <row r="14" spans="1:59">
      <c r="A14" s="6">
        <f t="shared" si="3"/>
        <v>45666</v>
      </c>
      <c r="B14" s="15">
        <f>운전실적_원본!B14</f>
        <v>3717</v>
      </c>
      <c r="C14" s="16">
        <f t="shared" si="4"/>
        <v>32</v>
      </c>
      <c r="D14" s="9">
        <f>운전실적_원본!C14</f>
        <v>226917</v>
      </c>
      <c r="E14" s="199">
        <f t="shared" si="4"/>
        <v>161</v>
      </c>
      <c r="F14" s="9">
        <f>운전실적_원본!D14</f>
        <v>221196</v>
      </c>
      <c r="G14" s="16">
        <f t="shared" ref="G14" si="74">F14-F13</f>
        <v>33</v>
      </c>
      <c r="H14" s="15">
        <f>운전실적_원본!E14</f>
        <v>13841</v>
      </c>
      <c r="I14" s="16">
        <f t="shared" ref="I14" si="75">H14-H13</f>
        <v>4</v>
      </c>
      <c r="J14" s="15">
        <f>운전실적_원본!E14</f>
        <v>13841</v>
      </c>
      <c r="K14" s="16">
        <f t="shared" ref="K14" si="76">J14-J13</f>
        <v>4</v>
      </c>
      <c r="L14" s="15">
        <f>운전실적_원본!G14</f>
        <v>3748.7</v>
      </c>
      <c r="M14" s="31">
        <f t="shared" ref="M14" si="77">L14-L13</f>
        <v>1</v>
      </c>
      <c r="N14" s="15">
        <f>운전실적_원본!H14</f>
        <v>4448</v>
      </c>
      <c r="O14" s="16">
        <f t="shared" ref="O14" si="78">N14-N13</f>
        <v>122</v>
      </c>
      <c r="P14" s="15">
        <f>운전실적_원본!I14</f>
        <v>243617</v>
      </c>
      <c r="Q14" s="16">
        <f t="shared" ref="Q14" si="79">P14-P13</f>
        <v>245</v>
      </c>
      <c r="R14" s="18">
        <f>운전실적_원본!J14</f>
        <v>30.3</v>
      </c>
      <c r="S14" s="19">
        <f t="shared" ref="S14" si="80">R14-R13</f>
        <v>0</v>
      </c>
      <c r="T14" s="18">
        <f>운전실적_원본!K14</f>
        <v>29.925000000000001</v>
      </c>
      <c r="U14" s="19">
        <f t="shared" ref="U14" si="81">T14-T13</f>
        <v>2.5000000000002132E-2</v>
      </c>
      <c r="V14" s="12">
        <f>운전실적_원본!L14</f>
        <v>0</v>
      </c>
      <c r="W14" s="16">
        <f t="shared" ref="W14" si="82">V14-V13</f>
        <v>0</v>
      </c>
      <c r="X14" s="10">
        <f>운전실적_원본!M14</f>
        <v>195590.1</v>
      </c>
      <c r="Y14" s="10">
        <f>운전실적_원본!N14</f>
        <v>0</v>
      </c>
      <c r="Z14" s="10">
        <f>운전실적_원본!O14</f>
        <v>0</v>
      </c>
      <c r="AA14" s="10">
        <f>운전실적_원본!P14</f>
        <v>31637.4</v>
      </c>
      <c r="AB14" s="10">
        <f>운전실적_원본!Q14</f>
        <v>0</v>
      </c>
      <c r="AC14" s="10">
        <f>운전실적_원본!R14</f>
        <v>31637.4</v>
      </c>
      <c r="AD14" s="181">
        <f>운전실적_원본!S14</f>
        <v>24</v>
      </c>
      <c r="AE14" s="181">
        <f>운전실적_원본!T14</f>
        <v>0</v>
      </c>
      <c r="AF14" s="181">
        <f>운전실적_원본!U14</f>
        <v>0</v>
      </c>
      <c r="AG14" s="181">
        <f>운전실적_원본!V14</f>
        <v>8.5</v>
      </c>
      <c r="AH14" s="106">
        <f t="shared" si="1"/>
        <v>24</v>
      </c>
      <c r="AI14" s="107">
        <f t="shared" si="14"/>
        <v>0</v>
      </c>
      <c r="AJ14" s="107">
        <f t="shared" si="15"/>
        <v>0</v>
      </c>
      <c r="AK14" s="204">
        <f t="shared" si="16"/>
        <v>8.9166666666666661</v>
      </c>
      <c r="AL14" s="103">
        <v>45666</v>
      </c>
      <c r="AM14" s="103">
        <f>AL15</f>
        <v>45667</v>
      </c>
      <c r="AN14" s="103"/>
      <c r="AO14" s="103"/>
      <c r="AP14" s="103"/>
      <c r="AQ14" s="105"/>
      <c r="AR14" s="103"/>
      <c r="AS14" s="103"/>
      <c r="AT14" s="101"/>
      <c r="AU14" s="101"/>
      <c r="AV14" s="101">
        <v>0.2361111111111111</v>
      </c>
      <c r="AW14" s="101">
        <v>0.60763888888888884</v>
      </c>
      <c r="AX14" s="32">
        <f>운전실적_원본!W14</f>
        <v>1246.2</v>
      </c>
      <c r="AY14" s="198">
        <f>운전실적_원본!X14</f>
        <v>0</v>
      </c>
      <c r="AZ14" s="198">
        <f>운전실적_원본!Y14</f>
        <v>0</v>
      </c>
      <c r="BA14" s="198">
        <f>운전실적_원본!Z14</f>
        <v>281</v>
      </c>
      <c r="BB14" s="198">
        <f>운전실적_원본!AA14</f>
        <v>281</v>
      </c>
      <c r="BC14" s="198">
        <f>운전실적_원본!AB14</f>
        <v>1527.2</v>
      </c>
      <c r="BD14" s="32">
        <f t="shared" si="17"/>
        <v>51.925000000000004</v>
      </c>
      <c r="BE14" s="11">
        <f t="shared" si="2"/>
        <v>1.0104105857170655</v>
      </c>
      <c r="BF14" s="11" t="str">
        <f t="shared" si="18"/>
        <v>-</v>
      </c>
      <c r="BG14" s="31" t="str">
        <f t="shared" si="0"/>
        <v>-</v>
      </c>
    </row>
    <row r="15" spans="1:59">
      <c r="A15" s="6">
        <f t="shared" si="3"/>
        <v>45667</v>
      </c>
      <c r="B15" s="15">
        <f>운전실적_원본!B15</f>
        <v>3750</v>
      </c>
      <c r="C15" s="16">
        <f t="shared" si="4"/>
        <v>33</v>
      </c>
      <c r="D15" s="9">
        <f>운전실적_원본!C15</f>
        <v>226942</v>
      </c>
      <c r="E15" s="199">
        <f t="shared" si="4"/>
        <v>25</v>
      </c>
      <c r="F15" s="9">
        <f>운전실적_원본!D15</f>
        <v>221360</v>
      </c>
      <c r="G15" s="16">
        <f t="shared" ref="G15" si="83">F15-F14</f>
        <v>164</v>
      </c>
      <c r="H15" s="15">
        <f>운전실적_원본!E15</f>
        <v>13845</v>
      </c>
      <c r="I15" s="16">
        <f t="shared" ref="I15" si="84">H15-H14</f>
        <v>4</v>
      </c>
      <c r="J15" s="15">
        <f>운전실적_원본!E15</f>
        <v>13845</v>
      </c>
      <c r="K15" s="16">
        <f t="shared" ref="K15" si="85">J15-J14</f>
        <v>4</v>
      </c>
      <c r="L15" s="15">
        <f>운전실적_원본!G15</f>
        <v>3749.7</v>
      </c>
      <c r="M15" s="31">
        <f t="shared" ref="M15" si="86">L15-L14</f>
        <v>1</v>
      </c>
      <c r="N15" s="15">
        <f>운전실적_원본!H15</f>
        <v>4564</v>
      </c>
      <c r="O15" s="16">
        <f t="shared" ref="O15" si="87">N15-N14</f>
        <v>116</v>
      </c>
      <c r="P15" s="15">
        <f>운전실적_원본!I15</f>
        <v>243914</v>
      </c>
      <c r="Q15" s="16">
        <f t="shared" ref="Q15" si="88">P15-P14</f>
        <v>297</v>
      </c>
      <c r="R15" s="18">
        <f>운전실적_원본!J15</f>
        <v>30.6</v>
      </c>
      <c r="S15" s="19">
        <f t="shared" ref="S15" si="89">R15-R14</f>
        <v>0.30000000000000071</v>
      </c>
      <c r="T15" s="18">
        <f>운전실적_원본!K15</f>
        <v>29.99</v>
      </c>
      <c r="U15" s="19">
        <f t="shared" ref="U15" si="90">T15-T14</f>
        <v>6.4999999999997726E-2</v>
      </c>
      <c r="V15" s="12">
        <f>운전실적_원본!L15</f>
        <v>0</v>
      </c>
      <c r="W15" s="16">
        <f t="shared" ref="W15" si="91">V15-V14</f>
        <v>0</v>
      </c>
      <c r="X15" s="10">
        <f>운전실적_원본!M15</f>
        <v>194758.9</v>
      </c>
      <c r="Y15" s="10">
        <f>운전실적_원본!N15</f>
        <v>0</v>
      </c>
      <c r="Z15" s="10">
        <f>운전실적_원본!O15</f>
        <v>0</v>
      </c>
      <c r="AA15" s="10">
        <f>운전실적_원본!P15</f>
        <v>0</v>
      </c>
      <c r="AB15" s="10">
        <f>운전실적_원본!Q15</f>
        <v>0</v>
      </c>
      <c r="AC15" s="10">
        <f>운전실적_원본!R15</f>
        <v>0</v>
      </c>
      <c r="AD15" s="181">
        <f>운전실적_원본!S15</f>
        <v>24</v>
      </c>
      <c r="AE15" s="181">
        <f>운전실적_원본!T15</f>
        <v>0</v>
      </c>
      <c r="AF15" s="181">
        <f>운전실적_원본!U15</f>
        <v>0</v>
      </c>
      <c r="AG15" s="181">
        <f>운전실적_원본!V15</f>
        <v>0</v>
      </c>
      <c r="AH15" s="106">
        <f t="shared" si="1"/>
        <v>24</v>
      </c>
      <c r="AI15" s="107">
        <f t="shared" si="14"/>
        <v>0</v>
      </c>
      <c r="AJ15" s="107">
        <f t="shared" si="15"/>
        <v>0</v>
      </c>
      <c r="AK15" s="204">
        <f t="shared" si="16"/>
        <v>0</v>
      </c>
      <c r="AL15" s="103">
        <v>45667</v>
      </c>
      <c r="AM15" s="103">
        <f>AL16</f>
        <v>45668</v>
      </c>
      <c r="AN15" s="103"/>
      <c r="AO15" s="103"/>
      <c r="AP15" s="103"/>
      <c r="AQ15" s="105"/>
      <c r="AR15" s="103"/>
      <c r="AS15" s="103"/>
      <c r="AT15" s="101"/>
      <c r="AU15" s="101"/>
      <c r="AV15" s="101"/>
      <c r="AW15" s="101"/>
      <c r="AX15" s="32">
        <f>운전실적_원본!W15</f>
        <v>1236.8</v>
      </c>
      <c r="AY15" s="198">
        <f>운전실적_원본!X15</f>
        <v>0</v>
      </c>
      <c r="AZ15" s="198">
        <f>운전실적_원본!Y15</f>
        <v>0</v>
      </c>
      <c r="BA15" s="198">
        <f>운전실적_원본!Z15</f>
        <v>0</v>
      </c>
      <c r="BB15" s="198">
        <f>운전실적_원본!AA15</f>
        <v>0</v>
      </c>
      <c r="BC15" s="198">
        <f>운전실적_원본!AB15</f>
        <v>1236.8</v>
      </c>
      <c r="BD15" s="32">
        <f t="shared" si="17"/>
        <v>51.533333333333331</v>
      </c>
      <c r="BE15" s="11">
        <f t="shared" si="2"/>
        <v>1.0027891288836999</v>
      </c>
      <c r="BF15" s="11" t="str">
        <f t="shared" si="18"/>
        <v>-</v>
      </c>
      <c r="BG15" s="31" t="str">
        <f t="shared" si="0"/>
        <v>-</v>
      </c>
    </row>
    <row r="16" spans="1:59">
      <c r="A16" s="6">
        <f t="shared" si="3"/>
        <v>45668</v>
      </c>
      <c r="B16" s="15">
        <f>운전실적_원본!B16</f>
        <v>3782</v>
      </c>
      <c r="C16" s="16">
        <f t="shared" si="4"/>
        <v>32</v>
      </c>
      <c r="D16" s="9">
        <f>운전실적_원본!C16</f>
        <v>227056</v>
      </c>
      <c r="E16" s="199">
        <f t="shared" si="4"/>
        <v>114</v>
      </c>
      <c r="F16" s="9">
        <f>운전실적_원본!D16</f>
        <v>221408</v>
      </c>
      <c r="G16" s="16">
        <f t="shared" ref="G16" si="92">F16-F15</f>
        <v>48</v>
      </c>
      <c r="H16" s="15">
        <f>운전실적_원본!E16</f>
        <v>13846</v>
      </c>
      <c r="I16" s="16">
        <f t="shared" ref="I16" si="93">H16-H15</f>
        <v>1</v>
      </c>
      <c r="J16" s="15">
        <f>운전실적_원본!E16</f>
        <v>13846</v>
      </c>
      <c r="K16" s="16">
        <f t="shared" ref="K16" si="94">J16-J15</f>
        <v>1</v>
      </c>
      <c r="L16" s="15">
        <f>운전실적_원본!G16</f>
        <v>3750.4</v>
      </c>
      <c r="M16" s="31">
        <f t="shared" ref="M16" si="95">L16-L15</f>
        <v>0.70000000000027285</v>
      </c>
      <c r="N16" s="15">
        <f>운전실적_원본!H16</f>
        <v>4652</v>
      </c>
      <c r="O16" s="16">
        <f t="shared" ref="O16" si="96">N16-N15</f>
        <v>88</v>
      </c>
      <c r="P16" s="15">
        <f>운전실적_원본!I16</f>
        <v>244154</v>
      </c>
      <c r="Q16" s="16">
        <f t="shared" ref="Q16" si="97">P16-P15</f>
        <v>240</v>
      </c>
      <c r="R16" s="18">
        <f>운전실적_원본!J16</f>
        <v>30.44</v>
      </c>
      <c r="S16" s="19">
        <f t="shared" ref="S16" si="98">R16-R15</f>
        <v>-0.16000000000000014</v>
      </c>
      <c r="T16" s="18">
        <f>운전실적_원본!K16</f>
        <v>29.93</v>
      </c>
      <c r="U16" s="19">
        <f t="shared" ref="U16" si="99">T16-T15</f>
        <v>-5.9999999999998721E-2</v>
      </c>
      <c r="V16" s="12">
        <f>운전실적_원본!L16</f>
        <v>0</v>
      </c>
      <c r="W16" s="16">
        <f t="shared" ref="W16" si="100">V16-V15</f>
        <v>0</v>
      </c>
      <c r="X16" s="10">
        <f>운전실적_원본!M16</f>
        <v>95717</v>
      </c>
      <c r="Y16" s="10">
        <f>운전실적_원본!N16</f>
        <v>0</v>
      </c>
      <c r="Z16" s="10">
        <f>운전실적_원본!O16</f>
        <v>0</v>
      </c>
      <c r="AA16" s="10">
        <f>운전실적_원본!P16</f>
        <v>0</v>
      </c>
      <c r="AB16" s="10">
        <f>운전실적_원본!Q16</f>
        <v>0</v>
      </c>
      <c r="AC16" s="10">
        <f>운전실적_원본!R16</f>
        <v>0</v>
      </c>
      <c r="AD16" s="181">
        <f>운전실적_원본!S16</f>
        <v>12</v>
      </c>
      <c r="AE16" s="181">
        <f>운전실적_원본!T16</f>
        <v>0</v>
      </c>
      <c r="AF16" s="181">
        <f>운전실적_원본!U16</f>
        <v>0</v>
      </c>
      <c r="AG16" s="181">
        <f>운전실적_원본!V16</f>
        <v>0</v>
      </c>
      <c r="AH16" s="106">
        <f t="shared" si="1"/>
        <v>12</v>
      </c>
      <c r="AI16" s="107">
        <f t="shared" si="14"/>
        <v>0</v>
      </c>
      <c r="AJ16" s="107">
        <f t="shared" si="15"/>
        <v>0</v>
      </c>
      <c r="AK16" s="204">
        <f t="shared" si="16"/>
        <v>0</v>
      </c>
      <c r="AL16" s="103">
        <v>45668</v>
      </c>
      <c r="AM16" s="103">
        <v>45668.5</v>
      </c>
      <c r="AN16" s="103"/>
      <c r="AO16" s="103"/>
      <c r="AP16" s="103"/>
      <c r="AQ16" s="105"/>
      <c r="AR16" s="103"/>
      <c r="AS16" s="103"/>
      <c r="AT16" s="101"/>
      <c r="AU16" s="101"/>
      <c r="AV16" s="101"/>
      <c r="AW16" s="101"/>
      <c r="AX16" s="32">
        <f>운전실적_원본!W16</f>
        <v>613</v>
      </c>
      <c r="AY16" s="198">
        <f>운전실적_원본!X16</f>
        <v>0</v>
      </c>
      <c r="AZ16" s="198">
        <f>운전실적_원본!Y16</f>
        <v>0</v>
      </c>
      <c r="BA16" s="198">
        <f>운전실적_원본!Z16</f>
        <v>0</v>
      </c>
      <c r="BB16" s="198">
        <f>운전실적_원본!AA16</f>
        <v>0</v>
      </c>
      <c r="BC16" s="198">
        <f>운전실적_원본!AB16</f>
        <v>613</v>
      </c>
      <c r="BD16" s="32">
        <f t="shared" si="17"/>
        <v>51.083333333333336</v>
      </c>
      <c r="BE16" s="11">
        <f t="shared" si="2"/>
        <v>0.99403256145813068</v>
      </c>
      <c r="BF16" s="11" t="str">
        <f t="shared" si="18"/>
        <v>-</v>
      </c>
      <c r="BG16" s="31" t="str">
        <f t="shared" si="0"/>
        <v>-</v>
      </c>
    </row>
    <row r="17" spans="1:59">
      <c r="A17" s="6">
        <f t="shared" si="3"/>
        <v>45669</v>
      </c>
      <c r="B17" s="15">
        <f>운전실적_원본!B17</f>
        <v>3804</v>
      </c>
      <c r="C17" s="16">
        <f t="shared" si="4"/>
        <v>22</v>
      </c>
      <c r="D17" s="9">
        <f>운전실적_원본!C17</f>
        <v>227056</v>
      </c>
      <c r="E17" s="199">
        <f t="shared" si="4"/>
        <v>0</v>
      </c>
      <c r="F17" s="9">
        <f>운전실적_원본!D17</f>
        <v>221539</v>
      </c>
      <c r="G17" s="16">
        <f t="shared" ref="G17" si="101">F17-F16</f>
        <v>131</v>
      </c>
      <c r="H17" s="15">
        <f>운전실적_원본!E17</f>
        <v>13848</v>
      </c>
      <c r="I17" s="16">
        <f t="shared" ref="I17" si="102">H17-H16</f>
        <v>2</v>
      </c>
      <c r="J17" s="15">
        <f>운전실적_원본!E17</f>
        <v>13848</v>
      </c>
      <c r="K17" s="16">
        <f t="shared" ref="K17" si="103">J17-J16</f>
        <v>2</v>
      </c>
      <c r="L17" s="15">
        <f>운전실적_원본!G17</f>
        <v>3750.9</v>
      </c>
      <c r="M17" s="31">
        <f t="shared" ref="M17" si="104">L17-L16</f>
        <v>0.5</v>
      </c>
      <c r="N17" s="15">
        <f>운전실적_원본!H17</f>
        <v>4702</v>
      </c>
      <c r="O17" s="16">
        <f t="shared" ref="O17" si="105">N17-N16</f>
        <v>50</v>
      </c>
      <c r="P17" s="15">
        <f>운전실적_원본!I17</f>
        <v>244306</v>
      </c>
      <c r="Q17" s="16">
        <f t="shared" ref="Q17" si="106">P17-P16</f>
        <v>152</v>
      </c>
      <c r="R17" s="18">
        <f>운전실적_원본!J17</f>
        <v>30.46</v>
      </c>
      <c r="S17" s="19">
        <f t="shared" ref="S17" si="107">R17-R16</f>
        <v>1.9999999999999574E-2</v>
      </c>
      <c r="T17" s="18">
        <f>운전실적_원본!K17</f>
        <v>29.87</v>
      </c>
      <c r="U17" s="19">
        <f t="shared" ref="U17" si="108">T17-T16</f>
        <v>-5.9999999999998721E-2</v>
      </c>
      <c r="V17" s="12">
        <f>운전실적_원본!L17</f>
        <v>0</v>
      </c>
      <c r="W17" s="16">
        <f t="shared" ref="W17" si="109">V17-V16</f>
        <v>0</v>
      </c>
      <c r="X17" s="10">
        <f>운전실적_원본!M17</f>
        <v>0</v>
      </c>
      <c r="Y17" s="10">
        <f>운전실적_원본!N17</f>
        <v>0</v>
      </c>
      <c r="Z17" s="10">
        <f>운전실적_원본!O17</f>
        <v>0</v>
      </c>
      <c r="AA17" s="10">
        <f>운전실적_원본!P17</f>
        <v>0</v>
      </c>
      <c r="AB17" s="10">
        <f>운전실적_원본!Q17</f>
        <v>0</v>
      </c>
      <c r="AC17" s="10">
        <f>운전실적_원본!R17</f>
        <v>0</v>
      </c>
      <c r="AD17" s="181">
        <f>운전실적_원본!S17</f>
        <v>0</v>
      </c>
      <c r="AE17" s="181">
        <f>운전실적_원본!T17</f>
        <v>0</v>
      </c>
      <c r="AF17" s="181">
        <f>운전실적_원본!U17</f>
        <v>0</v>
      </c>
      <c r="AG17" s="181">
        <f>운전실적_원본!V17</f>
        <v>0</v>
      </c>
      <c r="AH17" s="106">
        <f t="shared" si="1"/>
        <v>0</v>
      </c>
      <c r="AI17" s="107">
        <f t="shared" si="14"/>
        <v>0</v>
      </c>
      <c r="AJ17" s="107">
        <f t="shared" si="15"/>
        <v>0</v>
      </c>
      <c r="AK17" s="204">
        <f t="shared" si="16"/>
        <v>0</v>
      </c>
      <c r="AL17" s="103"/>
      <c r="AM17" s="103"/>
      <c r="AN17" s="103"/>
      <c r="AO17" s="103"/>
      <c r="AP17" s="103"/>
      <c r="AQ17" s="105"/>
      <c r="AR17" s="103"/>
      <c r="AS17" s="103"/>
      <c r="AT17" s="101"/>
      <c r="AU17" s="101"/>
      <c r="AV17" s="101"/>
      <c r="AW17" s="101"/>
      <c r="AX17" s="32">
        <f>운전실적_원본!W17</f>
        <v>0</v>
      </c>
      <c r="AY17" s="198">
        <f>운전실적_원본!X17</f>
        <v>0</v>
      </c>
      <c r="AZ17" s="198">
        <f>운전실적_원본!Y17</f>
        <v>0</v>
      </c>
      <c r="BA17" s="198">
        <f>운전실적_원본!Z17</f>
        <v>0</v>
      </c>
      <c r="BB17" s="198">
        <f>운전실적_원본!AA17</f>
        <v>0</v>
      </c>
      <c r="BC17" s="198">
        <f>운전실적_원본!AB17</f>
        <v>0</v>
      </c>
      <c r="BD17" s="32" t="str">
        <f t="shared" si="17"/>
        <v>-</v>
      </c>
      <c r="BE17" s="11" t="str">
        <f t="shared" si="2"/>
        <v>-</v>
      </c>
      <c r="BF17" s="11" t="str">
        <f t="shared" si="18"/>
        <v>-</v>
      </c>
      <c r="BG17" s="31" t="str">
        <f t="shared" si="0"/>
        <v>-</v>
      </c>
    </row>
    <row r="18" spans="1:59">
      <c r="A18" s="6">
        <f t="shared" si="3"/>
        <v>45670</v>
      </c>
      <c r="B18" s="15">
        <f>운전실적_원본!B18</f>
        <v>3804</v>
      </c>
      <c r="C18" s="16">
        <f t="shared" si="4"/>
        <v>0</v>
      </c>
      <c r="D18" s="9">
        <f>운전실적_원본!C18</f>
        <v>227137</v>
      </c>
      <c r="E18" s="199">
        <f t="shared" si="4"/>
        <v>81</v>
      </c>
      <c r="F18" s="9">
        <f>운전실적_원본!D18</f>
        <v>221589</v>
      </c>
      <c r="G18" s="16">
        <f t="shared" ref="G18" si="110">F18-F17</f>
        <v>50</v>
      </c>
      <c r="H18" s="15">
        <f>운전실적_원본!E18</f>
        <v>13853</v>
      </c>
      <c r="I18" s="16">
        <f t="shared" ref="I18" si="111">H18-H17</f>
        <v>5</v>
      </c>
      <c r="J18" s="15">
        <f>운전실적_원본!E18</f>
        <v>13853</v>
      </c>
      <c r="K18" s="16">
        <f t="shared" ref="K18" si="112">J18-J17</f>
        <v>5</v>
      </c>
      <c r="L18" s="15">
        <f>운전실적_원본!G18</f>
        <v>3751.7</v>
      </c>
      <c r="M18" s="31">
        <f t="shared" ref="M18" si="113">L18-L17</f>
        <v>0.79999999999972715</v>
      </c>
      <c r="N18" s="15">
        <f>운전실적_원본!H18</f>
        <v>4785</v>
      </c>
      <c r="O18" s="16">
        <f t="shared" ref="O18" si="114">N18-N17</f>
        <v>83</v>
      </c>
      <c r="P18" s="15">
        <f>운전실적_원본!I18</f>
        <v>244513</v>
      </c>
      <c r="Q18" s="16">
        <f t="shared" ref="Q18" si="115">P18-P17</f>
        <v>207</v>
      </c>
      <c r="R18" s="18">
        <f>운전실적_원본!J18</f>
        <v>30.23</v>
      </c>
      <c r="S18" s="19">
        <f t="shared" ref="S18" si="116">R18-R17</f>
        <v>-0.23000000000000043</v>
      </c>
      <c r="T18" s="18">
        <f>운전실적_원본!K18</f>
        <v>29.78</v>
      </c>
      <c r="U18" s="19">
        <f t="shared" ref="U18" si="117">T18-T17</f>
        <v>-8.9999999999999858E-2</v>
      </c>
      <c r="V18" s="12">
        <f>운전실적_원본!L18</f>
        <v>0</v>
      </c>
      <c r="W18" s="16">
        <f t="shared" ref="W18" si="118">V18-V17</f>
        <v>0</v>
      </c>
      <c r="X18" s="10">
        <f>운전실적_원본!M18</f>
        <v>129103.1</v>
      </c>
      <c r="Y18" s="10">
        <f>운전실적_원본!N18</f>
        <v>0</v>
      </c>
      <c r="Z18" s="10">
        <f>운전실적_원본!O18</f>
        <v>0</v>
      </c>
      <c r="AA18" s="10">
        <f>운전실적_원본!P18</f>
        <v>0</v>
      </c>
      <c r="AB18" s="10">
        <f>운전실적_원본!Q18</f>
        <v>0</v>
      </c>
      <c r="AC18" s="10">
        <f>운전실적_원본!R18</f>
        <v>0</v>
      </c>
      <c r="AD18" s="181">
        <f>운전실적_원본!S18</f>
        <v>16</v>
      </c>
      <c r="AE18" s="181">
        <f>운전실적_원본!T18</f>
        <v>0</v>
      </c>
      <c r="AF18" s="181">
        <f>운전실적_원본!U18</f>
        <v>0</v>
      </c>
      <c r="AG18" s="181">
        <f>운전실적_원본!V18</f>
        <v>0</v>
      </c>
      <c r="AH18" s="106">
        <f t="shared" si="1"/>
        <v>18.999999999941792</v>
      </c>
      <c r="AI18" s="107">
        <f t="shared" si="14"/>
        <v>0</v>
      </c>
      <c r="AJ18" s="107">
        <f t="shared" si="15"/>
        <v>0</v>
      </c>
      <c r="AK18" s="204">
        <f t="shared" si="16"/>
        <v>0</v>
      </c>
      <c r="AL18" s="103">
        <v>45670.208333333336</v>
      </c>
      <c r="AM18" s="103">
        <f>AL19</f>
        <v>45671</v>
      </c>
      <c r="AN18" s="103"/>
      <c r="AO18" s="103"/>
      <c r="AP18" s="103"/>
      <c r="AQ18" s="105"/>
      <c r="AR18" s="103"/>
      <c r="AS18" s="103"/>
      <c r="AT18" s="101"/>
      <c r="AU18" s="101"/>
      <c r="AV18" s="101"/>
      <c r="AW18" s="101"/>
      <c r="AX18" s="32">
        <f>운전실적_원본!W18</f>
        <v>833</v>
      </c>
      <c r="AY18" s="198">
        <f>운전실적_원본!X18</f>
        <v>0</v>
      </c>
      <c r="AZ18" s="198">
        <f>운전실적_원본!Y18</f>
        <v>0</v>
      </c>
      <c r="BA18" s="198">
        <f>운전실적_원본!Z18</f>
        <v>0</v>
      </c>
      <c r="BB18" s="198">
        <f>운전실적_원본!AA18</f>
        <v>0</v>
      </c>
      <c r="BC18" s="198">
        <f>운전실적_원본!AB18</f>
        <v>833</v>
      </c>
      <c r="BD18" s="32">
        <f t="shared" si="17"/>
        <v>52.0625</v>
      </c>
      <c r="BE18" s="11">
        <f t="shared" si="2"/>
        <v>1.0130862035415451</v>
      </c>
      <c r="BF18" s="11" t="str">
        <f t="shared" si="18"/>
        <v>-</v>
      </c>
      <c r="BG18" s="31" t="str">
        <f t="shared" si="0"/>
        <v>-</v>
      </c>
    </row>
    <row r="19" spans="1:59">
      <c r="A19" s="6">
        <f t="shared" si="3"/>
        <v>45671</v>
      </c>
      <c r="B19" s="15">
        <f>운전실적_원본!B19</f>
        <v>3836</v>
      </c>
      <c r="C19" s="16">
        <f t="shared" si="4"/>
        <v>32</v>
      </c>
      <c r="D19" s="9">
        <f>운전실적_원본!C19</f>
        <v>227208</v>
      </c>
      <c r="E19" s="199">
        <f t="shared" si="4"/>
        <v>71</v>
      </c>
      <c r="F19" s="9">
        <f>운전실적_원본!D19</f>
        <v>221687</v>
      </c>
      <c r="G19" s="16">
        <f t="shared" ref="G19" si="119">F19-F18</f>
        <v>98</v>
      </c>
      <c r="H19" s="15">
        <f>운전실적_원본!E19</f>
        <v>13857</v>
      </c>
      <c r="I19" s="16">
        <f t="shared" ref="I19" si="120">H19-H18</f>
        <v>4</v>
      </c>
      <c r="J19" s="15">
        <f>운전실적_원본!E19</f>
        <v>13857</v>
      </c>
      <c r="K19" s="16">
        <f t="shared" ref="K19" si="121">J19-J18</f>
        <v>4</v>
      </c>
      <c r="L19" s="15">
        <f>운전실적_원본!G19</f>
        <v>3752.5</v>
      </c>
      <c r="M19" s="31">
        <f t="shared" ref="M19" si="122">L19-L18</f>
        <v>0.8000000000001819</v>
      </c>
      <c r="N19" s="15">
        <f>운전실적_원본!H19</f>
        <v>4881</v>
      </c>
      <c r="O19" s="16">
        <f t="shared" ref="O19" si="123">N19-N18</f>
        <v>96</v>
      </c>
      <c r="P19" s="15">
        <f>운전실적_원본!I19</f>
        <v>244776</v>
      </c>
      <c r="Q19" s="16">
        <f t="shared" ref="Q19" si="124">P19-P18</f>
        <v>263</v>
      </c>
      <c r="R19" s="18">
        <f>운전실적_원본!J19</f>
        <v>30.37</v>
      </c>
      <c r="S19" s="19">
        <f t="shared" ref="S19" si="125">R19-R18</f>
        <v>0.14000000000000057</v>
      </c>
      <c r="T19" s="18">
        <f>운전실적_원본!K19</f>
        <v>29.79</v>
      </c>
      <c r="U19" s="19">
        <f t="shared" ref="U19" si="126">T19-T18</f>
        <v>9.9999999999980105E-3</v>
      </c>
      <c r="V19" s="12">
        <f>운전실적_원본!L19</f>
        <v>0</v>
      </c>
      <c r="W19" s="16">
        <f t="shared" ref="W19" si="127">V19-V18</f>
        <v>0</v>
      </c>
      <c r="X19" s="10">
        <f>운전실적_원본!M19</f>
        <v>182837.6</v>
      </c>
      <c r="Y19" s="10">
        <f>운전실적_원본!N19</f>
        <v>0</v>
      </c>
      <c r="Z19" s="10">
        <f>운전실적_원본!O19</f>
        <v>0</v>
      </c>
      <c r="AA19" s="10">
        <f>운전실적_원본!P19</f>
        <v>0</v>
      </c>
      <c r="AB19" s="10">
        <f>운전실적_원본!Q19</f>
        <v>0</v>
      </c>
      <c r="AC19" s="10">
        <f>운전실적_원본!R19</f>
        <v>0</v>
      </c>
      <c r="AD19" s="181">
        <f>운전실적_원본!S19</f>
        <v>23</v>
      </c>
      <c r="AE19" s="181">
        <f>운전실적_원본!T19</f>
        <v>0</v>
      </c>
      <c r="AF19" s="181">
        <f>운전실적_원본!U19</f>
        <v>0</v>
      </c>
      <c r="AG19" s="181">
        <f>운전실적_원본!V19</f>
        <v>0</v>
      </c>
      <c r="AH19" s="106">
        <f t="shared" si="1"/>
        <v>22.916666666627862</v>
      </c>
      <c r="AI19" s="107">
        <f t="shared" ref="AI19:AI70" si="128">(AS19-AR19)*24</f>
        <v>0</v>
      </c>
      <c r="AJ19" s="107">
        <f t="shared" si="15"/>
        <v>0</v>
      </c>
      <c r="AK19" s="204">
        <f t="shared" si="16"/>
        <v>0</v>
      </c>
      <c r="AL19" s="103">
        <v>45671</v>
      </c>
      <c r="AM19" s="103">
        <v>45671.954861111109</v>
      </c>
      <c r="AN19" s="103"/>
      <c r="AO19" s="103"/>
      <c r="AP19" s="103"/>
      <c r="AQ19" s="105"/>
      <c r="AR19" s="103"/>
      <c r="AS19" s="103"/>
      <c r="AT19" s="101"/>
      <c r="AU19" s="101"/>
      <c r="AV19" s="101"/>
      <c r="AW19" s="101"/>
      <c r="AX19" s="32">
        <f>운전실적_원본!W19</f>
        <v>1170</v>
      </c>
      <c r="AY19" s="198">
        <f>운전실적_원본!X19</f>
        <v>0</v>
      </c>
      <c r="AZ19" s="198">
        <f>운전실적_원본!Y19</f>
        <v>0</v>
      </c>
      <c r="BA19" s="198">
        <f>운전실적_원본!Z19</f>
        <v>0</v>
      </c>
      <c r="BB19" s="198">
        <f>운전실적_원본!AA19</f>
        <v>0</v>
      </c>
      <c r="BC19" s="198">
        <f>운전실적_원본!AB19</f>
        <v>1170</v>
      </c>
      <c r="BD19" s="32">
        <f t="shared" si="17"/>
        <v>50.869565217391305</v>
      </c>
      <c r="BE19" s="11">
        <f t="shared" si="2"/>
        <v>0.98987283941216786</v>
      </c>
      <c r="BF19" s="11" t="str">
        <f t="shared" si="18"/>
        <v>-</v>
      </c>
      <c r="BG19" s="31" t="str">
        <f t="shared" si="0"/>
        <v>-</v>
      </c>
    </row>
    <row r="20" spans="1:59">
      <c r="A20" s="6">
        <f t="shared" si="3"/>
        <v>45672</v>
      </c>
      <c r="B20" s="15">
        <f>운전실적_원본!B20</f>
        <v>3868</v>
      </c>
      <c r="C20" s="16">
        <f t="shared" si="4"/>
        <v>32</v>
      </c>
      <c r="D20" s="9">
        <f>운전실적_원본!C20</f>
        <v>227340</v>
      </c>
      <c r="E20" s="199">
        <f t="shared" si="4"/>
        <v>132</v>
      </c>
      <c r="F20" s="9">
        <f>운전실적_원본!D20</f>
        <v>221752</v>
      </c>
      <c r="G20" s="16">
        <f t="shared" ref="G20" si="129">F20-F19</f>
        <v>65</v>
      </c>
      <c r="H20" s="15">
        <f>운전실적_원본!E20</f>
        <v>13861</v>
      </c>
      <c r="I20" s="16">
        <f t="shared" ref="I20" si="130">H20-H19</f>
        <v>4</v>
      </c>
      <c r="J20" s="15">
        <f>운전실적_원본!E20</f>
        <v>13861</v>
      </c>
      <c r="K20" s="16">
        <f t="shared" ref="K20" si="131">J20-J19</f>
        <v>4</v>
      </c>
      <c r="L20" s="15">
        <f>운전실적_원본!G20</f>
        <v>3753.4</v>
      </c>
      <c r="M20" s="31">
        <f t="shared" ref="M20" si="132">L20-L19</f>
        <v>0.90000000000009095</v>
      </c>
      <c r="N20" s="15">
        <f>운전실적_원본!H20</f>
        <v>4966</v>
      </c>
      <c r="O20" s="16">
        <f t="shared" ref="O20" si="133">N20-N19</f>
        <v>85</v>
      </c>
      <c r="P20" s="15">
        <f>운전실적_원본!I20</f>
        <v>245018</v>
      </c>
      <c r="Q20" s="16">
        <f t="shared" ref="Q20" si="134">P20-P19</f>
        <v>242</v>
      </c>
      <c r="R20" s="18">
        <f>운전실적_원본!J20</f>
        <v>30.32</v>
      </c>
      <c r="S20" s="19">
        <f t="shared" ref="S20" si="135">R20-R19</f>
        <v>-5.0000000000000711E-2</v>
      </c>
      <c r="T20" s="18">
        <f>운전실적_원본!K20</f>
        <v>29.78</v>
      </c>
      <c r="U20" s="19">
        <f t="shared" ref="U20" si="136">T20-T19</f>
        <v>-9.9999999999980105E-3</v>
      </c>
      <c r="V20" s="12">
        <f>운전실적_원본!L20</f>
        <v>0</v>
      </c>
      <c r="W20" s="16">
        <f t="shared" ref="W20" si="137">V20-V19</f>
        <v>0</v>
      </c>
      <c r="X20" s="10">
        <f>운전실적_원본!M20</f>
        <v>0</v>
      </c>
      <c r="Y20" s="10">
        <f>운전실적_원본!N20</f>
        <v>0</v>
      </c>
      <c r="Z20" s="10">
        <f>운전실적_원본!O20</f>
        <v>0</v>
      </c>
      <c r="AA20" s="10">
        <f>운전실적_원본!P20</f>
        <v>0</v>
      </c>
      <c r="AB20" s="10">
        <f>운전실적_원본!Q20</f>
        <v>0</v>
      </c>
      <c r="AC20" s="10">
        <f>운전실적_원본!R20</f>
        <v>0</v>
      </c>
      <c r="AD20" s="181">
        <f>운전실적_원본!S20</f>
        <v>0</v>
      </c>
      <c r="AE20" s="181">
        <f>운전실적_원본!T20</f>
        <v>0</v>
      </c>
      <c r="AF20" s="181">
        <f>운전실적_원본!U20</f>
        <v>0</v>
      </c>
      <c r="AG20" s="181">
        <f>운전실적_원본!V20</f>
        <v>0</v>
      </c>
      <c r="AH20" s="106">
        <f t="shared" si="1"/>
        <v>0</v>
      </c>
      <c r="AI20" s="107">
        <f t="shared" si="128"/>
        <v>0</v>
      </c>
      <c r="AJ20" s="107">
        <f t="shared" si="15"/>
        <v>0</v>
      </c>
      <c r="AK20" s="204">
        <f t="shared" si="16"/>
        <v>0</v>
      </c>
      <c r="AL20" s="103"/>
      <c r="AM20" s="103"/>
      <c r="AN20" s="103"/>
      <c r="AO20" s="103"/>
      <c r="AP20" s="103"/>
      <c r="AQ20" s="105"/>
      <c r="AR20" s="103"/>
      <c r="AS20" s="103"/>
      <c r="AT20" s="101"/>
      <c r="AU20" s="101"/>
      <c r="AV20" s="101"/>
      <c r="AW20" s="101"/>
      <c r="AX20" s="32">
        <f>운전실적_원본!W20</f>
        <v>0</v>
      </c>
      <c r="AY20" s="198">
        <f>운전실적_원본!X20</f>
        <v>0</v>
      </c>
      <c r="AZ20" s="198">
        <f>운전실적_원본!Y20</f>
        <v>0</v>
      </c>
      <c r="BA20" s="198">
        <f>운전실적_원본!Z20</f>
        <v>0</v>
      </c>
      <c r="BB20" s="198">
        <f>운전실적_원본!AA20</f>
        <v>0</v>
      </c>
      <c r="BC20" s="198">
        <f>운전실적_원본!AB20</f>
        <v>0</v>
      </c>
      <c r="BD20" s="32" t="str">
        <f t="shared" si="17"/>
        <v>-</v>
      </c>
      <c r="BE20" s="11" t="str">
        <f t="shared" si="2"/>
        <v>-</v>
      </c>
      <c r="BF20" s="11" t="str">
        <f t="shared" si="18"/>
        <v>-</v>
      </c>
      <c r="BG20" s="31" t="str">
        <f t="shared" si="0"/>
        <v>-</v>
      </c>
    </row>
    <row r="21" spans="1:59">
      <c r="A21" s="6">
        <f t="shared" si="3"/>
        <v>45673</v>
      </c>
      <c r="B21" s="15">
        <f>운전실적_원본!B21</f>
        <v>3897</v>
      </c>
      <c r="C21" s="16">
        <f t="shared" si="4"/>
        <v>29</v>
      </c>
      <c r="D21" s="9">
        <f>운전실적_원본!C21</f>
        <v>227462</v>
      </c>
      <c r="E21" s="199">
        <f t="shared" si="4"/>
        <v>122</v>
      </c>
      <c r="F21" s="9">
        <f>운전실적_원본!D21</f>
        <v>221834</v>
      </c>
      <c r="G21" s="16">
        <f t="shared" ref="G21" si="138">F21-F20</f>
        <v>82</v>
      </c>
      <c r="H21" s="15">
        <f>운전실적_원본!E21</f>
        <v>13865</v>
      </c>
      <c r="I21" s="16">
        <f t="shared" ref="I21" si="139">H21-H20</f>
        <v>4</v>
      </c>
      <c r="J21" s="15">
        <f>운전실적_원본!E21</f>
        <v>13865</v>
      </c>
      <c r="K21" s="16">
        <f t="shared" ref="K21" si="140">J21-J20</f>
        <v>4</v>
      </c>
      <c r="L21" s="15">
        <f>운전실적_원본!G21</f>
        <v>3754.6</v>
      </c>
      <c r="M21" s="31">
        <f t="shared" ref="M21" si="141">L21-L20</f>
        <v>1.1999999999998181</v>
      </c>
      <c r="N21" s="15">
        <f>운전실적_원본!H21</f>
        <v>5066</v>
      </c>
      <c r="O21" s="16">
        <f t="shared" ref="O21" si="142">N21-N20</f>
        <v>100</v>
      </c>
      <c r="P21" s="15">
        <f>운전실적_원본!I21</f>
        <v>245275</v>
      </c>
      <c r="Q21" s="16">
        <f t="shared" ref="Q21" si="143">P21-P20</f>
        <v>257</v>
      </c>
      <c r="R21" s="18">
        <f>운전실적_원본!J21</f>
        <v>30</v>
      </c>
      <c r="S21" s="19">
        <f t="shared" ref="S21" si="144">R21-R20</f>
        <v>-0.32000000000000028</v>
      </c>
      <c r="T21" s="18">
        <f>운전실적_원본!K21</f>
        <v>29.4</v>
      </c>
      <c r="U21" s="19">
        <f t="shared" ref="U21" si="145">T21-T20</f>
        <v>-0.38000000000000256</v>
      </c>
      <c r="V21" s="12">
        <f>운전실적_원본!L21</f>
        <v>0</v>
      </c>
      <c r="W21" s="16">
        <f t="shared" ref="W21" si="146">V21-V20</f>
        <v>0</v>
      </c>
      <c r="X21" s="10">
        <f>운전실적_원본!M21</f>
        <v>107031.9</v>
      </c>
      <c r="Y21" s="10">
        <f>운전실적_원본!N21</f>
        <v>0</v>
      </c>
      <c r="Z21" s="10">
        <f>운전실적_원본!O21</f>
        <v>0</v>
      </c>
      <c r="AA21" s="10">
        <f>운전실적_원본!P21</f>
        <v>0</v>
      </c>
      <c r="AB21" s="10">
        <f>운전실적_원본!Q21</f>
        <v>0</v>
      </c>
      <c r="AC21" s="10">
        <f>운전실적_원본!R21</f>
        <v>0</v>
      </c>
      <c r="AD21" s="181">
        <f>운전실적_원본!S21</f>
        <v>17</v>
      </c>
      <c r="AE21" s="181">
        <f>운전실적_원본!T21</f>
        <v>0</v>
      </c>
      <c r="AF21" s="181">
        <f>운전실적_원본!U21</f>
        <v>0</v>
      </c>
      <c r="AG21" s="181">
        <f>운전실적_원본!V21</f>
        <v>0</v>
      </c>
      <c r="AH21" s="106">
        <f t="shared" si="1"/>
        <v>18</v>
      </c>
      <c r="AI21" s="107">
        <f t="shared" si="128"/>
        <v>0</v>
      </c>
      <c r="AJ21" s="107">
        <f t="shared" si="15"/>
        <v>0</v>
      </c>
      <c r="AK21" s="204">
        <f t="shared" si="16"/>
        <v>0</v>
      </c>
      <c r="AL21" s="103">
        <v>45673.25</v>
      </c>
      <c r="AM21" s="103">
        <f>AL22</f>
        <v>45674</v>
      </c>
      <c r="AN21" s="103"/>
      <c r="AO21" s="103"/>
      <c r="AP21" s="103"/>
      <c r="AQ21" s="105"/>
      <c r="AR21" s="103"/>
      <c r="AS21" s="103"/>
      <c r="AT21" s="101"/>
      <c r="AU21" s="101"/>
      <c r="AV21" s="101"/>
      <c r="AW21" s="101"/>
      <c r="AX21" s="32">
        <f>운전실적_원본!W21</f>
        <v>681.2</v>
      </c>
      <c r="AY21" s="198">
        <f>운전실적_원본!X21</f>
        <v>0</v>
      </c>
      <c r="AZ21" s="198">
        <f>운전실적_원본!Y21</f>
        <v>0</v>
      </c>
      <c r="BA21" s="198">
        <f>운전실적_원본!Z21</f>
        <v>0</v>
      </c>
      <c r="BB21" s="198">
        <f>운전실적_원본!AA21</f>
        <v>0</v>
      </c>
      <c r="BC21" s="198">
        <f>운전실적_원본!AB21</f>
        <v>681.2</v>
      </c>
      <c r="BD21" s="32">
        <f t="shared" si="17"/>
        <v>40.070588235294117</v>
      </c>
      <c r="BE21" s="11">
        <f t="shared" si="2"/>
        <v>0.77973512814349322</v>
      </c>
      <c r="BF21" s="11" t="str">
        <f t="shared" si="18"/>
        <v>-</v>
      </c>
      <c r="BG21" s="31" t="str">
        <f t="shared" si="0"/>
        <v>-</v>
      </c>
    </row>
    <row r="22" spans="1:59">
      <c r="A22" s="6">
        <f t="shared" si="3"/>
        <v>45674</v>
      </c>
      <c r="B22" s="15">
        <f>운전실적_원본!B22</f>
        <v>3929</v>
      </c>
      <c r="C22" s="16">
        <f t="shared" si="4"/>
        <v>32</v>
      </c>
      <c r="D22" s="9">
        <f>운전실적_원본!C22</f>
        <v>227546</v>
      </c>
      <c r="E22" s="199">
        <f t="shared" si="4"/>
        <v>84</v>
      </c>
      <c r="F22" s="9">
        <f>운전실적_원본!D22</f>
        <v>221997</v>
      </c>
      <c r="G22" s="16">
        <f t="shared" ref="G22" si="147">F22-F21</f>
        <v>163</v>
      </c>
      <c r="H22" s="15">
        <f>운전실적_원본!E22</f>
        <v>13870</v>
      </c>
      <c r="I22" s="16">
        <f t="shared" ref="I22" si="148">H22-H21</f>
        <v>5</v>
      </c>
      <c r="J22" s="15">
        <f>운전실적_원본!E22</f>
        <v>13870</v>
      </c>
      <c r="K22" s="16">
        <f t="shared" ref="K22" si="149">J22-J21</f>
        <v>5</v>
      </c>
      <c r="L22" s="15">
        <f>운전실적_원본!G22</f>
        <v>3755.9</v>
      </c>
      <c r="M22" s="31">
        <f t="shared" ref="M22" si="150">L22-L21</f>
        <v>1.3000000000001819</v>
      </c>
      <c r="N22" s="15">
        <f>운전실적_원본!H22</f>
        <v>5186</v>
      </c>
      <c r="O22" s="16">
        <f t="shared" ref="O22" si="151">N22-N21</f>
        <v>120</v>
      </c>
      <c r="P22" s="15">
        <f>운전실적_원본!I22</f>
        <v>245628</v>
      </c>
      <c r="Q22" s="16">
        <f t="shared" ref="Q22" si="152">P22-P21</f>
        <v>353</v>
      </c>
      <c r="R22" s="18">
        <f>운전실적_원본!J22</f>
        <v>30.4</v>
      </c>
      <c r="S22" s="19">
        <f t="shared" ref="S22" si="153">R22-R21</f>
        <v>0.39999999999999858</v>
      </c>
      <c r="T22" s="18">
        <f>운전실적_원본!K22</f>
        <v>29.8</v>
      </c>
      <c r="U22" s="19">
        <f t="shared" ref="U22" si="154">T22-T21</f>
        <v>0.40000000000000213</v>
      </c>
      <c r="V22" s="12">
        <f>운전실적_원본!L22</f>
        <v>0</v>
      </c>
      <c r="W22" s="16">
        <f t="shared" ref="W22" si="155">V22-V21</f>
        <v>0</v>
      </c>
      <c r="X22" s="10">
        <f>운전실적_원본!M22</f>
        <v>121892</v>
      </c>
      <c r="Y22" s="10">
        <f>운전실적_원본!N22</f>
        <v>0</v>
      </c>
      <c r="Z22" s="10">
        <f>운전실적_원본!O22</f>
        <v>0</v>
      </c>
      <c r="AA22" s="10">
        <f>운전실적_원본!P22</f>
        <v>0</v>
      </c>
      <c r="AB22" s="10">
        <f>운전실적_원본!Q22</f>
        <v>0</v>
      </c>
      <c r="AC22" s="10">
        <f>운전실적_원본!R22</f>
        <v>0</v>
      </c>
      <c r="AD22" s="181">
        <f>운전실적_원본!S22</f>
        <v>21</v>
      </c>
      <c r="AE22" s="181">
        <f>운전실적_원본!T22</f>
        <v>0</v>
      </c>
      <c r="AF22" s="181">
        <f>운전실적_원본!U22</f>
        <v>0</v>
      </c>
      <c r="AG22" s="181">
        <f>운전실적_원본!V22</f>
        <v>0</v>
      </c>
      <c r="AH22" s="106">
        <f t="shared" si="1"/>
        <v>21</v>
      </c>
      <c r="AI22" s="107">
        <f t="shared" si="128"/>
        <v>0</v>
      </c>
      <c r="AJ22" s="107">
        <f t="shared" si="15"/>
        <v>0</v>
      </c>
      <c r="AK22" s="204">
        <f t="shared" si="16"/>
        <v>0</v>
      </c>
      <c r="AL22" s="103">
        <v>45674</v>
      </c>
      <c r="AM22" s="103">
        <v>45674.875</v>
      </c>
      <c r="AN22" s="103"/>
      <c r="AO22" s="103"/>
      <c r="AP22" s="103"/>
      <c r="AQ22" s="105"/>
      <c r="AR22" s="103"/>
      <c r="AS22" s="103"/>
      <c r="AT22" s="101"/>
      <c r="AU22" s="101"/>
      <c r="AV22" s="101"/>
      <c r="AW22" s="101"/>
      <c r="AX22" s="32">
        <f>운전실적_원본!W22</f>
        <v>794.8</v>
      </c>
      <c r="AY22" s="198">
        <f>운전실적_원본!X22</f>
        <v>0</v>
      </c>
      <c r="AZ22" s="198">
        <f>운전실적_원본!Y22</f>
        <v>0</v>
      </c>
      <c r="BA22" s="198">
        <f>운전실적_원본!Z22</f>
        <v>0</v>
      </c>
      <c r="BB22" s="198">
        <f>운전실적_원본!AA22</f>
        <v>0</v>
      </c>
      <c r="BC22" s="198">
        <f>운전실적_원본!AB22</f>
        <v>794.8</v>
      </c>
      <c r="BD22" s="32">
        <f t="shared" si="17"/>
        <v>37.847619047619048</v>
      </c>
      <c r="BE22" s="11">
        <f t="shared" si="2"/>
        <v>0.73647828463940546</v>
      </c>
      <c r="BF22" s="11" t="str">
        <f t="shared" si="18"/>
        <v>-</v>
      </c>
      <c r="BG22" s="31" t="str">
        <f t="shared" si="0"/>
        <v>-</v>
      </c>
    </row>
    <row r="23" spans="1:59">
      <c r="A23" s="6">
        <f t="shared" si="3"/>
        <v>45675</v>
      </c>
      <c r="B23" s="15">
        <f>운전실적_원본!B23</f>
        <v>3952</v>
      </c>
      <c r="C23" s="16">
        <f t="shared" si="4"/>
        <v>23</v>
      </c>
      <c r="D23" s="9">
        <f>운전실적_원본!C23</f>
        <v>227656</v>
      </c>
      <c r="E23" s="199">
        <f t="shared" si="4"/>
        <v>110</v>
      </c>
      <c r="F23" s="9">
        <f>운전실적_원본!D23</f>
        <v>221997</v>
      </c>
      <c r="G23" s="16">
        <f t="shared" ref="G23" si="156">F23-F22</f>
        <v>0</v>
      </c>
      <c r="H23" s="15">
        <f>운전실적_원본!E23</f>
        <v>13871</v>
      </c>
      <c r="I23" s="16">
        <f t="shared" ref="I23" si="157">H23-H22</f>
        <v>1</v>
      </c>
      <c r="J23" s="15">
        <f>운전실적_원본!E23</f>
        <v>13871</v>
      </c>
      <c r="K23" s="16">
        <f t="shared" ref="K23" si="158">J23-J22</f>
        <v>1</v>
      </c>
      <c r="L23" s="15">
        <f>운전실적_원본!G23</f>
        <v>3756.6</v>
      </c>
      <c r="M23" s="31">
        <f t="shared" ref="M23" si="159">L23-L22</f>
        <v>0.6999999999998181</v>
      </c>
      <c r="N23" s="15">
        <f>운전실적_원본!H23</f>
        <v>5246</v>
      </c>
      <c r="O23" s="16">
        <f t="shared" ref="O23" si="160">N23-N22</f>
        <v>60</v>
      </c>
      <c r="P23" s="15">
        <f>운전실적_원본!I23</f>
        <v>245780</v>
      </c>
      <c r="Q23" s="16">
        <f t="shared" ref="Q23" si="161">P23-P22</f>
        <v>152</v>
      </c>
      <c r="R23" s="18">
        <f>운전실적_원본!J23</f>
        <v>30.6</v>
      </c>
      <c r="S23" s="19">
        <f t="shared" ref="S23" si="162">R23-R22</f>
        <v>0.20000000000000284</v>
      </c>
      <c r="T23" s="18">
        <f>운전실적_원본!K23</f>
        <v>29.8</v>
      </c>
      <c r="U23" s="19">
        <f t="shared" ref="U23" si="163">T23-T22</f>
        <v>0</v>
      </c>
      <c r="V23" s="12">
        <f>운전실적_원본!L23</f>
        <v>0</v>
      </c>
      <c r="W23" s="16">
        <f t="shared" ref="W23" si="164">V23-V22</f>
        <v>0</v>
      </c>
      <c r="X23" s="10">
        <f>운전실적_원본!M23</f>
        <v>0</v>
      </c>
      <c r="Y23" s="10">
        <f>운전실적_원본!N23</f>
        <v>0</v>
      </c>
      <c r="Z23" s="10">
        <f>운전실적_원본!O23</f>
        <v>0</v>
      </c>
      <c r="AA23" s="10">
        <f>운전실적_원본!P23</f>
        <v>0</v>
      </c>
      <c r="AB23" s="10">
        <f>운전실적_원본!Q23</f>
        <v>0</v>
      </c>
      <c r="AC23" s="10">
        <f>운전실적_원본!R23</f>
        <v>0</v>
      </c>
      <c r="AD23" s="181">
        <f>운전실적_원본!S23</f>
        <v>0</v>
      </c>
      <c r="AE23" s="181">
        <f>운전실적_원본!T23</f>
        <v>0</v>
      </c>
      <c r="AF23" s="181">
        <f>운전실적_원본!U23</f>
        <v>0</v>
      </c>
      <c r="AG23" s="181">
        <f>운전실적_원본!V23</f>
        <v>0</v>
      </c>
      <c r="AH23" s="106">
        <f t="shared" si="1"/>
        <v>0</v>
      </c>
      <c r="AI23" s="107">
        <f t="shared" si="128"/>
        <v>0</v>
      </c>
      <c r="AJ23" s="107">
        <f t="shared" si="15"/>
        <v>0</v>
      </c>
      <c r="AK23" s="204">
        <f t="shared" si="16"/>
        <v>0</v>
      </c>
      <c r="AL23" s="103"/>
      <c r="AM23" s="103"/>
      <c r="AN23" s="103"/>
      <c r="AO23" s="103"/>
      <c r="AP23" s="103"/>
      <c r="AQ23" s="105"/>
      <c r="AR23" s="103"/>
      <c r="AS23" s="103"/>
      <c r="AT23" s="101"/>
      <c r="AU23" s="101"/>
      <c r="AV23" s="101"/>
      <c r="AW23" s="101"/>
      <c r="AX23" s="32">
        <f>운전실적_원본!W23</f>
        <v>0</v>
      </c>
      <c r="AY23" s="198">
        <f>운전실적_원본!X23</f>
        <v>0</v>
      </c>
      <c r="AZ23" s="198">
        <f>운전실적_원본!Y23</f>
        <v>0</v>
      </c>
      <c r="BA23" s="198">
        <f>운전실적_원본!Z23</f>
        <v>0</v>
      </c>
      <c r="BB23" s="198">
        <f>운전실적_원본!AA23</f>
        <v>0</v>
      </c>
      <c r="BC23" s="198">
        <f>운전실적_원본!AB23</f>
        <v>0</v>
      </c>
      <c r="BD23" s="32" t="str">
        <f t="shared" si="17"/>
        <v>-</v>
      </c>
      <c r="BE23" s="11" t="str">
        <f t="shared" si="2"/>
        <v>-</v>
      </c>
      <c r="BF23" s="11" t="str">
        <f t="shared" si="18"/>
        <v>-</v>
      </c>
      <c r="BG23" s="31" t="str">
        <f t="shared" si="0"/>
        <v>-</v>
      </c>
    </row>
    <row r="24" spans="1:59">
      <c r="A24" s="6">
        <f t="shared" si="3"/>
        <v>45676</v>
      </c>
      <c r="B24" s="15">
        <f>운전실적_원본!B24</f>
        <v>3973</v>
      </c>
      <c r="C24" s="16">
        <f t="shared" si="4"/>
        <v>21</v>
      </c>
      <c r="D24" s="9">
        <f>운전실적_원본!C24</f>
        <v>227656</v>
      </c>
      <c r="E24" s="199">
        <f t="shared" si="4"/>
        <v>0</v>
      </c>
      <c r="F24" s="9">
        <f>운전실적_원본!D24</f>
        <v>222123</v>
      </c>
      <c r="G24" s="16">
        <f t="shared" ref="G24" si="165">F24-F23</f>
        <v>126</v>
      </c>
      <c r="H24" s="15">
        <f>운전실적_원본!E24</f>
        <v>13873</v>
      </c>
      <c r="I24" s="16">
        <f t="shared" ref="I24" si="166">H24-H23</f>
        <v>2</v>
      </c>
      <c r="J24" s="15">
        <f>운전실적_원본!E24</f>
        <v>13873</v>
      </c>
      <c r="K24" s="16">
        <f t="shared" ref="K24" si="167">J24-J23</f>
        <v>2</v>
      </c>
      <c r="L24" s="15">
        <f>운전실적_원본!G24</f>
        <v>3757.3</v>
      </c>
      <c r="M24" s="31">
        <f t="shared" ref="M24" si="168">L24-L23</f>
        <v>0.70000000000027285</v>
      </c>
      <c r="N24" s="15">
        <f>운전실적_원본!H24</f>
        <v>5346</v>
      </c>
      <c r="O24" s="16">
        <f t="shared" ref="O24" si="169">N24-N23</f>
        <v>100</v>
      </c>
      <c r="P24" s="15">
        <f>운전실적_원본!I24</f>
        <v>245934</v>
      </c>
      <c r="Q24" s="16">
        <f t="shared" ref="Q24" si="170">P24-P23</f>
        <v>154</v>
      </c>
      <c r="R24" s="18">
        <f>운전실적_원본!J24</f>
        <v>30.533999999999999</v>
      </c>
      <c r="S24" s="19">
        <f t="shared" ref="S24" si="171">R24-R23</f>
        <v>-6.6000000000002501E-2</v>
      </c>
      <c r="T24" s="18">
        <f>운전실적_원본!K24</f>
        <v>29.864999999999998</v>
      </c>
      <c r="U24" s="19">
        <f t="shared" ref="U24" si="172">T24-T23</f>
        <v>6.4999999999997726E-2</v>
      </c>
      <c r="V24" s="12">
        <f>운전실적_원본!L24</f>
        <v>0</v>
      </c>
      <c r="W24" s="16">
        <f t="shared" ref="W24" si="173">V24-V23</f>
        <v>0</v>
      </c>
      <c r="X24" s="10">
        <f>운전실적_원본!M24</f>
        <v>0</v>
      </c>
      <c r="Y24" s="10">
        <f>운전실적_원본!N24</f>
        <v>0</v>
      </c>
      <c r="Z24" s="10">
        <f>운전실적_원본!O24</f>
        <v>0</v>
      </c>
      <c r="AA24" s="10">
        <f>운전실적_원본!P24</f>
        <v>0</v>
      </c>
      <c r="AB24" s="10">
        <f>운전실적_원본!Q24</f>
        <v>0</v>
      </c>
      <c r="AC24" s="10">
        <f>운전실적_원본!R24</f>
        <v>0</v>
      </c>
      <c r="AD24" s="181">
        <f>운전실적_원본!S24</f>
        <v>0</v>
      </c>
      <c r="AE24" s="181">
        <f>운전실적_원본!T24</f>
        <v>0</v>
      </c>
      <c r="AF24" s="181">
        <f>운전실적_원본!U24</f>
        <v>0</v>
      </c>
      <c r="AG24" s="181">
        <f>운전실적_원본!V24</f>
        <v>0</v>
      </c>
      <c r="AH24" s="106">
        <f t="shared" si="1"/>
        <v>0</v>
      </c>
      <c r="AI24" s="107">
        <f t="shared" si="128"/>
        <v>0</v>
      </c>
      <c r="AJ24" s="107">
        <f t="shared" si="15"/>
        <v>0</v>
      </c>
      <c r="AK24" s="204">
        <f t="shared" si="16"/>
        <v>0</v>
      </c>
      <c r="AL24" s="103"/>
      <c r="AM24" s="103"/>
      <c r="AN24" s="103"/>
      <c r="AO24" s="103"/>
      <c r="AP24" s="103"/>
      <c r="AQ24" s="105"/>
      <c r="AR24" s="103"/>
      <c r="AS24" s="103"/>
      <c r="AT24" s="101"/>
      <c r="AU24" s="101"/>
      <c r="AV24" s="101"/>
      <c r="AW24" s="101"/>
      <c r="AX24" s="32">
        <f>운전실적_원본!W24</f>
        <v>0</v>
      </c>
      <c r="AY24" s="198">
        <f>운전실적_원본!X24</f>
        <v>0</v>
      </c>
      <c r="AZ24" s="198">
        <f>운전실적_원본!Y24</f>
        <v>0</v>
      </c>
      <c r="BA24" s="198">
        <f>운전실적_원본!Z24</f>
        <v>0</v>
      </c>
      <c r="BB24" s="198">
        <f>운전실적_원본!AA24</f>
        <v>0</v>
      </c>
      <c r="BC24" s="198">
        <f>운전실적_원본!AB24</f>
        <v>0</v>
      </c>
      <c r="BD24" s="32" t="str">
        <f t="shared" si="17"/>
        <v>-</v>
      </c>
      <c r="BE24" s="11" t="str">
        <f t="shared" si="2"/>
        <v>-</v>
      </c>
      <c r="BF24" s="11" t="str">
        <f t="shared" si="18"/>
        <v>-</v>
      </c>
      <c r="BG24" s="31" t="str">
        <f t="shared" si="0"/>
        <v>-</v>
      </c>
    </row>
    <row r="25" spans="1:59">
      <c r="A25" s="6">
        <f t="shared" si="3"/>
        <v>45677</v>
      </c>
      <c r="B25" s="15">
        <f>운전실적_원본!B25</f>
        <v>3989</v>
      </c>
      <c r="C25" s="16">
        <f t="shared" si="4"/>
        <v>16</v>
      </c>
      <c r="D25" s="9">
        <f>운전실적_원본!C25</f>
        <v>227707</v>
      </c>
      <c r="E25" s="199">
        <f t="shared" si="4"/>
        <v>51</v>
      </c>
      <c r="F25" s="9">
        <f>운전실적_원본!D25</f>
        <v>222204</v>
      </c>
      <c r="G25" s="16">
        <f t="shared" ref="G25" si="174">F25-F24</f>
        <v>81</v>
      </c>
      <c r="H25" s="15">
        <f>운전실적_원본!E25</f>
        <v>13878</v>
      </c>
      <c r="I25" s="16">
        <f t="shared" ref="I25" si="175">H25-H24</f>
        <v>5</v>
      </c>
      <c r="J25" s="15">
        <f>운전실적_원본!E25</f>
        <v>13878</v>
      </c>
      <c r="K25" s="16">
        <f t="shared" ref="K25" si="176">J25-J24</f>
        <v>5</v>
      </c>
      <c r="L25" s="15">
        <f>운전실적_원본!G25</f>
        <v>3758.1</v>
      </c>
      <c r="M25" s="31">
        <f t="shared" ref="M25" si="177">L25-L24</f>
        <v>0.79999999999972715</v>
      </c>
      <c r="N25" s="15">
        <f>운전실적_원본!H25</f>
        <v>5394</v>
      </c>
      <c r="O25" s="16">
        <f t="shared" ref="O25" si="178">N25-N24</f>
        <v>48</v>
      </c>
      <c r="P25" s="15">
        <f>운전실적_원본!I25</f>
        <v>246134</v>
      </c>
      <c r="Q25" s="16">
        <f t="shared" ref="Q25" si="179">P25-P24</f>
        <v>200</v>
      </c>
      <c r="R25" s="18">
        <f>운전실적_원본!J25</f>
        <v>30.4</v>
      </c>
      <c r="S25" s="19">
        <f t="shared" ref="S25" si="180">R25-R24</f>
        <v>-0.13400000000000034</v>
      </c>
      <c r="T25" s="18">
        <f>운전실적_원본!K25</f>
        <v>29.74</v>
      </c>
      <c r="U25" s="19">
        <f t="shared" ref="U25" si="181">T25-T24</f>
        <v>-0.125</v>
      </c>
      <c r="V25" s="12">
        <f>운전실적_원본!L25</f>
        <v>0</v>
      </c>
      <c r="W25" s="16">
        <f t="shared" ref="W25" si="182">V25-V24</f>
        <v>0</v>
      </c>
      <c r="X25" s="10">
        <f>운전실적_원본!M25</f>
        <v>0</v>
      </c>
      <c r="Y25" s="10">
        <f>운전실적_원본!N25</f>
        <v>0</v>
      </c>
      <c r="Z25" s="10">
        <f>운전실적_원본!O25</f>
        <v>0</v>
      </c>
      <c r="AA25" s="10">
        <f>운전실적_원본!P25</f>
        <v>0</v>
      </c>
      <c r="AB25" s="10">
        <f>운전실적_원본!Q25</f>
        <v>0</v>
      </c>
      <c r="AC25" s="10">
        <f>운전실적_원본!R25</f>
        <v>0</v>
      </c>
      <c r="AD25" s="181">
        <f>운전실적_원본!S25</f>
        <v>0</v>
      </c>
      <c r="AE25" s="181">
        <f>운전실적_원본!T25</f>
        <v>0</v>
      </c>
      <c r="AF25" s="181">
        <f>운전실적_원본!U25</f>
        <v>0</v>
      </c>
      <c r="AG25" s="181">
        <f>운전실적_원본!V25</f>
        <v>0</v>
      </c>
      <c r="AH25" s="106">
        <f t="shared" si="1"/>
        <v>0</v>
      </c>
      <c r="AI25" s="107">
        <f t="shared" si="128"/>
        <v>0</v>
      </c>
      <c r="AJ25" s="107">
        <f t="shared" si="15"/>
        <v>0</v>
      </c>
      <c r="AK25" s="204">
        <f t="shared" si="16"/>
        <v>0</v>
      </c>
      <c r="AL25" s="103"/>
      <c r="AM25" s="103"/>
      <c r="AN25" s="103"/>
      <c r="AO25" s="103"/>
      <c r="AP25" s="103"/>
      <c r="AQ25" s="105"/>
      <c r="AR25" s="103"/>
      <c r="AS25" s="103"/>
      <c r="AT25" s="101"/>
      <c r="AU25" s="101"/>
      <c r="AV25" s="101"/>
      <c r="AW25" s="101"/>
      <c r="AX25" s="32">
        <f>운전실적_원본!W25</f>
        <v>0</v>
      </c>
      <c r="AY25" s="198">
        <f>운전실적_원본!X25</f>
        <v>0</v>
      </c>
      <c r="AZ25" s="198">
        <f>운전실적_원본!Y25</f>
        <v>0</v>
      </c>
      <c r="BA25" s="198">
        <f>운전실적_원본!Z25</f>
        <v>0</v>
      </c>
      <c r="BB25" s="198">
        <f>운전실적_원본!AA25</f>
        <v>0</v>
      </c>
      <c r="BC25" s="198">
        <f>운전실적_원본!AB25</f>
        <v>0</v>
      </c>
      <c r="BD25" s="32" t="str">
        <f t="shared" si="17"/>
        <v>-</v>
      </c>
      <c r="BE25" s="11" t="str">
        <f t="shared" si="2"/>
        <v>-</v>
      </c>
      <c r="BF25" s="11" t="str">
        <f t="shared" si="18"/>
        <v>-</v>
      </c>
      <c r="BG25" s="31" t="str">
        <f t="shared" si="0"/>
        <v>-</v>
      </c>
    </row>
    <row r="26" spans="1:59">
      <c r="A26" s="6">
        <f t="shared" si="3"/>
        <v>45678</v>
      </c>
      <c r="B26" s="15">
        <f>운전실적_원본!B26</f>
        <v>4021</v>
      </c>
      <c r="C26" s="16">
        <f t="shared" si="4"/>
        <v>32</v>
      </c>
      <c r="D26" s="9">
        <f>운전실적_원본!C26</f>
        <v>227824</v>
      </c>
      <c r="E26" s="199">
        <f t="shared" si="4"/>
        <v>117</v>
      </c>
      <c r="F26" s="9">
        <f>운전실적_원본!D26</f>
        <v>222279</v>
      </c>
      <c r="G26" s="16">
        <f t="shared" ref="G26" si="183">F26-F25</f>
        <v>75</v>
      </c>
      <c r="H26" s="15">
        <f>운전실적_원본!E26</f>
        <v>13882</v>
      </c>
      <c r="I26" s="16">
        <f t="shared" ref="I26" si="184">H26-H25</f>
        <v>4</v>
      </c>
      <c r="J26" s="15">
        <f>운전실적_원본!E26</f>
        <v>13882</v>
      </c>
      <c r="K26" s="16">
        <f t="shared" ref="K26" si="185">J26-J25</f>
        <v>4</v>
      </c>
      <c r="L26" s="15">
        <f>운전실적_원본!G26</f>
        <v>3758.8</v>
      </c>
      <c r="M26" s="31">
        <f t="shared" ref="M26" si="186">L26-L25</f>
        <v>0.70000000000027285</v>
      </c>
      <c r="N26" s="15">
        <f>운전실적_원본!H26</f>
        <v>5434</v>
      </c>
      <c r="O26" s="16">
        <f t="shared" ref="O26" si="187">N26-N25</f>
        <v>40</v>
      </c>
      <c r="P26" s="15">
        <f>운전실적_원본!I26</f>
        <v>246328</v>
      </c>
      <c r="Q26" s="16">
        <f t="shared" ref="Q26" si="188">P26-P25</f>
        <v>194</v>
      </c>
      <c r="R26" s="18">
        <f>운전실적_원본!J26</f>
        <v>30.42</v>
      </c>
      <c r="S26" s="19">
        <f t="shared" ref="S26" si="189">R26-R25</f>
        <v>2.0000000000003126E-2</v>
      </c>
      <c r="T26" s="18">
        <f>운전실적_원본!K26</f>
        <v>29.91</v>
      </c>
      <c r="U26" s="19">
        <f t="shared" ref="U26" si="190">T26-T25</f>
        <v>0.17000000000000171</v>
      </c>
      <c r="V26" s="12">
        <f>운전실적_원본!L26</f>
        <v>0</v>
      </c>
      <c r="W26" s="16">
        <f t="shared" ref="W26" si="191">V26-V25</f>
        <v>0</v>
      </c>
      <c r="X26" s="10">
        <f>운전실적_원본!M26</f>
        <v>0</v>
      </c>
      <c r="Y26" s="10">
        <f>운전실적_원본!N26</f>
        <v>0</v>
      </c>
      <c r="Z26" s="10">
        <f>운전실적_원본!O26</f>
        <v>0</v>
      </c>
      <c r="AA26" s="10">
        <f>운전실적_원본!P26</f>
        <v>0</v>
      </c>
      <c r="AB26" s="10">
        <f>운전실적_원본!Q26</f>
        <v>0</v>
      </c>
      <c r="AC26" s="10">
        <f>운전실적_원본!R26</f>
        <v>0</v>
      </c>
      <c r="AD26" s="181">
        <f>운전실적_원본!S26</f>
        <v>0</v>
      </c>
      <c r="AE26" s="181">
        <f>운전실적_원본!T26</f>
        <v>0</v>
      </c>
      <c r="AF26" s="181">
        <f>운전실적_원본!U26</f>
        <v>0</v>
      </c>
      <c r="AG26" s="181">
        <f>운전실적_원본!V26</f>
        <v>0</v>
      </c>
      <c r="AH26" s="106">
        <f t="shared" si="1"/>
        <v>0</v>
      </c>
      <c r="AI26" s="107">
        <f t="shared" si="128"/>
        <v>0</v>
      </c>
      <c r="AJ26" s="107">
        <f t="shared" si="15"/>
        <v>0</v>
      </c>
      <c r="AK26" s="204">
        <f t="shared" si="16"/>
        <v>0</v>
      </c>
      <c r="AL26" s="103"/>
      <c r="AM26" s="103"/>
      <c r="AN26" s="103"/>
      <c r="AO26" s="103"/>
      <c r="AP26" s="103"/>
      <c r="AQ26" s="105"/>
      <c r="AR26" s="103"/>
      <c r="AS26" s="103"/>
      <c r="AT26" s="101"/>
      <c r="AU26" s="101"/>
      <c r="AV26" s="101"/>
      <c r="AW26" s="101"/>
      <c r="AX26" s="32">
        <f>운전실적_원본!W26</f>
        <v>0</v>
      </c>
      <c r="AY26" s="198">
        <f>운전실적_원본!X26</f>
        <v>0</v>
      </c>
      <c r="AZ26" s="198">
        <f>운전실적_원본!Y26</f>
        <v>0</v>
      </c>
      <c r="BA26" s="198">
        <f>운전실적_원본!Z26</f>
        <v>0</v>
      </c>
      <c r="BB26" s="198">
        <f>운전실적_원본!AA26</f>
        <v>0</v>
      </c>
      <c r="BC26" s="198">
        <f>운전실적_원본!AB26</f>
        <v>0</v>
      </c>
      <c r="BD26" s="32" t="str">
        <f t="shared" si="17"/>
        <v>-</v>
      </c>
      <c r="BE26" s="11" t="str">
        <f t="shared" si="2"/>
        <v>-</v>
      </c>
      <c r="BF26" s="11" t="str">
        <f t="shared" si="18"/>
        <v>-</v>
      </c>
      <c r="BG26" s="31" t="str">
        <f t="shared" si="0"/>
        <v>-</v>
      </c>
    </row>
    <row r="27" spans="1:59">
      <c r="A27" s="6">
        <f t="shared" si="3"/>
        <v>45679</v>
      </c>
      <c r="B27" s="15">
        <f>운전실적_원본!B27</f>
        <v>4052</v>
      </c>
      <c r="C27" s="16">
        <f t="shared" si="4"/>
        <v>31</v>
      </c>
      <c r="D27" s="9">
        <f>운전실적_원본!C27</f>
        <v>227906</v>
      </c>
      <c r="E27" s="199">
        <f t="shared" si="4"/>
        <v>82</v>
      </c>
      <c r="F27" s="9">
        <f>운전실적_원본!D27</f>
        <v>222429</v>
      </c>
      <c r="G27" s="16">
        <f t="shared" ref="G27" si="192">F27-F26</f>
        <v>150</v>
      </c>
      <c r="H27" s="15">
        <f>운전실적_원본!E27</f>
        <v>13887</v>
      </c>
      <c r="I27" s="16">
        <f t="shared" ref="I27" si="193">H27-H26</f>
        <v>5</v>
      </c>
      <c r="J27" s="15">
        <f>운전실적_원본!E27</f>
        <v>13887</v>
      </c>
      <c r="K27" s="16">
        <f t="shared" ref="K27" si="194">J27-J26</f>
        <v>5</v>
      </c>
      <c r="L27" s="15">
        <f>운전실적_원본!G27</f>
        <v>3759.6</v>
      </c>
      <c r="M27" s="31">
        <f t="shared" ref="M27" si="195">L27-L26</f>
        <v>0.79999999999972715</v>
      </c>
      <c r="N27" s="15">
        <f>운전실적_원본!H27</f>
        <v>5539</v>
      </c>
      <c r="O27" s="16">
        <f t="shared" ref="O27" si="196">N27-N26</f>
        <v>105</v>
      </c>
      <c r="P27" s="15">
        <f>운전실적_원본!I27</f>
        <v>246494</v>
      </c>
      <c r="Q27" s="16">
        <f t="shared" ref="Q27" si="197">P27-P26</f>
        <v>166</v>
      </c>
      <c r="R27" s="18">
        <f>운전실적_원본!J27</f>
        <v>30.57</v>
      </c>
      <c r="S27" s="19">
        <f t="shared" ref="S27" si="198">R27-R26</f>
        <v>0.14999999999999858</v>
      </c>
      <c r="T27" s="18">
        <f>운전실적_원본!K27</f>
        <v>29.89</v>
      </c>
      <c r="U27" s="19">
        <f t="shared" ref="U27" si="199">T27-T26</f>
        <v>-1.9999999999999574E-2</v>
      </c>
      <c r="V27" s="12">
        <f>운전실적_원본!L27</f>
        <v>0</v>
      </c>
      <c r="W27" s="16">
        <f t="shared" ref="W27" si="200">V27-V26</f>
        <v>0</v>
      </c>
      <c r="X27" s="10">
        <f>운전실적_원본!M27</f>
        <v>0</v>
      </c>
      <c r="Y27" s="10">
        <f>운전실적_원본!N27</f>
        <v>0</v>
      </c>
      <c r="Z27" s="10">
        <f>운전실적_원본!O27</f>
        <v>0</v>
      </c>
      <c r="AA27" s="10">
        <f>운전실적_원본!P27</f>
        <v>0</v>
      </c>
      <c r="AB27" s="10">
        <f>운전실적_원본!Q27</f>
        <v>0</v>
      </c>
      <c r="AC27" s="10">
        <f>운전실적_원본!R27</f>
        <v>0</v>
      </c>
      <c r="AD27" s="181">
        <f>운전실적_원본!S27</f>
        <v>0</v>
      </c>
      <c r="AE27" s="181">
        <f>운전실적_원본!T27</f>
        <v>0</v>
      </c>
      <c r="AF27" s="181">
        <f>운전실적_원본!U27</f>
        <v>0</v>
      </c>
      <c r="AG27" s="181">
        <f>운전실적_원본!V27</f>
        <v>0</v>
      </c>
      <c r="AH27" s="106">
        <f t="shared" si="1"/>
        <v>0</v>
      </c>
      <c r="AI27" s="107">
        <f>(AS27-AR27)*24</f>
        <v>0</v>
      </c>
      <c r="AJ27" s="107">
        <f t="shared" si="15"/>
        <v>0</v>
      </c>
      <c r="AK27" s="204">
        <f t="shared" si="16"/>
        <v>0</v>
      </c>
      <c r="AL27" s="103"/>
      <c r="AM27" s="103"/>
      <c r="AN27" s="103"/>
      <c r="AO27" s="103"/>
      <c r="AP27" s="103"/>
      <c r="AQ27" s="105"/>
      <c r="AR27" s="103"/>
      <c r="AS27" s="103"/>
      <c r="AT27" s="101"/>
      <c r="AU27" s="101"/>
      <c r="AV27" s="101"/>
      <c r="AW27" s="101"/>
      <c r="AX27" s="32">
        <f>운전실적_원본!W27</f>
        <v>0</v>
      </c>
      <c r="AY27" s="198">
        <f>운전실적_원본!X27</f>
        <v>0</v>
      </c>
      <c r="AZ27" s="198">
        <f>운전실적_원본!Y27</f>
        <v>0</v>
      </c>
      <c r="BA27" s="198">
        <f>운전실적_원본!Z27</f>
        <v>0</v>
      </c>
      <c r="BB27" s="198">
        <f>운전실적_원본!AA27</f>
        <v>0</v>
      </c>
      <c r="BC27" s="198">
        <f>운전실적_원본!AB27</f>
        <v>0</v>
      </c>
      <c r="BD27" s="32" t="str">
        <f t="shared" si="17"/>
        <v>-</v>
      </c>
      <c r="BE27" s="11" t="str">
        <f t="shared" si="2"/>
        <v>-</v>
      </c>
      <c r="BF27" s="11">
        <f>운전실적_원본!AE27</f>
        <v>0</v>
      </c>
      <c r="BG27" s="31">
        <f t="shared" si="0"/>
        <v>0</v>
      </c>
    </row>
    <row r="28" spans="1:59">
      <c r="A28" s="6">
        <f t="shared" si="3"/>
        <v>45680</v>
      </c>
      <c r="B28" s="15">
        <f>운전실적_원본!B28</f>
        <v>4082</v>
      </c>
      <c r="C28" s="16">
        <f t="shared" si="4"/>
        <v>30</v>
      </c>
      <c r="D28" s="9">
        <f>운전실적_원본!C28</f>
        <v>227997</v>
      </c>
      <c r="E28" s="199">
        <f t="shared" si="4"/>
        <v>91</v>
      </c>
      <c r="F28" s="9">
        <f>운전실적_원본!D28</f>
        <v>222524</v>
      </c>
      <c r="G28" s="16">
        <f t="shared" ref="G28" si="201">F28-F27</f>
        <v>95</v>
      </c>
      <c r="H28" s="15">
        <f>운전실적_원본!E28</f>
        <v>13892</v>
      </c>
      <c r="I28" s="16">
        <f t="shared" ref="I28" si="202">H28-H27</f>
        <v>5</v>
      </c>
      <c r="J28" s="15">
        <f>운전실적_원본!E28</f>
        <v>13892</v>
      </c>
      <c r="K28" s="16">
        <f t="shared" ref="K28" si="203">J28-J27</f>
        <v>5</v>
      </c>
      <c r="L28" s="15">
        <f>운전실적_원본!G28</f>
        <v>3760.5</v>
      </c>
      <c r="M28" s="31">
        <f t="shared" ref="M28" si="204">L28-L27</f>
        <v>0.90000000000009095</v>
      </c>
      <c r="N28" s="15">
        <f>운전실적_원본!H28</f>
        <v>5598</v>
      </c>
      <c r="O28" s="16">
        <f t="shared" ref="O28" si="205">N28-N27</f>
        <v>59</v>
      </c>
      <c r="P28" s="15">
        <f>운전실적_원본!I28</f>
        <v>246711</v>
      </c>
      <c r="Q28" s="16">
        <f t="shared" ref="Q28" si="206">P28-P27</f>
        <v>217</v>
      </c>
      <c r="R28" s="18">
        <f>운전실적_원본!J28</f>
        <v>30.67</v>
      </c>
      <c r="S28" s="19">
        <f t="shared" ref="S28" si="207">R28-R27</f>
        <v>0.10000000000000142</v>
      </c>
      <c r="T28" s="18">
        <f>운전실적_원본!K28</f>
        <v>30.01</v>
      </c>
      <c r="U28" s="19">
        <f t="shared" ref="U28" si="208">T28-T27</f>
        <v>0.12000000000000099</v>
      </c>
      <c r="V28" s="12">
        <f>운전실적_원본!L28</f>
        <v>0</v>
      </c>
      <c r="W28" s="16">
        <f t="shared" ref="W28" si="209">V28-V27</f>
        <v>0</v>
      </c>
      <c r="X28" s="10">
        <f>운전실적_원본!M28</f>
        <v>0</v>
      </c>
      <c r="Y28" s="10">
        <f>운전실적_원본!N28</f>
        <v>0</v>
      </c>
      <c r="Z28" s="10">
        <f>운전실적_원본!O28</f>
        <v>0</v>
      </c>
      <c r="AA28" s="10">
        <f>운전실적_원본!P28</f>
        <v>0</v>
      </c>
      <c r="AB28" s="10">
        <f>운전실적_원본!Q28</f>
        <v>0</v>
      </c>
      <c r="AC28" s="10">
        <f>운전실적_원본!R28</f>
        <v>0</v>
      </c>
      <c r="AD28" s="181">
        <f>운전실적_원본!S28</f>
        <v>0</v>
      </c>
      <c r="AE28" s="181">
        <f>운전실적_원본!T28</f>
        <v>0</v>
      </c>
      <c r="AF28" s="181">
        <f>운전실적_원본!U28</f>
        <v>0</v>
      </c>
      <c r="AG28" s="181">
        <f>운전실적_원본!V28</f>
        <v>0</v>
      </c>
      <c r="AH28" s="106">
        <f t="shared" si="1"/>
        <v>0</v>
      </c>
      <c r="AI28" s="107">
        <f t="shared" si="128"/>
        <v>0</v>
      </c>
      <c r="AJ28" s="107">
        <f t="shared" si="15"/>
        <v>0</v>
      </c>
      <c r="AK28" s="204">
        <f t="shared" si="16"/>
        <v>0</v>
      </c>
      <c r="AL28" s="103"/>
      <c r="AM28" s="103"/>
      <c r="AN28" s="103"/>
      <c r="AO28" s="103"/>
      <c r="AP28" s="103"/>
      <c r="AQ28" s="105"/>
      <c r="AR28" s="103"/>
      <c r="AS28" s="103"/>
      <c r="AT28" s="101"/>
      <c r="AU28" s="101"/>
      <c r="AV28" s="101"/>
      <c r="AW28" s="101"/>
      <c r="AX28" s="32">
        <f>운전실적_원본!W28</f>
        <v>0</v>
      </c>
      <c r="AY28" s="198">
        <f>운전실적_원본!X28</f>
        <v>0</v>
      </c>
      <c r="AZ28" s="198">
        <f>운전실적_원본!Y28</f>
        <v>0</v>
      </c>
      <c r="BA28" s="198">
        <f>운전실적_원본!Z28</f>
        <v>0</v>
      </c>
      <c r="BB28" s="198">
        <f>운전실적_원본!AA28</f>
        <v>0</v>
      </c>
      <c r="BC28" s="198">
        <f>운전실적_원본!AB28</f>
        <v>0</v>
      </c>
      <c r="BD28" s="32" t="str">
        <f t="shared" si="17"/>
        <v>-</v>
      </c>
      <c r="BE28" s="11" t="str">
        <f t="shared" si="2"/>
        <v>-</v>
      </c>
      <c r="BF28" s="11">
        <f>운전실적_원본!AE28</f>
        <v>0</v>
      </c>
      <c r="BG28" s="31">
        <f t="shared" si="0"/>
        <v>0</v>
      </c>
    </row>
    <row r="29" spans="1:59">
      <c r="A29" s="6">
        <f t="shared" si="3"/>
        <v>45681</v>
      </c>
      <c r="B29" s="15">
        <f>운전실적_원본!B29</f>
        <v>4096</v>
      </c>
      <c r="C29" s="16">
        <f t="shared" si="4"/>
        <v>14</v>
      </c>
      <c r="D29" s="9">
        <f>운전실적_원본!C29</f>
        <v>228067</v>
      </c>
      <c r="E29" s="199">
        <f t="shared" si="4"/>
        <v>70</v>
      </c>
      <c r="F29" s="9">
        <f>운전실적_원본!D29</f>
        <v>222564</v>
      </c>
      <c r="G29" s="16">
        <f t="shared" ref="G29" si="210">F29-F28</f>
        <v>40</v>
      </c>
      <c r="H29" s="15">
        <f>운전실적_원본!E29</f>
        <v>13897</v>
      </c>
      <c r="I29" s="16">
        <f t="shared" ref="I29" si="211">H29-H28</f>
        <v>5</v>
      </c>
      <c r="J29" s="15">
        <f>운전실적_원본!E29</f>
        <v>13897</v>
      </c>
      <c r="K29" s="16">
        <f t="shared" ref="K29" si="212">J29-J28</f>
        <v>5</v>
      </c>
      <c r="L29" s="15">
        <f>운전실적_원본!G29</f>
        <v>3761.5</v>
      </c>
      <c r="M29" s="31">
        <f t="shared" ref="M29" si="213">L29-L28</f>
        <v>1</v>
      </c>
      <c r="N29" s="15">
        <f>운전실적_원본!H29</f>
        <v>5705</v>
      </c>
      <c r="O29" s="16">
        <f t="shared" ref="O29" si="214">N29-N28</f>
        <v>107</v>
      </c>
      <c r="P29" s="15">
        <f>운전실적_원본!I29</f>
        <v>246857</v>
      </c>
      <c r="Q29" s="16">
        <f t="shared" ref="Q29" si="215">P29-P28</f>
        <v>146</v>
      </c>
      <c r="R29" s="18">
        <f>운전실적_원본!J29</f>
        <v>30.57</v>
      </c>
      <c r="S29" s="19">
        <f t="shared" ref="S29" si="216">R29-R28</f>
        <v>-0.10000000000000142</v>
      </c>
      <c r="T29" s="18">
        <f>운전실적_원본!K29</f>
        <v>29.93</v>
      </c>
      <c r="U29" s="19">
        <f t="shared" ref="U29" si="217">T29-T28</f>
        <v>-8.0000000000001847E-2</v>
      </c>
      <c r="V29" s="12">
        <f>운전실적_원본!L29</f>
        <v>0</v>
      </c>
      <c r="W29" s="16">
        <f t="shared" ref="W29" si="218">V29-V28</f>
        <v>0</v>
      </c>
      <c r="X29" s="10">
        <f>운전실적_원본!M29</f>
        <v>0</v>
      </c>
      <c r="Y29" s="10">
        <f>운전실적_원본!N29</f>
        <v>0</v>
      </c>
      <c r="Z29" s="10">
        <f>운전실적_원본!O29</f>
        <v>0</v>
      </c>
      <c r="AA29" s="10">
        <f>운전실적_원본!P29</f>
        <v>0</v>
      </c>
      <c r="AB29" s="10">
        <f>운전실적_원본!Q29</f>
        <v>0</v>
      </c>
      <c r="AC29" s="10">
        <f>운전실적_원본!R29</f>
        <v>0</v>
      </c>
      <c r="AD29" s="181">
        <f>운전실적_원본!S29</f>
        <v>0</v>
      </c>
      <c r="AE29" s="181">
        <f>운전실적_원본!T29</f>
        <v>0</v>
      </c>
      <c r="AF29" s="181">
        <f>운전실적_원본!U29</f>
        <v>0</v>
      </c>
      <c r="AG29" s="181">
        <f>운전실적_원본!V29</f>
        <v>0</v>
      </c>
      <c r="AH29" s="106">
        <f t="shared" si="1"/>
        <v>0</v>
      </c>
      <c r="AI29" s="107">
        <f t="shared" si="128"/>
        <v>0</v>
      </c>
      <c r="AJ29" s="107">
        <f t="shared" si="15"/>
        <v>0</v>
      </c>
      <c r="AK29" s="204">
        <f t="shared" si="16"/>
        <v>0</v>
      </c>
      <c r="AL29" s="103"/>
      <c r="AM29" s="103"/>
      <c r="AN29" s="103"/>
      <c r="AO29" s="103"/>
      <c r="AP29" s="103"/>
      <c r="AQ29" s="105"/>
      <c r="AR29" s="103"/>
      <c r="AS29" s="103"/>
      <c r="AT29" s="101"/>
      <c r="AU29" s="101"/>
      <c r="AV29" s="101"/>
      <c r="AW29" s="101"/>
      <c r="AX29" s="32">
        <f>운전실적_원본!W29</f>
        <v>0</v>
      </c>
      <c r="AY29" s="198">
        <f>운전실적_원본!X29</f>
        <v>0</v>
      </c>
      <c r="AZ29" s="198">
        <f>운전실적_원본!Y29</f>
        <v>0</v>
      </c>
      <c r="BA29" s="198">
        <f>운전실적_원본!Z29</f>
        <v>0</v>
      </c>
      <c r="BB29" s="198">
        <f>운전실적_원본!AA29</f>
        <v>0</v>
      </c>
      <c r="BC29" s="198">
        <f>운전실적_원본!AB29</f>
        <v>0</v>
      </c>
      <c r="BD29" s="32" t="str">
        <f t="shared" si="17"/>
        <v>-</v>
      </c>
      <c r="BE29" s="11" t="str">
        <f t="shared" si="2"/>
        <v>-</v>
      </c>
      <c r="BF29" s="11">
        <f>운전실적_원본!AE29</f>
        <v>0</v>
      </c>
      <c r="BG29" s="31">
        <f t="shared" si="0"/>
        <v>0</v>
      </c>
    </row>
    <row r="30" spans="1:59">
      <c r="A30" s="6">
        <f t="shared" si="3"/>
        <v>45682</v>
      </c>
      <c r="B30" s="15">
        <f>운전실적_원본!B30</f>
        <v>4124</v>
      </c>
      <c r="C30" s="16">
        <f t="shared" si="4"/>
        <v>28</v>
      </c>
      <c r="D30" s="9">
        <f>운전실적_원본!C30</f>
        <v>228162</v>
      </c>
      <c r="E30" s="199">
        <f t="shared" si="4"/>
        <v>95</v>
      </c>
      <c r="F30" s="9">
        <f>운전실적_원본!D30</f>
        <v>222605</v>
      </c>
      <c r="G30" s="16">
        <f t="shared" ref="G30" si="219">F30-F29</f>
        <v>41</v>
      </c>
      <c r="H30" s="15">
        <f>운전실적_원본!E30</f>
        <v>13898</v>
      </c>
      <c r="I30" s="16">
        <f t="shared" ref="I30" si="220">H30-H29</f>
        <v>1</v>
      </c>
      <c r="J30" s="15">
        <f>운전실적_원본!E30</f>
        <v>13898</v>
      </c>
      <c r="K30" s="16">
        <f t="shared" ref="K30" si="221">J30-J29</f>
        <v>1</v>
      </c>
      <c r="L30" s="15">
        <f>운전실적_원본!G30</f>
        <v>3762</v>
      </c>
      <c r="M30" s="31">
        <f t="shared" ref="M30" si="222">L30-L29</f>
        <v>0.5</v>
      </c>
      <c r="N30" s="15">
        <f>운전실적_원본!H30</f>
        <v>5721</v>
      </c>
      <c r="O30" s="16">
        <f t="shared" ref="O30" si="223">N30-N29</f>
        <v>16</v>
      </c>
      <c r="P30" s="15">
        <f>운전실적_원본!I30</f>
        <v>246884</v>
      </c>
      <c r="Q30" s="16">
        <f t="shared" ref="Q30" si="224">P30-P29</f>
        <v>27</v>
      </c>
      <c r="R30" s="18">
        <f>운전실적_원본!J30</f>
        <v>30.66</v>
      </c>
      <c r="S30" s="19">
        <f t="shared" ref="S30" si="225">R30-R29</f>
        <v>8.9999999999999858E-2</v>
      </c>
      <c r="T30" s="18">
        <f>운전실적_원본!K30</f>
        <v>30</v>
      </c>
      <c r="U30" s="19">
        <f t="shared" ref="U30" si="226">T30-T29</f>
        <v>7.0000000000000284E-2</v>
      </c>
      <c r="V30" s="12">
        <f>운전실적_원본!L30</f>
        <v>0</v>
      </c>
      <c r="W30" s="16">
        <f t="shared" ref="W30" si="227">V30-V29</f>
        <v>0</v>
      </c>
      <c r="X30" s="10">
        <f>운전실적_원본!M30</f>
        <v>0</v>
      </c>
      <c r="Y30" s="10">
        <f>운전실적_원본!N30</f>
        <v>0</v>
      </c>
      <c r="Z30" s="10">
        <f>운전실적_원본!O30</f>
        <v>0</v>
      </c>
      <c r="AA30" s="10">
        <f>운전실적_원본!P30</f>
        <v>0</v>
      </c>
      <c r="AB30" s="10">
        <f>운전실적_원본!Q30</f>
        <v>0</v>
      </c>
      <c r="AC30" s="10">
        <f>운전실적_원본!R30</f>
        <v>0</v>
      </c>
      <c r="AD30" s="181">
        <f>운전실적_원본!S30</f>
        <v>0</v>
      </c>
      <c r="AE30" s="181">
        <f>운전실적_원본!T30</f>
        <v>0</v>
      </c>
      <c r="AF30" s="181">
        <f>운전실적_원본!U30</f>
        <v>0</v>
      </c>
      <c r="AG30" s="181">
        <f>운전실적_원본!V30</f>
        <v>0</v>
      </c>
      <c r="AH30" s="106">
        <f t="shared" si="1"/>
        <v>0</v>
      </c>
      <c r="AI30" s="107">
        <f t="shared" si="128"/>
        <v>0</v>
      </c>
      <c r="AJ30" s="107">
        <f t="shared" si="15"/>
        <v>0</v>
      </c>
      <c r="AK30" s="204">
        <f t="shared" si="16"/>
        <v>0</v>
      </c>
      <c r="AL30" s="103"/>
      <c r="AM30" s="103"/>
      <c r="AN30" s="103"/>
      <c r="AO30" s="103"/>
      <c r="AP30" s="103"/>
      <c r="AQ30" s="105"/>
      <c r="AR30" s="103"/>
      <c r="AS30" s="103"/>
      <c r="AT30" s="101"/>
      <c r="AU30" s="101"/>
      <c r="AV30" s="101"/>
      <c r="AW30" s="101"/>
      <c r="AX30" s="32">
        <f>운전실적_원본!W30</f>
        <v>0</v>
      </c>
      <c r="AY30" s="198">
        <f>운전실적_원본!X30</f>
        <v>0</v>
      </c>
      <c r="AZ30" s="198">
        <f>운전실적_원본!Y30</f>
        <v>0</v>
      </c>
      <c r="BA30" s="198">
        <f>운전실적_원본!Z30</f>
        <v>0</v>
      </c>
      <c r="BB30" s="198">
        <f>운전실적_원본!AA30</f>
        <v>0</v>
      </c>
      <c r="BC30" s="198">
        <f>운전실적_원본!AB30</f>
        <v>0</v>
      </c>
      <c r="BD30" s="32" t="str">
        <f t="shared" si="17"/>
        <v>-</v>
      </c>
      <c r="BE30" s="11" t="str">
        <f t="shared" si="2"/>
        <v>-</v>
      </c>
      <c r="BF30" s="11">
        <f>운전실적_원본!AE30</f>
        <v>0</v>
      </c>
      <c r="BG30" s="31">
        <f t="shared" si="0"/>
        <v>0</v>
      </c>
    </row>
    <row r="31" spans="1:59">
      <c r="A31" s="6">
        <f t="shared" si="3"/>
        <v>45683</v>
      </c>
      <c r="B31" s="15">
        <f>운전실적_원본!B31</f>
        <v>4156</v>
      </c>
      <c r="C31" s="16">
        <f t="shared" si="4"/>
        <v>32</v>
      </c>
      <c r="D31" s="9">
        <f>운전실적_원본!C31</f>
        <v>228272</v>
      </c>
      <c r="E31" s="199">
        <f t="shared" si="4"/>
        <v>110</v>
      </c>
      <c r="F31" s="9">
        <f>운전실적_원본!D31</f>
        <v>222692</v>
      </c>
      <c r="G31" s="16">
        <f t="shared" ref="G31" si="228">F31-F30</f>
        <v>87</v>
      </c>
      <c r="H31" s="15">
        <f>운전실적_원본!E31</f>
        <v>13900</v>
      </c>
      <c r="I31" s="16">
        <f t="shared" ref="I31" si="229">H31-H30</f>
        <v>2</v>
      </c>
      <c r="J31" s="15">
        <f>운전실적_원본!E31</f>
        <v>13900</v>
      </c>
      <c r="K31" s="16">
        <f t="shared" ref="K31" si="230">J31-J30</f>
        <v>2</v>
      </c>
      <c r="L31" s="15">
        <f>운전실적_원본!G31</f>
        <v>3762.6</v>
      </c>
      <c r="M31" s="31">
        <v>0.6</v>
      </c>
      <c r="N31" s="15">
        <f>운전실적_원본!H31</f>
        <v>5767</v>
      </c>
      <c r="O31" s="16">
        <f t="shared" ref="O31" si="231">N31-N30</f>
        <v>46</v>
      </c>
      <c r="P31" s="15">
        <f>운전실적_원본!I31</f>
        <v>247122</v>
      </c>
      <c r="Q31" s="16">
        <f t="shared" ref="Q31" si="232">P31-P30</f>
        <v>238</v>
      </c>
      <c r="R31" s="18">
        <f>운전실적_원본!J31</f>
        <v>30.6</v>
      </c>
      <c r="S31" s="19">
        <f t="shared" ref="S31" si="233">R31-R30</f>
        <v>-5.9999999999998721E-2</v>
      </c>
      <c r="T31" s="18">
        <f>운전실적_원본!K31</f>
        <v>30.07</v>
      </c>
      <c r="U31" s="19">
        <f t="shared" ref="U31" si="234">T31-T30</f>
        <v>7.0000000000000284E-2</v>
      </c>
      <c r="V31" s="12">
        <f>운전실적_원본!L31</f>
        <v>0</v>
      </c>
      <c r="W31" s="16">
        <f t="shared" ref="W31" si="235">V31-V30</f>
        <v>0</v>
      </c>
      <c r="X31" s="10">
        <f>운전실적_원본!M31</f>
        <v>0</v>
      </c>
      <c r="Y31" s="10">
        <f>운전실적_원본!N31</f>
        <v>0</v>
      </c>
      <c r="Z31" s="10">
        <f>운전실적_원본!O31</f>
        <v>0</v>
      </c>
      <c r="AA31" s="10">
        <f>운전실적_원본!P31</f>
        <v>0</v>
      </c>
      <c r="AB31" s="10">
        <f>운전실적_원본!Q31</f>
        <v>0</v>
      </c>
      <c r="AC31" s="10">
        <f>운전실적_원본!R31</f>
        <v>0</v>
      </c>
      <c r="AD31" s="181">
        <f>운전실적_원본!S31</f>
        <v>0</v>
      </c>
      <c r="AE31" s="181">
        <f>운전실적_원본!T31</f>
        <v>0</v>
      </c>
      <c r="AF31" s="181">
        <f>운전실적_원본!U31</f>
        <v>0</v>
      </c>
      <c r="AG31" s="181">
        <f>운전실적_원본!V31</f>
        <v>0</v>
      </c>
      <c r="AH31" s="106">
        <f t="shared" si="1"/>
        <v>0</v>
      </c>
      <c r="AI31" s="107">
        <f t="shared" si="128"/>
        <v>0</v>
      </c>
      <c r="AJ31" s="107">
        <f t="shared" si="15"/>
        <v>0</v>
      </c>
      <c r="AK31" s="204">
        <f t="shared" si="16"/>
        <v>0</v>
      </c>
      <c r="AL31" s="103"/>
      <c r="AM31" s="103"/>
      <c r="AN31" s="103"/>
      <c r="AO31" s="103"/>
      <c r="AP31" s="103"/>
      <c r="AQ31" s="105"/>
      <c r="AR31" s="103"/>
      <c r="AS31" s="103"/>
      <c r="AT31" s="101"/>
      <c r="AU31" s="101"/>
      <c r="AV31" s="101"/>
      <c r="AW31" s="101"/>
      <c r="AX31" s="32">
        <f>운전실적_원본!W31</f>
        <v>0</v>
      </c>
      <c r="AY31" s="198">
        <f>운전실적_원본!X31</f>
        <v>0</v>
      </c>
      <c r="AZ31" s="198">
        <f>운전실적_원본!Y31</f>
        <v>0</v>
      </c>
      <c r="BA31" s="198">
        <f>운전실적_원본!Z31</f>
        <v>0</v>
      </c>
      <c r="BB31" s="198">
        <f>운전실적_원본!AA31</f>
        <v>0</v>
      </c>
      <c r="BC31" s="198">
        <f>운전실적_원본!AB31</f>
        <v>0</v>
      </c>
      <c r="BD31" s="32" t="str">
        <f t="shared" si="17"/>
        <v>-</v>
      </c>
      <c r="BE31" s="11" t="str">
        <f t="shared" si="2"/>
        <v>-</v>
      </c>
      <c r="BF31" s="11">
        <f>운전실적_원본!AE31</f>
        <v>0</v>
      </c>
      <c r="BG31" s="31">
        <f t="shared" si="0"/>
        <v>0</v>
      </c>
    </row>
    <row r="32" spans="1:59" ht="14.1" customHeight="1">
      <c r="A32" s="6">
        <f t="shared" si="3"/>
        <v>45684</v>
      </c>
      <c r="B32" s="15">
        <f>운전실적_원본!B32</f>
        <v>4188</v>
      </c>
      <c r="C32" s="16">
        <f t="shared" si="4"/>
        <v>32</v>
      </c>
      <c r="D32" s="9">
        <f>운전실적_원본!C32</f>
        <v>228419</v>
      </c>
      <c r="E32" s="199">
        <f t="shared" si="4"/>
        <v>147</v>
      </c>
      <c r="F32" s="9">
        <f>운전실적_원본!D32</f>
        <v>222749</v>
      </c>
      <c r="G32" s="16">
        <f t="shared" ref="G32" si="236">F32-F31</f>
        <v>57</v>
      </c>
      <c r="H32" s="15">
        <f>운전실적_원본!E32</f>
        <v>13901</v>
      </c>
      <c r="I32" s="16">
        <f t="shared" ref="I32" si="237">H32-H31</f>
        <v>1</v>
      </c>
      <c r="J32" s="15">
        <f>운전실적_원본!E32</f>
        <v>13901</v>
      </c>
      <c r="K32" s="16">
        <f t="shared" ref="K32" si="238">J32-J31</f>
        <v>1</v>
      </c>
      <c r="L32" s="15">
        <f>운전실적_원본!G32</f>
        <v>3763.4</v>
      </c>
      <c r="M32" s="31">
        <f t="shared" ref="M32" si="239">L32-L31</f>
        <v>0.8000000000001819</v>
      </c>
      <c r="N32" s="15">
        <f>운전실적_원본!H32</f>
        <v>5853</v>
      </c>
      <c r="O32" s="16">
        <f t="shared" ref="O32" si="240">N32-N31</f>
        <v>86</v>
      </c>
      <c r="P32" s="15">
        <f>운전실적_원본!I32</f>
        <v>247394</v>
      </c>
      <c r="Q32" s="16">
        <f t="shared" ref="Q32" si="241">P32-P31</f>
        <v>272</v>
      </c>
      <c r="R32" s="18">
        <f>운전실적_원본!J32</f>
        <v>30.597000000000001</v>
      </c>
      <c r="S32" s="19">
        <f t="shared" ref="S32" si="242">R32-R31</f>
        <v>-3.0000000000001137E-3</v>
      </c>
      <c r="T32" s="18">
        <f>운전실적_원본!K32</f>
        <v>30.067</v>
      </c>
      <c r="U32" s="19">
        <f t="shared" ref="U32" si="243">T32-T31</f>
        <v>-3.0000000000001137E-3</v>
      </c>
      <c r="V32" s="12">
        <f>운전실적_원본!L32</f>
        <v>0</v>
      </c>
      <c r="W32" s="16">
        <f t="shared" ref="W32" si="244">V32-V31</f>
        <v>0</v>
      </c>
      <c r="X32" s="10">
        <f>운전실적_원본!M32</f>
        <v>601.9</v>
      </c>
      <c r="Y32" s="10">
        <f>운전실적_원본!N32</f>
        <v>0</v>
      </c>
      <c r="Z32" s="10">
        <f>운전실적_원본!O32</f>
        <v>0</v>
      </c>
      <c r="AA32" s="10">
        <f>운전실적_원본!P32</f>
        <v>0</v>
      </c>
      <c r="AB32" s="10">
        <f>운전실적_원본!Q32</f>
        <v>0</v>
      </c>
      <c r="AC32" s="10">
        <f>운전실적_원본!R32</f>
        <v>0</v>
      </c>
      <c r="AD32" s="181">
        <f>운전실적_원본!S32</f>
        <v>1</v>
      </c>
      <c r="AE32" s="181">
        <f>운전실적_원본!T32</f>
        <v>0</v>
      </c>
      <c r="AF32" s="181">
        <f>운전실적_원본!U32</f>
        <v>0</v>
      </c>
      <c r="AG32" s="181">
        <f>운전실적_원본!V32</f>
        <v>0</v>
      </c>
      <c r="AH32" s="106">
        <f t="shared" si="1"/>
        <v>1.5</v>
      </c>
      <c r="AI32" s="107">
        <f t="shared" si="128"/>
        <v>0</v>
      </c>
      <c r="AJ32" s="107">
        <f t="shared" si="15"/>
        <v>0</v>
      </c>
      <c r="AK32" s="204">
        <f t="shared" si="16"/>
        <v>0</v>
      </c>
      <c r="AL32" s="103">
        <v>45684.9375</v>
      </c>
      <c r="AM32" s="103">
        <f>AL33</f>
        <v>45685</v>
      </c>
      <c r="AN32" s="103"/>
      <c r="AO32" s="103"/>
      <c r="AP32" s="103"/>
      <c r="AQ32" s="105"/>
      <c r="AR32" s="103"/>
      <c r="AS32" s="103"/>
      <c r="AT32" s="101"/>
      <c r="AU32" s="101"/>
      <c r="AV32" s="101"/>
      <c r="AW32" s="101"/>
      <c r="AX32" s="32">
        <f>운전실적_원본!W32</f>
        <v>0</v>
      </c>
      <c r="AY32" s="198">
        <f>운전실적_원본!X32</f>
        <v>0</v>
      </c>
      <c r="AZ32" s="198">
        <f>운전실적_원본!Y32</f>
        <v>0</v>
      </c>
      <c r="BA32" s="198">
        <f>운전실적_원본!Z32</f>
        <v>0</v>
      </c>
      <c r="BB32" s="198">
        <f>운전실적_원본!AA32</f>
        <v>0</v>
      </c>
      <c r="BC32" s="198">
        <f>운전실적_원본!AB32</f>
        <v>0</v>
      </c>
      <c r="BD32" s="32">
        <f t="shared" si="17"/>
        <v>0</v>
      </c>
      <c r="BE32" s="11">
        <f t="shared" si="2"/>
        <v>0</v>
      </c>
      <c r="BF32" s="11">
        <f>운전실적_원본!AE32</f>
        <v>0</v>
      </c>
      <c r="BG32" s="31">
        <f t="shared" si="0"/>
        <v>0</v>
      </c>
    </row>
    <row r="33" spans="1:59">
      <c r="A33" s="6">
        <f t="shared" si="3"/>
        <v>45685</v>
      </c>
      <c r="B33" s="15">
        <f>운전실적_원본!B33</f>
        <v>4213</v>
      </c>
      <c r="C33" s="16">
        <f t="shared" si="4"/>
        <v>25</v>
      </c>
      <c r="D33" s="9">
        <f>운전실적_원본!C33</f>
        <v>228490</v>
      </c>
      <c r="E33" s="199">
        <f t="shared" si="4"/>
        <v>71</v>
      </c>
      <c r="F33" s="9">
        <f>운전실적_원본!D33</f>
        <v>222867</v>
      </c>
      <c r="G33" s="16">
        <f t="shared" ref="G33" si="245">F33-F32</f>
        <v>118</v>
      </c>
      <c r="H33" s="15">
        <f>운전실적_원본!E33</f>
        <v>13902</v>
      </c>
      <c r="I33" s="16">
        <f t="shared" ref="I33" si="246">H33-H32</f>
        <v>1</v>
      </c>
      <c r="J33" s="15">
        <f>운전실적_원본!E33</f>
        <v>13902</v>
      </c>
      <c r="K33" s="16">
        <f t="shared" ref="K33" si="247">J33-J32</f>
        <v>1</v>
      </c>
      <c r="L33" s="15">
        <f>운전실적_원본!G33</f>
        <v>3764.2</v>
      </c>
      <c r="M33" s="31">
        <f t="shared" ref="M33" si="248">L33-L32</f>
        <v>0.79999999999972715</v>
      </c>
      <c r="N33" s="15">
        <f>운전실적_원본!H33</f>
        <v>5909</v>
      </c>
      <c r="O33" s="16">
        <f t="shared" ref="O33" si="249">N33-N32</f>
        <v>56</v>
      </c>
      <c r="P33" s="15">
        <f>운전실적_원본!I33</f>
        <v>247655</v>
      </c>
      <c r="Q33" s="16">
        <f t="shared" ref="Q33" si="250">P33-P32</f>
        <v>261</v>
      </c>
      <c r="R33" s="18">
        <f>운전실적_원본!J33</f>
        <v>30.4</v>
      </c>
      <c r="S33" s="19">
        <f t="shared" ref="S33" si="251">R33-R32</f>
        <v>-0.19700000000000273</v>
      </c>
      <c r="T33" s="18">
        <f>운전실적_원본!K33</f>
        <v>30.2</v>
      </c>
      <c r="U33" s="19">
        <f t="shared" ref="U33" si="252">T33-T32</f>
        <v>0.13299999999999912</v>
      </c>
      <c r="V33" s="12">
        <f>운전실적_원본!L33</f>
        <v>0</v>
      </c>
      <c r="W33" s="16">
        <f t="shared" ref="W33" si="253">V33-V32</f>
        <v>0</v>
      </c>
      <c r="X33" s="10">
        <f>운전실적_원본!M33</f>
        <v>160186.6</v>
      </c>
      <c r="Y33" s="10">
        <f>운전실적_원본!N33</f>
        <v>0</v>
      </c>
      <c r="Z33" s="10">
        <f>운전실적_원본!O33</f>
        <v>0</v>
      </c>
      <c r="AA33" s="10">
        <f>운전실적_원본!P33</f>
        <v>0</v>
      </c>
      <c r="AB33" s="10">
        <f>운전실적_원본!Q33</f>
        <v>0</v>
      </c>
      <c r="AC33" s="10">
        <f>운전실적_원본!R33</f>
        <v>0</v>
      </c>
      <c r="AD33" s="181">
        <f>운전실적_원본!S33</f>
        <v>24</v>
      </c>
      <c r="AE33" s="181">
        <f>운전실적_원본!T33</f>
        <v>0</v>
      </c>
      <c r="AF33" s="181">
        <f>운전실적_원본!U33</f>
        <v>0</v>
      </c>
      <c r="AG33" s="181">
        <f>운전실적_원본!V33</f>
        <v>0</v>
      </c>
      <c r="AH33" s="106">
        <f t="shared" si="1"/>
        <v>24</v>
      </c>
      <c r="AI33" s="107">
        <f t="shared" si="128"/>
        <v>0</v>
      </c>
      <c r="AJ33" s="107">
        <f t="shared" si="15"/>
        <v>0</v>
      </c>
      <c r="AK33" s="204">
        <f t="shared" si="16"/>
        <v>0</v>
      </c>
      <c r="AL33" s="103">
        <v>45685</v>
      </c>
      <c r="AM33" s="103">
        <f>AL34</f>
        <v>45686</v>
      </c>
      <c r="AN33" s="103"/>
      <c r="AO33" s="103"/>
      <c r="AP33" s="103"/>
      <c r="AQ33" s="105"/>
      <c r="AR33" s="103"/>
      <c r="AS33" s="103"/>
      <c r="AT33" s="101"/>
      <c r="AU33" s="101"/>
      <c r="AV33" s="101"/>
      <c r="AW33" s="101"/>
      <c r="AX33" s="32">
        <f>운전실적_원본!W33</f>
        <v>1009</v>
      </c>
      <c r="AY33" s="198">
        <f>운전실적_원본!X33</f>
        <v>0</v>
      </c>
      <c r="AZ33" s="198">
        <f>운전실적_원본!Y33</f>
        <v>0</v>
      </c>
      <c r="BA33" s="198">
        <f>운전실적_원본!Z33</f>
        <v>0</v>
      </c>
      <c r="BB33" s="198">
        <f>운전실적_원본!AA33</f>
        <v>0</v>
      </c>
      <c r="BC33" s="198">
        <f>운전실적_원본!AB33</f>
        <v>1009</v>
      </c>
      <c r="BD33" s="32">
        <f t="shared" si="17"/>
        <v>42.041666666666664</v>
      </c>
      <c r="BE33" s="11">
        <f t="shared" si="2"/>
        <v>0.81809041966660179</v>
      </c>
      <c r="BF33" s="11">
        <f>운전실적_원본!AE33</f>
        <v>0</v>
      </c>
      <c r="BG33" s="31">
        <f t="shared" si="0"/>
        <v>0</v>
      </c>
    </row>
    <row r="34" spans="1:59">
      <c r="A34" s="6">
        <f t="shared" si="3"/>
        <v>45686</v>
      </c>
      <c r="B34" s="15">
        <f>운전실적_원본!B34</f>
        <v>4239</v>
      </c>
      <c r="C34" s="16">
        <f t="shared" si="4"/>
        <v>26</v>
      </c>
      <c r="D34" s="9">
        <f>운전실적_원본!C34</f>
        <v>228600</v>
      </c>
      <c r="E34" s="199">
        <f t="shared" si="4"/>
        <v>110</v>
      </c>
      <c r="F34" s="9">
        <f>운전실적_원본!D34</f>
        <v>222949</v>
      </c>
      <c r="G34" s="16">
        <f t="shared" ref="G34" si="254">F34-F33</f>
        <v>82</v>
      </c>
      <c r="H34" s="15">
        <f>운전실적_원본!E34</f>
        <v>13904</v>
      </c>
      <c r="I34" s="16">
        <f t="shared" ref="I34" si="255">H34-H33</f>
        <v>2</v>
      </c>
      <c r="J34" s="15">
        <f>운전실적_원본!E34</f>
        <v>13904</v>
      </c>
      <c r="K34" s="16">
        <f t="shared" ref="K34" si="256">J34-J33</f>
        <v>2</v>
      </c>
      <c r="L34" s="15">
        <f>운전실적_원본!G34</f>
        <v>3765</v>
      </c>
      <c r="M34" s="31">
        <f t="shared" ref="M34" si="257">L34-L33</f>
        <v>0.8000000000001819</v>
      </c>
      <c r="N34" s="15">
        <f>운전실적_원본!H34</f>
        <v>6003</v>
      </c>
      <c r="O34" s="16">
        <f t="shared" ref="O34" si="258">N34-N33</f>
        <v>94</v>
      </c>
      <c r="P34" s="15">
        <f>운전실적_원본!I34</f>
        <v>247931</v>
      </c>
      <c r="Q34" s="16">
        <f t="shared" ref="Q34" si="259">P34-P33</f>
        <v>276</v>
      </c>
      <c r="R34" s="18">
        <f>운전실적_원본!J34</f>
        <v>30.74</v>
      </c>
      <c r="S34" s="19">
        <f t="shared" ref="S34" si="260">R34-R33</f>
        <v>0.33999999999999986</v>
      </c>
      <c r="T34" s="18">
        <f>운전실적_원본!K34</f>
        <v>30.26</v>
      </c>
      <c r="U34" s="19">
        <f t="shared" ref="U34" si="261">T34-T33</f>
        <v>6.0000000000002274E-2</v>
      </c>
      <c r="V34" s="12">
        <f>운전실적_원본!L34</f>
        <v>0</v>
      </c>
      <c r="W34" s="16">
        <f t="shared" ref="W34" si="262">V34-V33</f>
        <v>0</v>
      </c>
      <c r="X34" s="10">
        <f>운전실적_원본!M34</f>
        <v>141605.9</v>
      </c>
      <c r="Y34" s="10">
        <f>운전실적_원본!N34</f>
        <v>0</v>
      </c>
      <c r="Z34" s="10">
        <f>운전실적_원본!O34</f>
        <v>0</v>
      </c>
      <c r="AA34" s="10">
        <f>운전실적_원본!P34</f>
        <v>18380</v>
      </c>
      <c r="AB34" s="10">
        <f>운전실적_원본!Q34</f>
        <v>0</v>
      </c>
      <c r="AC34" s="10">
        <f>운전실적_원본!R34</f>
        <v>18380</v>
      </c>
      <c r="AD34" s="181">
        <f>운전실적_원본!S34</f>
        <v>19</v>
      </c>
      <c r="AE34" s="181">
        <f>운전실적_원본!T34</f>
        <v>0</v>
      </c>
      <c r="AF34" s="181">
        <f>운전실적_원본!U34</f>
        <v>0</v>
      </c>
      <c r="AG34" s="181">
        <f>운전실적_원본!V34</f>
        <v>3</v>
      </c>
      <c r="AH34" s="106">
        <f t="shared" si="1"/>
        <v>18.916666666686069</v>
      </c>
      <c r="AI34" s="107">
        <f t="shared" si="128"/>
        <v>0</v>
      </c>
      <c r="AJ34" s="107">
        <f t="shared" si="15"/>
        <v>0</v>
      </c>
      <c r="AK34" s="204">
        <f t="shared" si="16"/>
        <v>2.25</v>
      </c>
      <c r="AL34" s="103">
        <v>45686</v>
      </c>
      <c r="AM34" s="103">
        <v>45686.493055555555</v>
      </c>
      <c r="AN34" s="103">
        <v>45686.704861111109</v>
      </c>
      <c r="AO34" s="103">
        <f>AL35</f>
        <v>45687</v>
      </c>
      <c r="AP34" s="103"/>
      <c r="AQ34" s="105"/>
      <c r="AR34" s="103"/>
      <c r="AS34" s="103"/>
      <c r="AT34" s="101"/>
      <c r="AU34" s="101"/>
      <c r="AV34" s="101">
        <v>0.32291666666666669</v>
      </c>
      <c r="AW34" s="101">
        <v>0.41666666666666669</v>
      </c>
      <c r="AX34" s="32">
        <f>운전실적_원본!W34</f>
        <v>909</v>
      </c>
      <c r="AY34" s="198">
        <f>운전실적_원본!X34</f>
        <v>0</v>
      </c>
      <c r="AZ34" s="198">
        <f>운전실적_원본!Y34</f>
        <v>0</v>
      </c>
      <c r="BA34" s="198">
        <f>운전실적_원본!Z34</f>
        <v>159</v>
      </c>
      <c r="BB34" s="198">
        <f>운전실적_원본!AA34</f>
        <v>159</v>
      </c>
      <c r="BC34" s="198">
        <f>운전실적_원본!AB34</f>
        <v>1068</v>
      </c>
      <c r="BD34" s="32">
        <f t="shared" si="17"/>
        <v>47.842105263157897</v>
      </c>
      <c r="BE34" s="11">
        <f t="shared" si="2"/>
        <v>0.9309613789289336</v>
      </c>
      <c r="BF34" s="11">
        <f>운전실적_원본!AE34</f>
        <v>0</v>
      </c>
      <c r="BG34" s="31">
        <f t="shared" si="0"/>
        <v>0</v>
      </c>
    </row>
    <row r="35" spans="1:59">
      <c r="A35" s="6">
        <f t="shared" si="3"/>
        <v>45687</v>
      </c>
      <c r="B35" s="15">
        <f>운전실적_원본!B35</f>
        <v>4271</v>
      </c>
      <c r="C35" s="16">
        <f t="shared" si="4"/>
        <v>32</v>
      </c>
      <c r="D35" s="9">
        <f>운전실적_원본!C35</f>
        <v>228633</v>
      </c>
      <c r="E35" s="199">
        <f t="shared" si="4"/>
        <v>33</v>
      </c>
      <c r="F35" s="9">
        <f>운전실적_원본!D35</f>
        <v>223106</v>
      </c>
      <c r="G35" s="16">
        <f t="shared" ref="G35" si="263">F35-F34</f>
        <v>157</v>
      </c>
      <c r="H35" s="15">
        <f>운전실적_원본!E35</f>
        <v>13905</v>
      </c>
      <c r="I35" s="16">
        <f t="shared" ref="I35" si="264">H35-H34</f>
        <v>1</v>
      </c>
      <c r="J35" s="15">
        <f>운전실적_원본!E35</f>
        <v>13905</v>
      </c>
      <c r="K35" s="16">
        <f t="shared" ref="K35" si="265">J35-J34</f>
        <v>1</v>
      </c>
      <c r="L35" s="15">
        <f>운전실적_원본!G35</f>
        <v>3765.8</v>
      </c>
      <c r="M35" s="31">
        <f t="shared" ref="M35" si="266">L35-L34</f>
        <v>0.8000000000001819</v>
      </c>
      <c r="N35" s="15">
        <f>운전실적_원본!H35</f>
        <v>6056</v>
      </c>
      <c r="O35" s="16">
        <f t="shared" ref="O35" si="267">N35-N34</f>
        <v>53</v>
      </c>
      <c r="P35" s="15">
        <f>운전실적_원본!I35</f>
        <v>248190</v>
      </c>
      <c r="Q35" s="16">
        <f t="shared" ref="Q35" si="268">P35-P34</f>
        <v>259</v>
      </c>
      <c r="R35" s="18">
        <f>운전실적_원본!J35</f>
        <v>30.84</v>
      </c>
      <c r="S35" s="19">
        <f t="shared" ref="S35" si="269">R35-R34</f>
        <v>0.10000000000000142</v>
      </c>
      <c r="T35" s="18">
        <f>운전실적_원본!K35</f>
        <v>30.28</v>
      </c>
      <c r="U35" s="19">
        <f t="shared" ref="U35" si="270">T35-T34</f>
        <v>1.9999999999999574E-2</v>
      </c>
      <c r="V35" s="12">
        <f>운전실적_원본!L35</f>
        <v>0</v>
      </c>
      <c r="W35" s="16">
        <f t="shared" ref="W35" si="271">V35-V34</f>
        <v>0</v>
      </c>
      <c r="X35" s="10">
        <f>운전실적_원본!M35</f>
        <v>20610</v>
      </c>
      <c r="Y35" s="10">
        <f>운전실적_원본!N35</f>
        <v>0</v>
      </c>
      <c r="Z35" s="10">
        <f>운전실적_원본!O35</f>
        <v>0</v>
      </c>
      <c r="AA35" s="10">
        <f>운전실적_원본!P35</f>
        <v>0</v>
      </c>
      <c r="AB35" s="10">
        <f>운전실적_원본!Q35</f>
        <v>0</v>
      </c>
      <c r="AC35" s="10">
        <f>운전실적_원본!R35</f>
        <v>0</v>
      </c>
      <c r="AD35" s="181">
        <f>운전실적_원본!S35</f>
        <v>4</v>
      </c>
      <c r="AE35" s="181">
        <f>운전실적_원본!T35</f>
        <v>0</v>
      </c>
      <c r="AF35" s="181">
        <f>운전실적_원본!U35</f>
        <v>0</v>
      </c>
      <c r="AG35" s="181">
        <f>운전실적_원본!V35</f>
        <v>0</v>
      </c>
      <c r="AH35" s="106">
        <f t="shared" si="1"/>
        <v>3.75</v>
      </c>
      <c r="AI35" s="107">
        <f t="shared" si="128"/>
        <v>0</v>
      </c>
      <c r="AJ35" s="107">
        <f t="shared" si="15"/>
        <v>0</v>
      </c>
      <c r="AK35" s="204">
        <f t="shared" si="16"/>
        <v>0</v>
      </c>
      <c r="AL35" s="103">
        <v>45687</v>
      </c>
      <c r="AM35" s="103">
        <v>45687.15625</v>
      </c>
      <c r="AN35" s="103"/>
      <c r="AO35" s="103"/>
      <c r="AP35" s="103"/>
      <c r="AQ35" s="105"/>
      <c r="AR35" s="103"/>
      <c r="AS35" s="103"/>
      <c r="AT35" s="101"/>
      <c r="AU35" s="101"/>
      <c r="AV35" s="101"/>
      <c r="AW35" s="101"/>
      <c r="AX35" s="32">
        <f>운전실적_원본!W35</f>
        <v>131</v>
      </c>
      <c r="AY35" s="198">
        <f>운전실적_원본!X35</f>
        <v>0</v>
      </c>
      <c r="AZ35" s="198">
        <f>운전실적_원본!Y35</f>
        <v>0</v>
      </c>
      <c r="BA35" s="198">
        <f>운전실적_원본!Z35</f>
        <v>0</v>
      </c>
      <c r="BB35" s="198">
        <f>운전실적_원본!AA35</f>
        <v>0</v>
      </c>
      <c r="BC35" s="198">
        <f>운전실적_원본!AB35</f>
        <v>131</v>
      </c>
      <c r="BD35" s="32">
        <f t="shared" si="17"/>
        <v>32.75</v>
      </c>
      <c r="BE35" s="11">
        <f t="shared" si="2"/>
        <v>0.63728351819420115</v>
      </c>
      <c r="BF35" s="11">
        <f>운전실적_원본!AE35</f>
        <v>0</v>
      </c>
      <c r="BG35" s="31">
        <f t="shared" si="0"/>
        <v>0</v>
      </c>
    </row>
    <row r="36" spans="1:59" s="197" customFormat="1">
      <c r="A36" s="205">
        <f t="shared" si="3"/>
        <v>45688</v>
      </c>
      <c r="B36" s="182">
        <f>운전실적_원본!B36</f>
        <v>4302</v>
      </c>
      <c r="C36" s="183">
        <f t="shared" si="4"/>
        <v>31</v>
      </c>
      <c r="D36" s="184">
        <f>운전실적_원본!C36</f>
        <v>228800</v>
      </c>
      <c r="E36" s="202">
        <f t="shared" si="4"/>
        <v>167</v>
      </c>
      <c r="F36" s="184">
        <f>운전실적_원본!D36</f>
        <v>223130</v>
      </c>
      <c r="G36" s="183">
        <f t="shared" ref="G36" si="272">F36-F35</f>
        <v>24</v>
      </c>
      <c r="H36" s="182">
        <f>운전실적_원본!E36</f>
        <v>13910</v>
      </c>
      <c r="I36" s="183">
        <f t="shared" ref="I36" si="273">H36-H35</f>
        <v>5</v>
      </c>
      <c r="J36" s="182">
        <f>운전실적_원본!E36</f>
        <v>13910</v>
      </c>
      <c r="K36" s="183">
        <f t="shared" ref="K36" si="274">J36-J35</f>
        <v>5</v>
      </c>
      <c r="L36" s="182">
        <f>운전실적_원본!G36</f>
        <v>3766.7</v>
      </c>
      <c r="M36" s="185">
        <f t="shared" ref="M36" si="275">L36-L35</f>
        <v>0.8999999999996362</v>
      </c>
      <c r="N36" s="182">
        <f>운전실적_원본!H36</f>
        <v>6150</v>
      </c>
      <c r="O36" s="183">
        <f t="shared" ref="O36" si="276">N36-N35</f>
        <v>94</v>
      </c>
      <c r="P36" s="182">
        <f>운전실적_원본!I36</f>
        <v>248432</v>
      </c>
      <c r="Q36" s="183">
        <f t="shared" ref="Q36" si="277">P36-P35</f>
        <v>242</v>
      </c>
      <c r="R36" s="186">
        <f>운전실적_원본!J36</f>
        <v>30.37</v>
      </c>
      <c r="S36" s="187">
        <f t="shared" ref="S36" si="278">R36-R35</f>
        <v>-0.46999999999999886</v>
      </c>
      <c r="T36" s="186">
        <f>운전실적_원본!K36</f>
        <v>30.75</v>
      </c>
      <c r="U36" s="187">
        <f t="shared" ref="U36" si="279">T36-T35</f>
        <v>0.46999999999999886</v>
      </c>
      <c r="V36" s="184">
        <f>운전실적_원본!L36</f>
        <v>0</v>
      </c>
      <c r="W36" s="183">
        <f t="shared" ref="W36" si="280">V36-V35</f>
        <v>0</v>
      </c>
      <c r="X36" s="188">
        <f>운전실적_원본!M36</f>
        <v>94.699999999999989</v>
      </c>
      <c r="Y36" s="188">
        <f>운전실적_원본!N36</f>
        <v>0</v>
      </c>
      <c r="Z36" s="188">
        <f>운전실적_원본!O36</f>
        <v>0</v>
      </c>
      <c r="AA36" s="188">
        <f>운전실적_원본!P36</f>
        <v>0</v>
      </c>
      <c r="AB36" s="188">
        <f>운전실적_원본!Q36</f>
        <v>0</v>
      </c>
      <c r="AC36" s="188">
        <f>운전실적_원본!R36</f>
        <v>0</v>
      </c>
      <c r="AD36" s="189">
        <f>운전실적_원본!S36</f>
        <v>1</v>
      </c>
      <c r="AE36" s="189">
        <f>운전실적_원본!T36</f>
        <v>0</v>
      </c>
      <c r="AF36" s="189">
        <f>운전실적_원본!U36</f>
        <v>0</v>
      </c>
      <c r="AG36" s="189">
        <f>운전실적_원본!V36</f>
        <v>0</v>
      </c>
      <c r="AH36" s="190">
        <f t="shared" si="1"/>
        <v>0.33333333337213844</v>
      </c>
      <c r="AI36" s="191">
        <f t="shared" si="128"/>
        <v>0</v>
      </c>
      <c r="AJ36" s="191">
        <f t="shared" si="15"/>
        <v>0</v>
      </c>
      <c r="AK36" s="206">
        <f t="shared" si="16"/>
        <v>0</v>
      </c>
      <c r="AL36" s="192">
        <v>45688.986111111109</v>
      </c>
      <c r="AM36" s="192">
        <f>AL37</f>
        <v>45689</v>
      </c>
      <c r="AN36" s="192"/>
      <c r="AO36" s="192"/>
      <c r="AP36" s="192"/>
      <c r="AQ36" s="193"/>
      <c r="AR36" s="192"/>
      <c r="AS36" s="192"/>
      <c r="AT36" s="194"/>
      <c r="AU36" s="194"/>
      <c r="AV36" s="194"/>
      <c r="AW36" s="194"/>
      <c r="AX36" s="195">
        <f>운전실적_원본!W36</f>
        <v>2</v>
      </c>
      <c r="AY36" s="196">
        <f>운전실적_원본!X36</f>
        <v>0</v>
      </c>
      <c r="AZ36" s="196">
        <f>운전실적_원본!Y36</f>
        <v>0</v>
      </c>
      <c r="BA36" s="196">
        <f>운전실적_원본!Z36</f>
        <v>0</v>
      </c>
      <c r="BB36" s="196">
        <f>운전실적_원본!AA36</f>
        <v>0</v>
      </c>
      <c r="BC36" s="185">
        <f>운전실적_원본!AB36</f>
        <v>2</v>
      </c>
      <c r="BD36" s="195">
        <f t="shared" si="17"/>
        <v>2</v>
      </c>
      <c r="BE36" s="196">
        <f t="shared" si="2"/>
        <v>3.891807744697412E-2</v>
      </c>
      <c r="BF36" s="196">
        <f>운전실적_원본!AE36</f>
        <v>0</v>
      </c>
      <c r="BG36" s="185">
        <f t="shared" si="0"/>
        <v>0</v>
      </c>
    </row>
    <row r="37" spans="1:59">
      <c r="A37" s="6">
        <f t="shared" si="3"/>
        <v>45689</v>
      </c>
      <c r="B37" s="15">
        <f>운전실적_원본!B37</f>
        <v>4324</v>
      </c>
      <c r="C37" s="16">
        <f t="shared" si="4"/>
        <v>22</v>
      </c>
      <c r="D37" s="9">
        <f>운전실적_원본!C37</f>
        <v>228800</v>
      </c>
      <c r="E37" s="199">
        <f t="shared" si="4"/>
        <v>0</v>
      </c>
      <c r="F37" s="9">
        <f>운전실적_원본!D37</f>
        <v>223260</v>
      </c>
      <c r="G37" s="16">
        <f t="shared" ref="G37" si="281">F37-F36</f>
        <v>130</v>
      </c>
      <c r="H37" s="15">
        <f>운전실적_원본!E37</f>
        <v>13911</v>
      </c>
      <c r="I37" s="16">
        <f t="shared" ref="I37" si="282">H37-H36</f>
        <v>1</v>
      </c>
      <c r="J37" s="15">
        <f>운전실적_원본!E37</f>
        <v>13911</v>
      </c>
      <c r="K37" s="16">
        <f t="shared" ref="K37" si="283">J37-J36</f>
        <v>1</v>
      </c>
      <c r="L37" s="15">
        <f>운전실적_원본!G37</f>
        <v>3767.3</v>
      </c>
      <c r="M37" s="31">
        <f t="shared" ref="M37" si="284">L37-L36</f>
        <v>0.6000000000003638</v>
      </c>
      <c r="N37" s="15">
        <f>운전실적_원본!H37</f>
        <v>6189</v>
      </c>
      <c r="O37" s="16">
        <f t="shared" ref="O37" si="285">N37-N36</f>
        <v>39</v>
      </c>
      <c r="P37" s="15">
        <f>운전실적_원본!I37</f>
        <v>248588</v>
      </c>
      <c r="Q37" s="16">
        <f t="shared" ref="Q37" si="286">P37-P36</f>
        <v>156</v>
      </c>
      <c r="R37" s="18">
        <f>운전실적_원본!J37</f>
        <v>30.66</v>
      </c>
      <c r="S37" s="19">
        <f t="shared" ref="S37" si="287">R37-R36</f>
        <v>0.28999999999999915</v>
      </c>
      <c r="T37" s="18">
        <f>운전실적_원본!K37</f>
        <v>30.28</v>
      </c>
      <c r="U37" s="19">
        <f t="shared" ref="U37" si="288">T37-T36</f>
        <v>-0.46999999999999886</v>
      </c>
      <c r="V37" s="12">
        <f>운전실적_원본!L37</f>
        <v>0</v>
      </c>
      <c r="W37" s="16">
        <f t="shared" ref="W37" si="289">V37-V36</f>
        <v>0</v>
      </c>
      <c r="X37" s="10">
        <f>운전실적_원본!M37</f>
        <v>131640</v>
      </c>
      <c r="Y37" s="10">
        <f>운전실적_원본!N37</f>
        <v>0</v>
      </c>
      <c r="Z37" s="10">
        <f>운전실적_원본!O37</f>
        <v>0</v>
      </c>
      <c r="AA37" s="10">
        <f>운전실적_원본!P37</f>
        <v>0</v>
      </c>
      <c r="AB37" s="10">
        <f>운전실적_원본!Q37</f>
        <v>0</v>
      </c>
      <c r="AC37" s="10">
        <f>운전실적_원본!R37</f>
        <v>0</v>
      </c>
      <c r="AD37" s="181">
        <f>운전실적_원본!S37</f>
        <v>18</v>
      </c>
      <c r="AE37" s="181">
        <f>운전실적_원본!T37</f>
        <v>0</v>
      </c>
      <c r="AF37" s="181">
        <f>운전실적_원본!U37</f>
        <v>0</v>
      </c>
      <c r="AG37" s="181">
        <f>운전실적_원본!V37</f>
        <v>0</v>
      </c>
      <c r="AH37" s="106">
        <f t="shared" si="1"/>
        <v>18.666666666744277</v>
      </c>
      <c r="AI37" s="107">
        <f t="shared" si="128"/>
        <v>0</v>
      </c>
      <c r="AJ37" s="107">
        <f t="shared" si="15"/>
        <v>0</v>
      </c>
      <c r="AK37" s="204">
        <f t="shared" si="16"/>
        <v>0</v>
      </c>
      <c r="AL37" s="103">
        <v>45689</v>
      </c>
      <c r="AM37" s="103">
        <v>45689.006944444445</v>
      </c>
      <c r="AN37" s="103">
        <v>45689.229166666664</v>
      </c>
      <c r="AO37" s="103">
        <f>AL38</f>
        <v>45690</v>
      </c>
      <c r="AP37" s="103"/>
      <c r="AQ37" s="105"/>
      <c r="AR37" s="103"/>
      <c r="AS37" s="103"/>
      <c r="AT37" s="101"/>
      <c r="AU37" s="101"/>
      <c r="AV37" s="101"/>
      <c r="AW37" s="101"/>
      <c r="AX37" s="32">
        <f>운전실적_원본!W37</f>
        <v>842</v>
      </c>
      <c r="AY37" s="198">
        <f>운전실적_원본!X37</f>
        <v>0</v>
      </c>
      <c r="AZ37" s="198">
        <f>운전실적_원본!Y37</f>
        <v>0</v>
      </c>
      <c r="BA37" s="198">
        <f>운전실적_원본!Z37</f>
        <v>0</v>
      </c>
      <c r="BB37" s="198">
        <f>운전실적_원본!AA37</f>
        <v>0</v>
      </c>
      <c r="BC37" s="198">
        <f>운전실적_원본!AB37</f>
        <v>842</v>
      </c>
      <c r="BD37" s="32">
        <f t="shared" si="17"/>
        <v>46.777777777777779</v>
      </c>
      <c r="BE37" s="11">
        <f t="shared" si="2"/>
        <v>0.9102505891764503</v>
      </c>
      <c r="BF37" s="11">
        <f>운전실적_원본!AE37</f>
        <v>0</v>
      </c>
      <c r="BG37" s="31">
        <f t="shared" si="0"/>
        <v>0</v>
      </c>
    </row>
    <row r="38" spans="1:59">
      <c r="A38" s="6">
        <f t="shared" si="3"/>
        <v>45690</v>
      </c>
      <c r="B38" s="15">
        <f>운전실적_원본!B38</f>
        <v>4324</v>
      </c>
      <c r="C38" s="16">
        <f t="shared" si="4"/>
        <v>0</v>
      </c>
      <c r="D38" s="9">
        <f>운전실적_원본!C38</f>
        <v>228800</v>
      </c>
      <c r="E38" s="199">
        <f t="shared" si="4"/>
        <v>0</v>
      </c>
      <c r="F38" s="9">
        <f>운전실적_원본!D38</f>
        <v>223292</v>
      </c>
      <c r="G38" s="16">
        <f t="shared" ref="G38" si="290">F38-F37</f>
        <v>32</v>
      </c>
      <c r="H38" s="15">
        <f>운전실적_원본!E38</f>
        <v>13912</v>
      </c>
      <c r="I38" s="16">
        <f t="shared" ref="I38" si="291">H38-H37</f>
        <v>1</v>
      </c>
      <c r="J38" s="15">
        <f>운전실적_원본!E38</f>
        <v>13912</v>
      </c>
      <c r="K38" s="16">
        <f t="shared" ref="K38" si="292">J38-J37</f>
        <v>1</v>
      </c>
      <c r="L38" s="15">
        <f>운전실적_원본!G38</f>
        <v>3768.1</v>
      </c>
      <c r="M38" s="31">
        <f t="shared" ref="M38" si="293">L38-L37</f>
        <v>0.79999999999972715</v>
      </c>
      <c r="N38" s="15">
        <f>운전실적_원본!H38</f>
        <v>6311</v>
      </c>
      <c r="O38" s="16">
        <f t="shared" ref="O38" si="294">N38-N37</f>
        <v>122</v>
      </c>
      <c r="P38" s="15">
        <f>운전실적_원본!I38</f>
        <v>248792</v>
      </c>
      <c r="Q38" s="16">
        <f t="shared" ref="Q38" si="295">P38-P37</f>
        <v>204</v>
      </c>
      <c r="R38" s="18">
        <f>운전실적_원본!J38</f>
        <v>30.53</v>
      </c>
      <c r="S38" s="19">
        <f t="shared" ref="S38" si="296">R38-R37</f>
        <v>-0.12999999999999901</v>
      </c>
      <c r="T38" s="18">
        <f>운전실적_원본!K38</f>
        <v>30.21</v>
      </c>
      <c r="U38" s="19">
        <f t="shared" ref="U38" si="297">T38-T37</f>
        <v>-7.0000000000000284E-2</v>
      </c>
      <c r="V38" s="12">
        <f>운전실적_원본!L38</f>
        <v>0</v>
      </c>
      <c r="W38" s="16">
        <f t="shared" ref="W38" si="298">V38-V37</f>
        <v>0</v>
      </c>
      <c r="X38" s="10">
        <f>운전실적_원본!M38</f>
        <v>194825.4</v>
      </c>
      <c r="Y38" s="10">
        <f>운전실적_원본!N38</f>
        <v>0</v>
      </c>
      <c r="Z38" s="10">
        <f>운전실적_원본!O38</f>
        <v>0</v>
      </c>
      <c r="AA38" s="10">
        <f>운전실적_원본!P38</f>
        <v>0</v>
      </c>
      <c r="AB38" s="10">
        <f>운전실적_원본!Q38</f>
        <v>0</v>
      </c>
      <c r="AC38" s="10">
        <f>운전실적_원본!R38</f>
        <v>0</v>
      </c>
      <c r="AD38" s="181">
        <f>운전실적_원본!S38</f>
        <v>24</v>
      </c>
      <c r="AE38" s="181">
        <f>운전실적_원본!T38</f>
        <v>0</v>
      </c>
      <c r="AF38" s="181">
        <f>운전실적_원본!U38</f>
        <v>0</v>
      </c>
      <c r="AG38" s="181">
        <f>운전실적_원본!V38</f>
        <v>0</v>
      </c>
      <c r="AH38" s="106">
        <f t="shared" si="1"/>
        <v>24</v>
      </c>
      <c r="AI38" s="107">
        <f t="shared" si="128"/>
        <v>0</v>
      </c>
      <c r="AJ38" s="107">
        <f t="shared" si="15"/>
        <v>0</v>
      </c>
      <c r="AK38" s="204">
        <f t="shared" si="16"/>
        <v>0</v>
      </c>
      <c r="AL38" s="103">
        <v>45690</v>
      </c>
      <c r="AM38" s="103">
        <f t="shared" ref="AM38:AM46" si="299">AL39</f>
        <v>45691</v>
      </c>
      <c r="AN38" s="103"/>
      <c r="AO38" s="103"/>
      <c r="AP38" s="103"/>
      <c r="AQ38" s="105"/>
      <c r="AR38" s="103"/>
      <c r="AS38" s="103"/>
      <c r="AT38" s="101"/>
      <c r="AU38" s="101"/>
      <c r="AV38" s="101"/>
      <c r="AW38" s="101"/>
      <c r="AX38" s="32">
        <f>운전실적_원본!W38</f>
        <v>1244</v>
      </c>
      <c r="AY38" s="198">
        <f>운전실적_원본!X38</f>
        <v>0</v>
      </c>
      <c r="AZ38" s="198">
        <f>운전실적_원본!Y38</f>
        <v>0</v>
      </c>
      <c r="BA38" s="198">
        <f>운전실적_원본!Z38</f>
        <v>0</v>
      </c>
      <c r="BB38" s="198">
        <f>운전실적_원본!AA38</f>
        <v>0</v>
      </c>
      <c r="BC38" s="198">
        <f>운전실적_원본!AB38</f>
        <v>1244</v>
      </c>
      <c r="BD38" s="32">
        <f t="shared" si="17"/>
        <v>51.833333333333336</v>
      </c>
      <c r="BE38" s="11">
        <f t="shared" si="2"/>
        <v>1.0086268405007459</v>
      </c>
      <c r="BF38" s="11">
        <f>운전실적_원본!AE38</f>
        <v>0</v>
      </c>
      <c r="BG38" s="31">
        <f t="shared" si="0"/>
        <v>0</v>
      </c>
    </row>
    <row r="39" spans="1:59">
      <c r="A39" s="6">
        <f t="shared" si="3"/>
        <v>45691</v>
      </c>
      <c r="B39" s="15">
        <f>운전실적_원본!B39</f>
        <v>4355</v>
      </c>
      <c r="C39" s="16">
        <f>IF(OR(LEN(B39)=0,B39=0),"",B39-B38)</f>
        <v>31</v>
      </c>
      <c r="D39" s="9">
        <f>운전실적_원본!C39</f>
        <v>228952</v>
      </c>
      <c r="E39" s="199">
        <f>IF(OR(LEN(D39)=0,D39=0),"",D39-D38)</f>
        <v>152</v>
      </c>
      <c r="F39" s="9">
        <f>운전실적_원본!D39</f>
        <v>223353</v>
      </c>
      <c r="G39" s="16">
        <f>IF(OR(LEN(F39)=0,F39=0),"",F39-F38)</f>
        <v>61</v>
      </c>
      <c r="H39" s="15">
        <f>운전실적_원본!E39</f>
        <v>13917</v>
      </c>
      <c r="I39" s="16">
        <f>IF(OR(LEN(H39)=0,H39=0),"",H39-H38)</f>
        <v>5</v>
      </c>
      <c r="J39" s="15">
        <f>운전실적_원본!E39</f>
        <v>13917</v>
      </c>
      <c r="K39" s="16">
        <f>IF(OR(LEN(J39)=0,J39=0),"",J39-J38)</f>
        <v>5</v>
      </c>
      <c r="L39" s="15">
        <f>운전실적_원본!G39</f>
        <v>3769</v>
      </c>
      <c r="M39" s="31">
        <f>IF(OR(LEN(L39)=0,L39=0),"",L39-L38)</f>
        <v>0.90000000000009095</v>
      </c>
      <c r="N39" s="15">
        <f>운전실적_원본!H39</f>
        <v>6406</v>
      </c>
      <c r="O39" s="16">
        <f>IF(OR(LEN(N39)=0,N39=0),"",N39-N38)</f>
        <v>95</v>
      </c>
      <c r="P39" s="15">
        <f>운전실적_원본!I39</f>
        <v>248996</v>
      </c>
      <c r="Q39" s="16">
        <f>IF(OR(LEN(P39)=0,P39=0),"",P39-P38)</f>
        <v>204</v>
      </c>
      <c r="R39" s="18">
        <f>운전실적_원본!J39</f>
        <v>30.82</v>
      </c>
      <c r="S39" s="19">
        <f>IF(OR(LEN(R39)=0,R39=0),"",R39-R38)</f>
        <v>0.28999999999999915</v>
      </c>
      <c r="T39" s="18">
        <f>운전실적_원본!K39</f>
        <v>30.24</v>
      </c>
      <c r="U39" s="19">
        <f>IF(OR(LEN(T39)=0,T39=0),"",T39-T38)</f>
        <v>2.9999999999997584E-2</v>
      </c>
      <c r="V39" s="12">
        <f>운전실적_원본!L39</f>
        <v>0</v>
      </c>
      <c r="W39" s="16" t="str">
        <f>IF(OR(LEN(V39)=0,V39=0),"",V39-V38)</f>
        <v/>
      </c>
      <c r="X39" s="10">
        <f>운전실적_원본!M39</f>
        <v>198278.39999999851</v>
      </c>
      <c r="Y39" s="10">
        <f>운전실적_원본!N39</f>
        <v>0</v>
      </c>
      <c r="Z39" s="10">
        <f>운전실적_원본!O39</f>
        <v>0</v>
      </c>
      <c r="AA39" s="10">
        <f>운전실적_원본!P39</f>
        <v>0</v>
      </c>
      <c r="AB39" s="10">
        <f>운전실적_원본!Q39</f>
        <v>0</v>
      </c>
      <c r="AC39" s="10">
        <f>운전실적_원본!R39</f>
        <v>0</v>
      </c>
      <c r="AD39" s="181">
        <f>운전실적_원본!S39</f>
        <v>24</v>
      </c>
      <c r="AE39" s="181">
        <f>운전실적_원본!T39</f>
        <v>0</v>
      </c>
      <c r="AF39" s="181">
        <f>운전실적_원본!U39</f>
        <v>0</v>
      </c>
      <c r="AG39" s="181">
        <f>운전실적_원본!V39</f>
        <v>0</v>
      </c>
      <c r="AH39" s="106">
        <f t="shared" si="1"/>
        <v>24</v>
      </c>
      <c r="AI39" s="107">
        <f t="shared" si="128"/>
        <v>0</v>
      </c>
      <c r="AJ39" s="107">
        <f t="shared" si="15"/>
        <v>0</v>
      </c>
      <c r="AK39" s="204">
        <f t="shared" si="16"/>
        <v>0</v>
      </c>
      <c r="AL39" s="103">
        <v>45691</v>
      </c>
      <c r="AM39" s="103">
        <f t="shared" si="299"/>
        <v>45692</v>
      </c>
      <c r="AN39" s="103"/>
      <c r="AO39" s="103"/>
      <c r="AP39" s="103"/>
      <c r="AQ39" s="105"/>
      <c r="AR39" s="103"/>
      <c r="AS39" s="103"/>
      <c r="AT39" s="101"/>
      <c r="AU39" s="101"/>
      <c r="AV39" s="101"/>
      <c r="AW39" s="101"/>
      <c r="AX39" s="32">
        <f>운전실적_원본!W39</f>
        <v>1252</v>
      </c>
      <c r="AY39" s="198">
        <f>운전실적_원본!X39</f>
        <v>0</v>
      </c>
      <c r="AZ39" s="198">
        <f>운전실적_원본!Y39</f>
        <v>0</v>
      </c>
      <c r="BA39" s="198">
        <f>운전실적_원본!Z39</f>
        <v>0</v>
      </c>
      <c r="BB39" s="198">
        <f>운전실적_원본!AA39</f>
        <v>0</v>
      </c>
      <c r="BC39" s="198">
        <f>운전실적_원본!AB39</f>
        <v>1252</v>
      </c>
      <c r="BD39" s="32">
        <f t="shared" si="17"/>
        <v>52.166666666666664</v>
      </c>
      <c r="BE39" s="11">
        <f t="shared" si="2"/>
        <v>1.0151131867419083</v>
      </c>
      <c r="BF39" s="11">
        <f>운전실적_원본!AE39</f>
        <v>0</v>
      </c>
      <c r="BG39" s="31">
        <f t="shared" si="0"/>
        <v>0</v>
      </c>
    </row>
    <row r="40" spans="1:59">
      <c r="A40" s="6">
        <f t="shared" si="3"/>
        <v>45692</v>
      </c>
      <c r="B40" s="15">
        <f>운전실적_원본!B40</f>
        <v>4388</v>
      </c>
      <c r="C40" s="16">
        <f t="shared" ref="C40:C103" si="300">IF(OR(LEN(B40)=0,B40=0),"",B40-B39)</f>
        <v>33</v>
      </c>
      <c r="D40" s="9">
        <f>운전실적_원본!C40</f>
        <v>229064</v>
      </c>
      <c r="E40" s="199">
        <f t="shared" ref="E40:E103" si="301">IF(OR(LEN(D40)=0,D40=0),"",D40-D39)</f>
        <v>112</v>
      </c>
      <c r="F40" s="9">
        <f>운전실적_원본!D40</f>
        <v>223474</v>
      </c>
      <c r="G40" s="16">
        <f t="shared" ref="G40:G103" si="302">IF(OR(LEN(F40)=0,F40=0),"",F40-F39)</f>
        <v>121</v>
      </c>
      <c r="H40" s="15">
        <f>운전실적_원본!E40</f>
        <v>13921</v>
      </c>
      <c r="I40" s="16">
        <f t="shared" ref="I40:K103" si="303">IF(OR(LEN(H40)=0,H40=0),"",H40-H39)</f>
        <v>4</v>
      </c>
      <c r="J40" s="15">
        <f>운전실적_원본!E40</f>
        <v>13921</v>
      </c>
      <c r="K40" s="16">
        <f t="shared" si="303"/>
        <v>4</v>
      </c>
      <c r="L40" s="15">
        <f>운전실적_원본!G40</f>
        <v>3770</v>
      </c>
      <c r="M40" s="31">
        <f t="shared" ref="M40" si="304">IF(OR(LEN(L40)=0,L40=0),"",L40-L39)</f>
        <v>1</v>
      </c>
      <c r="N40" s="15">
        <f>운전실적_원본!H40</f>
        <v>6514</v>
      </c>
      <c r="O40" s="16">
        <f t="shared" ref="O40" si="305">IF(OR(LEN(N40)=0,N40=0),"",N40-N39)</f>
        <v>108</v>
      </c>
      <c r="P40" s="15">
        <f>운전실적_원본!I40</f>
        <v>249331</v>
      </c>
      <c r="Q40" s="16">
        <f t="shared" ref="Q40" si="306">IF(OR(LEN(P40)=0,P40=0),"",P40-P39)</f>
        <v>335</v>
      </c>
      <c r="R40" s="18">
        <f>운전실적_원본!J40</f>
        <v>30.63</v>
      </c>
      <c r="S40" s="19">
        <f t="shared" ref="S40" si="307">IF(OR(LEN(R40)=0,R40=0),"",R40-R39)</f>
        <v>-0.19000000000000128</v>
      </c>
      <c r="T40" s="18">
        <f>운전실적_원본!K40</f>
        <v>30.15</v>
      </c>
      <c r="U40" s="19">
        <f t="shared" ref="U40:U103" si="308">IF(OR(LEN(T40)=0,T40=0),"",T40-T39)</f>
        <v>-8.9999999999999858E-2</v>
      </c>
      <c r="V40" s="12">
        <f>운전실적_원본!L40</f>
        <v>0</v>
      </c>
      <c r="W40" s="16" t="str">
        <f t="shared" ref="W40" si="309">IF(OR(LEN(V40)=0,V40=0),"",V40-V39)</f>
        <v/>
      </c>
      <c r="X40" s="10">
        <f>운전실적_원본!M40</f>
        <v>195706.80000000075</v>
      </c>
      <c r="Y40" s="10">
        <f>운전실적_원본!N40</f>
        <v>0</v>
      </c>
      <c r="Z40" s="10">
        <f>운전실적_원본!O40</f>
        <v>0</v>
      </c>
      <c r="AA40" s="10">
        <f>운전실적_원본!P40</f>
        <v>0</v>
      </c>
      <c r="AB40" s="10">
        <f>운전실적_원본!Q40</f>
        <v>0</v>
      </c>
      <c r="AC40" s="10">
        <f>운전실적_원본!R40</f>
        <v>0</v>
      </c>
      <c r="AD40" s="181">
        <f>운전실적_원본!S40</f>
        <v>24</v>
      </c>
      <c r="AE40" s="181">
        <f>운전실적_원본!T40</f>
        <v>0</v>
      </c>
      <c r="AF40" s="181">
        <f>운전실적_원본!U40</f>
        <v>0</v>
      </c>
      <c r="AG40" s="181">
        <f>운전실적_원본!V40</f>
        <v>0</v>
      </c>
      <c r="AH40" s="106">
        <f t="shared" si="1"/>
        <v>24</v>
      </c>
      <c r="AI40" s="107">
        <f t="shared" si="128"/>
        <v>0</v>
      </c>
      <c r="AJ40" s="107">
        <f t="shared" si="15"/>
        <v>0</v>
      </c>
      <c r="AK40" s="204">
        <f t="shared" si="16"/>
        <v>0</v>
      </c>
      <c r="AL40" s="103">
        <v>45692</v>
      </c>
      <c r="AM40" s="103">
        <f t="shared" si="299"/>
        <v>45693</v>
      </c>
      <c r="AN40" s="103"/>
      <c r="AP40" s="103"/>
      <c r="AQ40" s="105"/>
      <c r="AR40" s="103"/>
      <c r="AS40" s="103"/>
      <c r="AT40" s="101"/>
      <c r="AU40" s="101"/>
      <c r="AV40" s="101"/>
      <c r="AW40" s="101"/>
      <c r="AX40" s="32">
        <f>운전실적_원본!W40</f>
        <v>1252</v>
      </c>
      <c r="AY40" s="198">
        <f>운전실적_원본!X40</f>
        <v>0</v>
      </c>
      <c r="AZ40" s="198">
        <f>운전실적_원본!Y40</f>
        <v>0</v>
      </c>
      <c r="BA40" s="198">
        <f>운전실적_원본!Z40</f>
        <v>0</v>
      </c>
      <c r="BB40" s="198">
        <f>운전실적_원본!AA40</f>
        <v>0</v>
      </c>
      <c r="BC40" s="198">
        <f>운전실적_원본!AB40</f>
        <v>1252</v>
      </c>
      <c r="BD40" s="32">
        <f t="shared" si="17"/>
        <v>52.166666666666664</v>
      </c>
      <c r="BE40" s="11">
        <f t="shared" si="2"/>
        <v>1.0151131867419083</v>
      </c>
      <c r="BF40" s="11">
        <f>운전실적_원본!AE40</f>
        <v>0</v>
      </c>
      <c r="BG40" s="31">
        <f t="shared" si="0"/>
        <v>0</v>
      </c>
    </row>
    <row r="41" spans="1:59">
      <c r="A41" s="6">
        <f t="shared" si="3"/>
        <v>45693</v>
      </c>
      <c r="B41" s="15">
        <f>운전실적_원본!B41</f>
        <v>4420</v>
      </c>
      <c r="C41" s="16">
        <f t="shared" si="300"/>
        <v>32</v>
      </c>
      <c r="D41" s="9">
        <f>운전실적_원본!C41</f>
        <v>229166</v>
      </c>
      <c r="E41" s="199">
        <f t="shared" si="301"/>
        <v>102</v>
      </c>
      <c r="F41" s="9">
        <f>운전실적_원본!D41</f>
        <v>223594</v>
      </c>
      <c r="G41" s="16">
        <f t="shared" si="302"/>
        <v>120</v>
      </c>
      <c r="H41" s="15">
        <f>운전실적_원본!E41</f>
        <v>13925</v>
      </c>
      <c r="I41" s="16">
        <f t="shared" si="303"/>
        <v>4</v>
      </c>
      <c r="J41" s="15">
        <f>운전실적_원본!E41</f>
        <v>13925</v>
      </c>
      <c r="K41" s="16">
        <f t="shared" si="303"/>
        <v>4</v>
      </c>
      <c r="L41" s="15">
        <f>운전실적_원본!G41</f>
        <v>3771.1</v>
      </c>
      <c r="M41" s="31">
        <f t="shared" ref="M41" si="310">IF(OR(LEN(L41)=0,L41=0),"",L41-L40)</f>
        <v>1.0999999999999091</v>
      </c>
      <c r="N41" s="15">
        <f>운전실적_원본!H41</f>
        <v>6602</v>
      </c>
      <c r="O41" s="16">
        <f t="shared" ref="O41" si="311">IF(OR(LEN(N41)=0,N41=0),"",N41-N40)</f>
        <v>88</v>
      </c>
      <c r="P41" s="15">
        <f>운전실적_원본!I41</f>
        <v>249649</v>
      </c>
      <c r="Q41" s="16">
        <f t="shared" ref="Q41" si="312">IF(OR(LEN(P41)=0,P41=0),"",P41-P40)</f>
        <v>318</v>
      </c>
      <c r="R41" s="18">
        <f>운전실적_원본!J41</f>
        <v>30.678999999999998</v>
      </c>
      <c r="S41" s="19">
        <f t="shared" ref="S41" si="313">IF(OR(LEN(R41)=0,R41=0),"",R41-R40)</f>
        <v>4.8999999999999488E-2</v>
      </c>
      <c r="T41" s="18">
        <f>운전실적_원본!K41</f>
        <v>30.175000000000001</v>
      </c>
      <c r="U41" s="19">
        <f t="shared" si="308"/>
        <v>2.5000000000002132E-2</v>
      </c>
      <c r="V41" s="12">
        <f>운전실적_원본!L41</f>
        <v>0</v>
      </c>
      <c r="W41" s="16" t="str">
        <f t="shared" ref="W41" si="314">IF(OR(LEN(V41)=0,V41=0),"",V41-V40)</f>
        <v/>
      </c>
      <c r="X41" s="10">
        <f>운전실적_원본!M41</f>
        <v>194700.7</v>
      </c>
      <c r="Y41" s="10">
        <f>운전실적_원본!N41</f>
        <v>0</v>
      </c>
      <c r="Z41" s="10">
        <f>운전실적_원본!O41</f>
        <v>0</v>
      </c>
      <c r="AA41" s="10">
        <f>운전실적_원본!P41</f>
        <v>0</v>
      </c>
      <c r="AB41" s="10">
        <f>운전실적_원본!Q41</f>
        <v>0</v>
      </c>
      <c r="AC41" s="10">
        <f>운전실적_원본!R41</f>
        <v>0</v>
      </c>
      <c r="AD41" s="181">
        <f>운전실적_원본!S41</f>
        <v>24</v>
      </c>
      <c r="AE41" s="181">
        <f>운전실적_원본!T41</f>
        <v>0</v>
      </c>
      <c r="AF41" s="181">
        <f>운전실적_원본!U41</f>
        <v>0</v>
      </c>
      <c r="AG41" s="181">
        <f>운전실적_원본!V41</f>
        <v>0</v>
      </c>
      <c r="AH41" s="106">
        <f t="shared" si="1"/>
        <v>24</v>
      </c>
      <c r="AI41" s="107">
        <f t="shared" si="128"/>
        <v>0</v>
      </c>
      <c r="AJ41" s="107">
        <f t="shared" si="15"/>
        <v>0</v>
      </c>
      <c r="AK41" s="204">
        <f t="shared" si="16"/>
        <v>0</v>
      </c>
      <c r="AL41" s="103">
        <v>45693</v>
      </c>
      <c r="AM41" s="103">
        <f t="shared" si="299"/>
        <v>45694</v>
      </c>
      <c r="AN41" s="103"/>
      <c r="AO41" s="103"/>
      <c r="AP41" s="103"/>
      <c r="AQ41" s="105"/>
      <c r="AR41" s="103"/>
      <c r="AS41" s="103"/>
      <c r="AT41" s="101"/>
      <c r="AU41" s="101"/>
      <c r="AV41" s="101"/>
      <c r="AW41" s="101"/>
      <c r="AX41" s="32">
        <f>운전실적_원본!W41</f>
        <v>1245.7</v>
      </c>
      <c r="AY41" s="198">
        <f>운전실적_원본!X41</f>
        <v>0</v>
      </c>
      <c r="AZ41" s="198">
        <f>운전실적_원본!Y41</f>
        <v>0</v>
      </c>
      <c r="BA41" s="198">
        <f>운전실적_원본!Z41</f>
        <v>0</v>
      </c>
      <c r="BB41" s="198">
        <f>운전실적_원본!AA41</f>
        <v>0</v>
      </c>
      <c r="BC41" s="198">
        <f>운전실적_원본!AB41</f>
        <v>1245.7</v>
      </c>
      <c r="BD41" s="32">
        <f t="shared" si="17"/>
        <v>51.904166666666669</v>
      </c>
      <c r="BE41" s="11">
        <f t="shared" si="2"/>
        <v>1.010005189076993</v>
      </c>
      <c r="BF41" s="11">
        <f>운전실적_원본!AE41</f>
        <v>0</v>
      </c>
      <c r="BG41" s="31">
        <f t="shared" si="0"/>
        <v>0</v>
      </c>
    </row>
    <row r="42" spans="1:59">
      <c r="A42" s="6">
        <f t="shared" si="3"/>
        <v>45694</v>
      </c>
      <c r="B42" s="15">
        <f>운전실적_원본!B42</f>
        <v>4452</v>
      </c>
      <c r="C42" s="16">
        <f t="shared" si="300"/>
        <v>32</v>
      </c>
      <c r="D42" s="9">
        <f>운전실적_원본!C42</f>
        <v>229266</v>
      </c>
      <c r="E42" s="199">
        <f t="shared" si="301"/>
        <v>100</v>
      </c>
      <c r="F42" s="9">
        <f>운전실적_원본!D42</f>
        <v>223688</v>
      </c>
      <c r="G42" s="16">
        <f t="shared" si="302"/>
        <v>94</v>
      </c>
      <c r="H42" s="15">
        <f>운전실적_원본!E42</f>
        <v>13929</v>
      </c>
      <c r="I42" s="16">
        <f t="shared" si="303"/>
        <v>4</v>
      </c>
      <c r="J42" s="15">
        <f>운전실적_원본!E42</f>
        <v>13929</v>
      </c>
      <c r="K42" s="16">
        <f t="shared" si="303"/>
        <v>4</v>
      </c>
      <c r="L42" s="15">
        <f>운전실적_원본!G42</f>
        <v>3772</v>
      </c>
      <c r="M42" s="31">
        <f t="shared" ref="M42" si="315">IF(OR(LEN(L42)=0,L42=0),"",L42-L41)</f>
        <v>0.90000000000009095</v>
      </c>
      <c r="N42" s="15">
        <f>운전실적_원본!H42</f>
        <v>6672</v>
      </c>
      <c r="O42" s="16">
        <f t="shared" ref="O42" si="316">IF(OR(LEN(N42)=0,N42=0),"",N42-N41)</f>
        <v>70</v>
      </c>
      <c r="P42" s="15">
        <f>운전실적_원본!I42</f>
        <v>249941</v>
      </c>
      <c r="Q42" s="16">
        <f t="shared" ref="Q42" si="317">IF(OR(LEN(P42)=0,P42=0),"",P42-P41)</f>
        <v>292</v>
      </c>
      <c r="R42" s="18">
        <f>운전실적_원본!J42</f>
        <v>30.8</v>
      </c>
      <c r="S42" s="19">
        <f t="shared" ref="S42" si="318">IF(OR(LEN(R42)=0,R42=0),"",R42-R41)</f>
        <v>0.12100000000000222</v>
      </c>
      <c r="T42" s="18">
        <f>운전실적_원본!K42</f>
        <v>30.257000000000001</v>
      </c>
      <c r="U42" s="19">
        <f t="shared" si="308"/>
        <v>8.2000000000000739E-2</v>
      </c>
      <c r="V42" s="12">
        <f>운전실적_원본!L42</f>
        <v>0</v>
      </c>
      <c r="W42" s="16" t="str">
        <f t="shared" ref="W42" si="319">IF(OR(LEN(V42)=0,V42=0),"",V42-V41)</f>
        <v/>
      </c>
      <c r="X42" s="10">
        <f>운전실적_원본!M42</f>
        <v>197196.4</v>
      </c>
      <c r="Y42" s="10">
        <f>운전실적_원본!N42</f>
        <v>0</v>
      </c>
      <c r="Z42" s="10">
        <f>운전실적_원본!O42</f>
        <v>0</v>
      </c>
      <c r="AA42" s="10">
        <f>운전실적_원본!P42</f>
        <v>0</v>
      </c>
      <c r="AB42" s="10">
        <f>운전실적_원본!Q42</f>
        <v>0</v>
      </c>
      <c r="AC42" s="10">
        <f>운전실적_원본!R42</f>
        <v>0</v>
      </c>
      <c r="AD42" s="181">
        <f>운전실적_원본!S42</f>
        <v>24</v>
      </c>
      <c r="AE42" s="181">
        <f>운전실적_원본!T42</f>
        <v>0</v>
      </c>
      <c r="AF42" s="181">
        <f>운전실적_원본!U42</f>
        <v>0</v>
      </c>
      <c r="AG42" s="181">
        <f>운전실적_원본!V42</f>
        <v>0</v>
      </c>
      <c r="AH42" s="106">
        <f t="shared" si="1"/>
        <v>24</v>
      </c>
      <c r="AI42" s="107">
        <f t="shared" si="128"/>
        <v>0</v>
      </c>
      <c r="AJ42" s="107">
        <f t="shared" si="15"/>
        <v>0</v>
      </c>
      <c r="AK42" s="204">
        <f t="shared" si="16"/>
        <v>0</v>
      </c>
      <c r="AL42" s="103">
        <v>45694</v>
      </c>
      <c r="AM42" s="103">
        <f t="shared" si="299"/>
        <v>45695</v>
      </c>
      <c r="AN42" s="103"/>
      <c r="AO42" s="103"/>
      <c r="AP42" s="103"/>
      <c r="AQ42" s="105"/>
      <c r="AR42" s="103"/>
      <c r="AS42" s="103"/>
      <c r="AT42" s="101"/>
      <c r="AU42" s="101"/>
      <c r="AV42" s="101"/>
      <c r="AW42" s="101"/>
      <c r="AX42" s="32">
        <f>운전실적_원본!W42</f>
        <v>1248.5999999999999</v>
      </c>
      <c r="AY42" s="198">
        <f>운전실적_원본!X42</f>
        <v>0</v>
      </c>
      <c r="AZ42" s="198">
        <f>운전실적_원본!Y42</f>
        <v>0</v>
      </c>
      <c r="BA42" s="198">
        <f>운전실적_원본!Z42</f>
        <v>0</v>
      </c>
      <c r="BB42" s="198">
        <f>운전실적_원본!AA42</f>
        <v>0</v>
      </c>
      <c r="BC42" s="198">
        <f>운전실적_원본!AB42</f>
        <v>1248.5999999999999</v>
      </c>
      <c r="BD42" s="32">
        <f t="shared" si="17"/>
        <v>52.024999999999999</v>
      </c>
      <c r="BE42" s="11">
        <f t="shared" si="2"/>
        <v>1.0123564895894142</v>
      </c>
      <c r="BF42" s="11">
        <f>운전실적_원본!AE42</f>
        <v>0</v>
      </c>
      <c r="BG42" s="31">
        <f t="shared" si="0"/>
        <v>0</v>
      </c>
    </row>
    <row r="43" spans="1:59">
      <c r="A43" s="6">
        <f t="shared" si="3"/>
        <v>45695</v>
      </c>
      <c r="B43" s="15">
        <f>운전실적_원본!B43</f>
        <v>4483</v>
      </c>
      <c r="C43" s="16">
        <f t="shared" si="300"/>
        <v>31</v>
      </c>
      <c r="D43" s="9">
        <f>운전실적_원본!C43</f>
        <v>229352</v>
      </c>
      <c r="E43" s="199">
        <f t="shared" si="301"/>
        <v>86</v>
      </c>
      <c r="F43" s="9">
        <f>운전실적_원본!D43</f>
        <v>223798</v>
      </c>
      <c r="G43" s="16">
        <f t="shared" si="302"/>
        <v>110</v>
      </c>
      <c r="H43" s="15">
        <f>운전실적_원본!E43</f>
        <v>13933</v>
      </c>
      <c r="I43" s="16">
        <f t="shared" si="303"/>
        <v>4</v>
      </c>
      <c r="J43" s="15">
        <f>운전실적_원본!E43</f>
        <v>13933</v>
      </c>
      <c r="K43" s="16">
        <f t="shared" si="303"/>
        <v>4</v>
      </c>
      <c r="L43" s="15">
        <f>운전실적_원본!G43</f>
        <v>3773</v>
      </c>
      <c r="M43" s="31">
        <f t="shared" ref="M43" si="320">IF(OR(LEN(L43)=0,L43=0),"",L43-L42)</f>
        <v>1</v>
      </c>
      <c r="N43" s="15">
        <f>운전실적_원본!H43</f>
        <v>6816</v>
      </c>
      <c r="O43" s="16">
        <f t="shared" ref="O43" si="321">IF(OR(LEN(N43)=0,N43=0),"",N43-N42)</f>
        <v>144</v>
      </c>
      <c r="P43" s="15">
        <f>운전실적_원본!I43</f>
        <v>250190</v>
      </c>
      <c r="Q43" s="16">
        <f t="shared" ref="Q43" si="322">IF(OR(LEN(P43)=0,P43=0),"",P43-P42)</f>
        <v>249</v>
      </c>
      <c r="R43" s="18">
        <f>운전실적_원본!J43</f>
        <v>30.86</v>
      </c>
      <c r="S43" s="19">
        <f t="shared" ref="S43" si="323">IF(OR(LEN(R43)=0,R43=0),"",R43-R42)</f>
        <v>5.9999999999998721E-2</v>
      </c>
      <c r="T43" s="18">
        <f>운전실적_원본!K43</f>
        <v>30.35</v>
      </c>
      <c r="U43" s="19">
        <f t="shared" si="308"/>
        <v>9.2999999999999972E-2</v>
      </c>
      <c r="V43" s="12">
        <f>운전실적_원본!L43</f>
        <v>0</v>
      </c>
      <c r="W43" s="16" t="str">
        <f t="shared" ref="W43" si="324">IF(OR(LEN(V43)=0,V43=0),"",V43-V42)</f>
        <v/>
      </c>
      <c r="X43" s="10">
        <f>운전실적_원본!M43</f>
        <v>196723.20000000001</v>
      </c>
      <c r="Y43" s="10">
        <f>운전실적_원본!N43</f>
        <v>0</v>
      </c>
      <c r="Z43" s="10">
        <f>운전실적_원본!O43</f>
        <v>0</v>
      </c>
      <c r="AA43" s="10">
        <f>운전실적_원본!P43</f>
        <v>0</v>
      </c>
      <c r="AB43" s="10">
        <f>운전실적_원본!Q43</f>
        <v>0</v>
      </c>
      <c r="AC43" s="10">
        <f>운전실적_원본!R43</f>
        <v>0</v>
      </c>
      <c r="AD43" s="181">
        <f>운전실적_원본!S43</f>
        <v>24</v>
      </c>
      <c r="AE43" s="181">
        <f>운전실적_원본!T43</f>
        <v>0</v>
      </c>
      <c r="AF43" s="181">
        <f>운전실적_원본!U43</f>
        <v>0</v>
      </c>
      <c r="AG43" s="181">
        <f>운전실적_원본!V43</f>
        <v>0</v>
      </c>
      <c r="AH43" s="106">
        <f t="shared" si="1"/>
        <v>24</v>
      </c>
      <c r="AI43" s="107">
        <f t="shared" si="128"/>
        <v>0</v>
      </c>
      <c r="AJ43" s="107">
        <f t="shared" si="15"/>
        <v>0</v>
      </c>
      <c r="AK43" s="204">
        <f t="shared" si="16"/>
        <v>0</v>
      </c>
      <c r="AL43" s="103">
        <v>45695</v>
      </c>
      <c r="AM43" s="103">
        <f t="shared" si="299"/>
        <v>45696</v>
      </c>
      <c r="AN43" s="103"/>
      <c r="AO43" s="103"/>
      <c r="AP43" s="103"/>
      <c r="AQ43" s="105"/>
      <c r="AR43" s="103"/>
      <c r="AS43" s="103"/>
      <c r="AT43" s="101"/>
      <c r="AU43" s="101"/>
      <c r="AV43" s="101"/>
      <c r="AW43" s="101"/>
      <c r="AX43" s="32">
        <f>운전실적_원본!W43</f>
        <v>1254.7</v>
      </c>
      <c r="AY43" s="198">
        <f>운전실적_원본!X43</f>
        <v>0</v>
      </c>
      <c r="AZ43" s="198">
        <f>운전실적_원본!Y43</f>
        <v>0</v>
      </c>
      <c r="BA43" s="198">
        <f>운전실적_원본!Z43</f>
        <v>0</v>
      </c>
      <c r="BB43" s="198">
        <f>운전실적_원본!AA43</f>
        <v>0</v>
      </c>
      <c r="BC43" s="198">
        <f>운전실적_원본!AB43</f>
        <v>1254.7</v>
      </c>
      <c r="BD43" s="32">
        <f t="shared" si="17"/>
        <v>52.279166666666669</v>
      </c>
      <c r="BE43" s="11">
        <f t="shared" si="2"/>
        <v>1.0173023285983005</v>
      </c>
      <c r="BF43" s="11">
        <f>운전실적_원본!AE43</f>
        <v>0</v>
      </c>
      <c r="BG43" s="31">
        <f t="shared" si="0"/>
        <v>0</v>
      </c>
    </row>
    <row r="44" spans="1:59">
      <c r="A44" s="6">
        <f t="shared" si="3"/>
        <v>45696</v>
      </c>
      <c r="B44" s="15">
        <f>운전실적_원본!B44</f>
        <v>4497</v>
      </c>
      <c r="C44" s="16">
        <f t="shared" si="300"/>
        <v>14</v>
      </c>
      <c r="D44" s="9">
        <f>운전실적_원본!C44</f>
        <v>229437</v>
      </c>
      <c r="E44" s="199">
        <f t="shared" si="301"/>
        <v>85</v>
      </c>
      <c r="F44" s="9">
        <f>운전실적_원본!D44</f>
        <v>223893</v>
      </c>
      <c r="G44" s="16">
        <f t="shared" si="302"/>
        <v>95</v>
      </c>
      <c r="H44" s="15">
        <f>운전실적_원본!E44</f>
        <v>13934</v>
      </c>
      <c r="I44" s="16">
        <f t="shared" si="303"/>
        <v>1</v>
      </c>
      <c r="J44" s="15">
        <f>운전실적_원본!E44</f>
        <v>13934</v>
      </c>
      <c r="K44" s="16">
        <f t="shared" si="303"/>
        <v>1</v>
      </c>
      <c r="L44" s="15">
        <f>운전실적_원본!G44</f>
        <v>3774.2</v>
      </c>
      <c r="M44" s="31">
        <f t="shared" ref="M44" si="325">IF(OR(LEN(L44)=0,L44=0),"",L44-L43)</f>
        <v>1.1999999999998181</v>
      </c>
      <c r="N44" s="15">
        <f>운전실적_원본!H44</f>
        <v>6961</v>
      </c>
      <c r="O44" s="16">
        <f t="shared" ref="O44" si="326">IF(OR(LEN(N44)=0,N44=0),"",N44-N43)</f>
        <v>145</v>
      </c>
      <c r="P44" s="15">
        <f>운전실적_원본!I44</f>
        <v>250477</v>
      </c>
      <c r="Q44" s="16">
        <f t="shared" ref="Q44" si="327">IF(OR(LEN(P44)=0,P44=0),"",P44-P43)</f>
        <v>287</v>
      </c>
      <c r="R44" s="18">
        <f>운전실적_원본!J44</f>
        <v>30.8</v>
      </c>
      <c r="S44" s="19">
        <f t="shared" ref="S44" si="328">IF(OR(LEN(R44)=0,R44=0),"",R44-R43)</f>
        <v>-5.9999999999998721E-2</v>
      </c>
      <c r="T44" s="18">
        <f>운전실적_원본!K44</f>
        <v>30.26</v>
      </c>
      <c r="U44" s="19">
        <f t="shared" si="308"/>
        <v>-8.9999999999999858E-2</v>
      </c>
      <c r="V44" s="12">
        <f>운전실적_원본!L44</f>
        <v>0</v>
      </c>
      <c r="W44" s="16" t="str">
        <f t="shared" ref="W44" si="329">IF(OR(LEN(V44)=0,V44=0),"",V44-V43)</f>
        <v/>
      </c>
      <c r="X44" s="10">
        <f>운전실적_원본!M44</f>
        <v>196860</v>
      </c>
      <c r="Y44" s="10">
        <f>운전실적_원본!N44</f>
        <v>0</v>
      </c>
      <c r="Z44" s="10">
        <f>운전실적_원본!O44</f>
        <v>0</v>
      </c>
      <c r="AA44" s="10">
        <f>운전실적_원본!P44</f>
        <v>0</v>
      </c>
      <c r="AB44" s="10">
        <f>운전실적_원본!Q44</f>
        <v>0</v>
      </c>
      <c r="AC44" s="10">
        <f>운전실적_원본!R44</f>
        <v>0</v>
      </c>
      <c r="AD44" s="181">
        <f>운전실적_원본!S44</f>
        <v>24</v>
      </c>
      <c r="AE44" s="181">
        <f>운전실적_원본!T44</f>
        <v>0</v>
      </c>
      <c r="AF44" s="181">
        <f>운전실적_원본!U44</f>
        <v>0</v>
      </c>
      <c r="AG44" s="181">
        <f>운전실적_원본!V44</f>
        <v>0</v>
      </c>
      <c r="AH44" s="106">
        <f t="shared" si="1"/>
        <v>24</v>
      </c>
      <c r="AI44" s="107">
        <f t="shared" si="128"/>
        <v>0</v>
      </c>
      <c r="AJ44" s="107">
        <f t="shared" si="15"/>
        <v>0</v>
      </c>
      <c r="AK44" s="204">
        <f t="shared" si="16"/>
        <v>0</v>
      </c>
      <c r="AL44" s="103">
        <v>45696</v>
      </c>
      <c r="AM44" s="103">
        <f t="shared" si="299"/>
        <v>45697</v>
      </c>
      <c r="AN44" s="103"/>
      <c r="AO44" s="103"/>
      <c r="AP44" s="103"/>
      <c r="AQ44" s="105"/>
      <c r="AR44" s="103"/>
      <c r="AS44" s="103"/>
      <c r="AT44" s="101"/>
      <c r="AU44" s="101"/>
      <c r="AV44" s="101"/>
      <c r="AW44" s="101"/>
      <c r="AX44" s="32">
        <f>운전실적_원본!W44</f>
        <v>1258</v>
      </c>
      <c r="AY44" s="198">
        <f>운전실적_원본!X44</f>
        <v>0</v>
      </c>
      <c r="AZ44" s="198">
        <f>운전실적_원본!Y44</f>
        <v>0</v>
      </c>
      <c r="BA44" s="198">
        <f>운전실적_원본!Z44</f>
        <v>0</v>
      </c>
      <c r="BB44" s="198">
        <f>운전실적_원본!AA44</f>
        <v>0</v>
      </c>
      <c r="BC44" s="198">
        <f>운전실적_원본!AB44</f>
        <v>1258</v>
      </c>
      <c r="BD44" s="32">
        <f t="shared" si="17"/>
        <v>52.416666666666664</v>
      </c>
      <c r="BE44" s="11">
        <f t="shared" si="2"/>
        <v>1.0199779464227801</v>
      </c>
      <c r="BF44" s="11">
        <f>운전실적_원본!AE44</f>
        <v>0</v>
      </c>
      <c r="BG44" s="31">
        <f t="shared" si="0"/>
        <v>0</v>
      </c>
    </row>
    <row r="45" spans="1:59">
      <c r="A45" s="6">
        <f t="shared" si="3"/>
        <v>45697</v>
      </c>
      <c r="B45" s="15">
        <f>운전실적_원본!B45</f>
        <v>4497</v>
      </c>
      <c r="C45" s="16">
        <f t="shared" si="300"/>
        <v>0</v>
      </c>
      <c r="D45" s="9">
        <f>운전실적_원본!C45</f>
        <v>229437</v>
      </c>
      <c r="E45" s="199">
        <f t="shared" si="301"/>
        <v>0</v>
      </c>
      <c r="F45" s="9">
        <f>운전실적_원본!D45</f>
        <v>223934</v>
      </c>
      <c r="G45" s="16">
        <f t="shared" si="302"/>
        <v>41</v>
      </c>
      <c r="H45" s="15">
        <f>운전실적_원본!E45</f>
        <v>13936</v>
      </c>
      <c r="I45" s="16">
        <f t="shared" si="303"/>
        <v>2</v>
      </c>
      <c r="J45" s="15">
        <f>운전실적_원본!E45</f>
        <v>13936</v>
      </c>
      <c r="K45" s="16">
        <f t="shared" si="303"/>
        <v>2</v>
      </c>
      <c r="L45" s="15">
        <f>운전실적_원본!G45</f>
        <v>3775.1</v>
      </c>
      <c r="M45" s="31">
        <f t="shared" ref="M45" si="330">IF(OR(LEN(L45)=0,L45=0),"",L45-L44)</f>
        <v>0.90000000000009095</v>
      </c>
      <c r="N45" s="15">
        <f>운전실적_원본!H45</f>
        <v>7056</v>
      </c>
      <c r="O45" s="16">
        <f t="shared" ref="O45" si="331">IF(OR(LEN(N45)=0,N45=0),"",N45-N44)</f>
        <v>95</v>
      </c>
      <c r="P45" s="15">
        <f>운전실적_원본!I45</f>
        <v>250584</v>
      </c>
      <c r="Q45" s="16">
        <f t="shared" ref="Q45" si="332">IF(OR(LEN(P45)=0,P45=0),"",P45-P44)</f>
        <v>107</v>
      </c>
      <c r="R45" s="18">
        <f>운전실적_원본!J45</f>
        <v>30.18</v>
      </c>
      <c r="S45" s="19">
        <f t="shared" ref="S45" si="333">IF(OR(LEN(R45)=0,R45=0),"",R45-R44)</f>
        <v>-0.62000000000000099</v>
      </c>
      <c r="T45" s="18">
        <f>운전실적_원본!K45</f>
        <v>30.04</v>
      </c>
      <c r="U45" s="19">
        <f t="shared" si="308"/>
        <v>-0.22000000000000242</v>
      </c>
      <c r="V45" s="12">
        <f>운전실적_원본!L45</f>
        <v>0</v>
      </c>
      <c r="W45" s="16" t="str">
        <f t="shared" ref="W45" si="334">IF(OR(LEN(V45)=0,V45=0),"",V45-V44)</f>
        <v/>
      </c>
      <c r="X45" s="10">
        <f>운전실적_원본!M45</f>
        <v>194725.6</v>
      </c>
      <c r="Y45" s="10">
        <f>운전실적_원본!N45</f>
        <v>0</v>
      </c>
      <c r="Z45" s="10">
        <f>운전실적_원본!O45</f>
        <v>0</v>
      </c>
      <c r="AA45" s="10">
        <f>운전실적_원본!P45</f>
        <v>0</v>
      </c>
      <c r="AB45" s="10">
        <f>운전실적_원본!Q45</f>
        <v>0</v>
      </c>
      <c r="AC45" s="10">
        <f>운전실적_원본!R45</f>
        <v>0</v>
      </c>
      <c r="AD45" s="181">
        <f>운전실적_원본!S45</f>
        <v>24</v>
      </c>
      <c r="AE45" s="181">
        <f>운전실적_원본!T45</f>
        <v>0</v>
      </c>
      <c r="AF45" s="181">
        <f>운전실적_원본!U45</f>
        <v>0</v>
      </c>
      <c r="AG45" s="181">
        <f>운전실적_원본!V45</f>
        <v>0</v>
      </c>
      <c r="AH45" s="106">
        <f t="shared" si="1"/>
        <v>24</v>
      </c>
      <c r="AI45" s="107">
        <f t="shared" si="128"/>
        <v>0</v>
      </c>
      <c r="AJ45" s="107">
        <f t="shared" si="15"/>
        <v>0</v>
      </c>
      <c r="AK45" s="204">
        <f t="shared" si="16"/>
        <v>0</v>
      </c>
      <c r="AL45" s="103">
        <v>45697</v>
      </c>
      <c r="AM45" s="103">
        <f t="shared" si="299"/>
        <v>45698</v>
      </c>
      <c r="AN45" s="103"/>
      <c r="AO45" s="103"/>
      <c r="AP45" s="103"/>
      <c r="AQ45" s="105"/>
      <c r="AR45" s="103"/>
      <c r="AS45" s="103"/>
      <c r="AT45" s="101"/>
      <c r="AU45" s="101"/>
      <c r="AV45" s="101"/>
      <c r="AW45" s="101"/>
      <c r="AX45" s="32">
        <f>운전실적_원본!W45</f>
        <v>1252</v>
      </c>
      <c r="AY45" s="198">
        <f>운전실적_원본!X45</f>
        <v>0</v>
      </c>
      <c r="AZ45" s="198">
        <f>운전실적_원본!Y45</f>
        <v>0</v>
      </c>
      <c r="BA45" s="198">
        <f>운전실적_원본!Z45</f>
        <v>0</v>
      </c>
      <c r="BB45" s="198">
        <f>운전실적_원본!AA45</f>
        <v>0</v>
      </c>
      <c r="BC45" s="198">
        <f>운전실적_원본!AB45</f>
        <v>1252</v>
      </c>
      <c r="BD45" s="32">
        <f t="shared" si="17"/>
        <v>52.166666666666664</v>
      </c>
      <c r="BE45" s="11">
        <f t="shared" si="2"/>
        <v>1.0151131867419083</v>
      </c>
      <c r="BF45" s="11">
        <f>운전실적_원본!AE45</f>
        <v>0</v>
      </c>
      <c r="BG45" s="31">
        <f t="shared" si="0"/>
        <v>0</v>
      </c>
    </row>
    <row r="46" spans="1:59">
      <c r="A46" s="6">
        <f t="shared" si="3"/>
        <v>45698</v>
      </c>
      <c r="B46" s="15">
        <f>운전실적_원본!B46</f>
        <v>4497</v>
      </c>
      <c r="C46" s="16">
        <f t="shared" si="300"/>
        <v>0</v>
      </c>
      <c r="D46" s="9">
        <f>운전실적_원본!C46</f>
        <v>229518</v>
      </c>
      <c r="E46" s="199">
        <f t="shared" si="301"/>
        <v>81</v>
      </c>
      <c r="F46" s="9">
        <f>운전실적_원본!D46</f>
        <v>223934</v>
      </c>
      <c r="G46" s="16">
        <f t="shared" si="302"/>
        <v>0</v>
      </c>
      <c r="H46" s="15">
        <f>운전실적_원본!E46</f>
        <v>13940</v>
      </c>
      <c r="I46" s="16">
        <f t="shared" si="303"/>
        <v>4</v>
      </c>
      <c r="J46" s="15">
        <f>운전실적_원본!E46</f>
        <v>13940</v>
      </c>
      <c r="K46" s="16">
        <f t="shared" si="303"/>
        <v>4</v>
      </c>
      <c r="L46" s="15">
        <f>운전실적_원본!G46</f>
        <v>3775.8</v>
      </c>
      <c r="M46" s="31">
        <f t="shared" ref="M46" si="335">IF(OR(LEN(L46)=0,L46=0),"",L46-L45)</f>
        <v>0.70000000000027285</v>
      </c>
      <c r="N46" s="15">
        <f>운전실적_원본!H46</f>
        <v>7160</v>
      </c>
      <c r="O46" s="16">
        <f t="shared" ref="O46" si="336">IF(OR(LEN(N46)=0,N46=0),"",N46-N45)</f>
        <v>104</v>
      </c>
      <c r="P46" s="15">
        <f>운전실적_원본!I46</f>
        <v>250784</v>
      </c>
      <c r="Q46" s="16">
        <f t="shared" ref="Q46" si="337">IF(OR(LEN(P46)=0,P46=0),"",P46-P45)</f>
        <v>200</v>
      </c>
      <c r="R46" s="18">
        <f>운전실적_원본!J46</f>
        <v>30.17</v>
      </c>
      <c r="S46" s="19">
        <f t="shared" ref="S46" si="338">IF(OR(LEN(R46)=0,R46=0),"",R46-R45)</f>
        <v>-9.9999999999980105E-3</v>
      </c>
      <c r="T46" s="18">
        <f>운전실적_원본!K46</f>
        <v>29.88</v>
      </c>
      <c r="U46" s="19">
        <f t="shared" si="308"/>
        <v>-0.16000000000000014</v>
      </c>
      <c r="V46" s="12">
        <f>운전실적_원본!L46</f>
        <v>0</v>
      </c>
      <c r="W46" s="16" t="str">
        <f t="shared" ref="W46" si="339">IF(OR(LEN(V46)=0,V46=0),"",V46-V45)</f>
        <v/>
      </c>
      <c r="X46" s="10">
        <f>운전실적_원본!M46</f>
        <v>195627.4</v>
      </c>
      <c r="Y46" s="10">
        <f>운전실적_원본!N46</f>
        <v>0</v>
      </c>
      <c r="Z46" s="10">
        <f>운전실적_원본!O46</f>
        <v>0</v>
      </c>
      <c r="AA46" s="10">
        <f>운전실적_원본!P46</f>
        <v>0</v>
      </c>
      <c r="AB46" s="10">
        <f>운전실적_원본!Q46</f>
        <v>0</v>
      </c>
      <c r="AC46" s="10">
        <f>운전실적_원본!R46</f>
        <v>0</v>
      </c>
      <c r="AD46" s="181">
        <f>운전실적_원본!S46</f>
        <v>24</v>
      </c>
      <c r="AE46" s="181">
        <f>운전실적_원본!T46</f>
        <v>0</v>
      </c>
      <c r="AF46" s="181">
        <f>운전실적_원본!U46</f>
        <v>0</v>
      </c>
      <c r="AG46" s="181">
        <f>운전실적_원본!V46</f>
        <v>0</v>
      </c>
      <c r="AH46" s="106">
        <f t="shared" si="1"/>
        <v>24</v>
      </c>
      <c r="AI46" s="107">
        <f t="shared" si="128"/>
        <v>0</v>
      </c>
      <c r="AJ46" s="107">
        <f t="shared" si="15"/>
        <v>0</v>
      </c>
      <c r="AK46" s="204">
        <f t="shared" si="16"/>
        <v>0</v>
      </c>
      <c r="AL46" s="103">
        <v>45698</v>
      </c>
      <c r="AM46" s="103">
        <f t="shared" si="299"/>
        <v>45699</v>
      </c>
      <c r="AN46" s="103"/>
      <c r="AO46" s="103"/>
      <c r="AP46" s="103"/>
      <c r="AQ46" s="105"/>
      <c r="AR46" s="103"/>
      <c r="AS46" s="103"/>
      <c r="AT46" s="101"/>
      <c r="AU46" s="101"/>
      <c r="AV46" s="101"/>
      <c r="AW46" s="101"/>
      <c r="AX46" s="32">
        <f>운전실적_원본!W46</f>
        <v>1248</v>
      </c>
      <c r="AY46" s="198">
        <f>운전실적_원본!X46</f>
        <v>0</v>
      </c>
      <c r="AZ46" s="198">
        <f>운전실적_원본!Y46</f>
        <v>0</v>
      </c>
      <c r="BA46" s="198">
        <f>운전실적_원본!Z46</f>
        <v>0</v>
      </c>
      <c r="BB46" s="198">
        <f>운전실적_원본!AA46</f>
        <v>0</v>
      </c>
      <c r="BC46" s="198">
        <f>운전실적_원본!AB46</f>
        <v>1248</v>
      </c>
      <c r="BD46" s="32">
        <f t="shared" si="17"/>
        <v>52</v>
      </c>
      <c r="BE46" s="11">
        <f t="shared" si="2"/>
        <v>1.011870013621327</v>
      </c>
      <c r="BF46" s="11">
        <f>운전실적_원본!AE46</f>
        <v>0</v>
      </c>
      <c r="BG46" s="31">
        <f t="shared" si="0"/>
        <v>0</v>
      </c>
    </row>
    <row r="47" spans="1:59">
      <c r="A47" s="6">
        <f t="shared" si="3"/>
        <v>45699</v>
      </c>
      <c r="B47" s="15">
        <f>운전실적_원본!B47</f>
        <v>4529</v>
      </c>
      <c r="C47" s="16">
        <f t="shared" si="300"/>
        <v>32</v>
      </c>
      <c r="D47" s="9">
        <f>운전실적_원본!C47</f>
        <v>229630</v>
      </c>
      <c r="E47" s="199">
        <f t="shared" si="301"/>
        <v>112</v>
      </c>
      <c r="F47" s="9">
        <f>운전실적_원본!D47</f>
        <v>224057</v>
      </c>
      <c r="G47" s="16">
        <f t="shared" si="302"/>
        <v>123</v>
      </c>
      <c r="H47" s="15">
        <f>운전실적_원본!E47</f>
        <v>13945</v>
      </c>
      <c r="I47" s="16">
        <f t="shared" si="303"/>
        <v>5</v>
      </c>
      <c r="J47" s="15">
        <f>운전실적_원본!E47</f>
        <v>13945</v>
      </c>
      <c r="K47" s="16">
        <f t="shared" si="303"/>
        <v>5</v>
      </c>
      <c r="L47" s="15">
        <f>운전실적_원본!G47</f>
        <v>3776.8</v>
      </c>
      <c r="M47" s="31">
        <f t="shared" ref="M47" si="340">IF(OR(LEN(L47)=0,L47=0),"",L47-L46)</f>
        <v>1</v>
      </c>
      <c r="N47" s="15">
        <f>운전실적_원본!H47</f>
        <v>7276</v>
      </c>
      <c r="O47" s="16">
        <f t="shared" ref="O47" si="341">IF(OR(LEN(N47)=0,N47=0),"",N47-N46)</f>
        <v>116</v>
      </c>
      <c r="P47" s="15">
        <f>운전실적_원본!I47</f>
        <v>251092</v>
      </c>
      <c r="Q47" s="16">
        <f t="shared" ref="Q47" si="342">IF(OR(LEN(P47)=0,P47=0),"",P47-P46)</f>
        <v>308</v>
      </c>
      <c r="R47" s="18">
        <f>운전실적_원본!J47</f>
        <v>30.53</v>
      </c>
      <c r="S47" s="19">
        <f t="shared" ref="S47" si="343">IF(OR(LEN(R47)=0,R47=0),"",R47-R46)</f>
        <v>0.35999999999999943</v>
      </c>
      <c r="T47" s="18">
        <f>운전실적_원본!K47</f>
        <v>29.9</v>
      </c>
      <c r="U47" s="19">
        <f t="shared" si="308"/>
        <v>1.9999999999999574E-2</v>
      </c>
      <c r="V47" s="12">
        <f>운전실적_원본!L47</f>
        <v>0</v>
      </c>
      <c r="W47" s="16" t="str">
        <f t="shared" ref="W47" si="344">IF(OR(LEN(V47)=0,V47=0),"",V47-V46)</f>
        <v/>
      </c>
      <c r="X47" s="10">
        <f>운전실적_원본!M47</f>
        <v>178529</v>
      </c>
      <c r="Y47" s="10">
        <f>운전실적_원본!N47</f>
        <v>0</v>
      </c>
      <c r="Z47" s="10">
        <f>운전실적_원본!O47</f>
        <v>0</v>
      </c>
      <c r="AA47" s="10">
        <f>운전실적_원본!P47</f>
        <v>0</v>
      </c>
      <c r="AB47" s="10">
        <f>운전실적_원본!Q47</f>
        <v>0</v>
      </c>
      <c r="AC47" s="10">
        <f>운전실적_원본!R47</f>
        <v>0</v>
      </c>
      <c r="AD47" s="181">
        <f>운전실적_원본!S47</f>
        <v>22</v>
      </c>
      <c r="AE47" s="181">
        <f>운전실적_원본!T47</f>
        <v>0</v>
      </c>
      <c r="AF47" s="181">
        <f>운전실적_원본!U47</f>
        <v>0</v>
      </c>
      <c r="AG47" s="181">
        <f>운전실적_원본!V47</f>
        <v>0</v>
      </c>
      <c r="AH47" s="106">
        <f t="shared" si="1"/>
        <v>21.999999999941792</v>
      </c>
      <c r="AI47" s="107">
        <f t="shared" si="128"/>
        <v>0</v>
      </c>
      <c r="AJ47" s="107">
        <f t="shared" si="15"/>
        <v>0</v>
      </c>
      <c r="AK47" s="204">
        <f t="shared" si="16"/>
        <v>0</v>
      </c>
      <c r="AL47" s="103">
        <v>45699</v>
      </c>
      <c r="AM47" s="103">
        <v>45699.916666666664</v>
      </c>
      <c r="AN47" s="103"/>
      <c r="AO47" s="103"/>
      <c r="AP47" s="103"/>
      <c r="AQ47" s="105"/>
      <c r="AR47" s="103"/>
      <c r="AS47" s="103"/>
      <c r="AT47" s="101"/>
      <c r="AU47" s="101"/>
      <c r="AV47" s="101"/>
      <c r="AW47" s="101"/>
      <c r="AX47" s="32">
        <f>운전실적_원본!W47</f>
        <v>1127</v>
      </c>
      <c r="AY47" s="198">
        <f>운전실적_원본!X47</f>
        <v>0</v>
      </c>
      <c r="AZ47" s="198">
        <f>운전실적_원본!Y47</f>
        <v>0</v>
      </c>
      <c r="BA47" s="198">
        <f>운전실적_원본!Z47</f>
        <v>0</v>
      </c>
      <c r="BB47" s="198">
        <f>운전실적_원본!AA47</f>
        <v>0</v>
      </c>
      <c r="BC47" s="198">
        <f>운전실적_원본!AB47</f>
        <v>1127</v>
      </c>
      <c r="BD47" s="32">
        <f t="shared" si="17"/>
        <v>51.227272727272727</v>
      </c>
      <c r="BE47" s="11">
        <f t="shared" si="2"/>
        <v>0.99683348369863256</v>
      </c>
      <c r="BF47" s="11">
        <f>운전실적_원본!AE47</f>
        <v>0</v>
      </c>
      <c r="BG47" s="31">
        <f t="shared" si="0"/>
        <v>0</v>
      </c>
    </row>
    <row r="48" spans="1:59">
      <c r="A48" s="6">
        <f t="shared" si="3"/>
        <v>45700</v>
      </c>
      <c r="B48" s="15">
        <f>운전실적_원본!B48</f>
        <v>4560</v>
      </c>
      <c r="C48" s="16">
        <f t="shared" si="300"/>
        <v>31</v>
      </c>
      <c r="D48" s="9">
        <f>운전실적_원본!C48</f>
        <v>229756</v>
      </c>
      <c r="E48" s="199">
        <f t="shared" si="301"/>
        <v>126</v>
      </c>
      <c r="F48" s="9">
        <f>운전실적_원본!D48</f>
        <v>224142</v>
      </c>
      <c r="G48" s="16">
        <f t="shared" si="302"/>
        <v>85</v>
      </c>
      <c r="H48" s="15">
        <f>운전실적_원본!E48</f>
        <v>13949</v>
      </c>
      <c r="I48" s="16">
        <f t="shared" si="303"/>
        <v>4</v>
      </c>
      <c r="J48" s="15">
        <f>운전실적_원본!E48</f>
        <v>13949</v>
      </c>
      <c r="K48" s="16">
        <f t="shared" si="303"/>
        <v>4</v>
      </c>
      <c r="L48" s="15">
        <f>운전실적_원본!G48</f>
        <v>3777.9</v>
      </c>
      <c r="M48" s="31">
        <f t="shared" ref="M48" si="345">IF(OR(LEN(L48)=0,L48=0),"",L48-L47)</f>
        <v>1.0999999999999091</v>
      </c>
      <c r="N48" s="15">
        <f>운전실적_원본!H48</f>
        <v>7392</v>
      </c>
      <c r="O48" s="16">
        <f t="shared" ref="O48" si="346">IF(OR(LEN(N48)=0,N48=0),"",N48-N47)</f>
        <v>116</v>
      </c>
      <c r="P48" s="15">
        <f>운전실적_원본!I48</f>
        <v>251389</v>
      </c>
      <c r="Q48" s="16">
        <f t="shared" ref="Q48" si="347">IF(OR(LEN(P48)=0,P48=0),"",P48-P47)</f>
        <v>297</v>
      </c>
      <c r="R48" s="18">
        <f>운전실적_원본!J48</f>
        <v>30.44</v>
      </c>
      <c r="S48" s="19">
        <f t="shared" ref="S48" si="348">IF(OR(LEN(R48)=0,R48=0),"",R48-R47)</f>
        <v>-8.9999999999999858E-2</v>
      </c>
      <c r="T48" s="18">
        <f>운전실적_원본!K48</f>
        <v>30</v>
      </c>
      <c r="U48" s="19">
        <f t="shared" si="308"/>
        <v>0.10000000000000142</v>
      </c>
      <c r="V48" s="12">
        <f>운전실적_원본!L48</f>
        <v>0</v>
      </c>
      <c r="W48" s="16" t="str">
        <f t="shared" ref="W48" si="349">IF(OR(LEN(V48)=0,V48=0),"",V48-V47)</f>
        <v/>
      </c>
      <c r="X48" s="10">
        <f>운전실적_원본!M48</f>
        <v>131754.30000000075</v>
      </c>
      <c r="Y48" s="10">
        <f>운전실적_원본!N48</f>
        <v>0</v>
      </c>
      <c r="Z48" s="10">
        <f>운전실적_원본!O48</f>
        <v>0</v>
      </c>
      <c r="AA48" s="10">
        <f>운전실적_원본!P48</f>
        <v>0</v>
      </c>
      <c r="AB48" s="10">
        <f>운전실적_원본!Q48</f>
        <v>0</v>
      </c>
      <c r="AC48" s="10">
        <f>운전실적_원본!R48</f>
        <v>0</v>
      </c>
      <c r="AD48" s="181">
        <f>운전실적_원본!S48</f>
        <v>18</v>
      </c>
      <c r="AE48" s="181">
        <f>운전실적_원본!T48</f>
        <v>0</v>
      </c>
      <c r="AF48" s="181">
        <f>운전실적_원본!U48</f>
        <v>0</v>
      </c>
      <c r="AG48" s="181">
        <f>운전실적_원본!V48</f>
        <v>0</v>
      </c>
      <c r="AH48" s="106">
        <f t="shared" si="1"/>
        <v>17.666666666627862</v>
      </c>
      <c r="AI48" s="107">
        <f t="shared" si="128"/>
        <v>0</v>
      </c>
      <c r="AJ48" s="107">
        <f t="shared" si="15"/>
        <v>0</v>
      </c>
      <c r="AK48" s="204">
        <f t="shared" si="16"/>
        <v>0</v>
      </c>
      <c r="AL48" s="103">
        <v>45700.263888888891</v>
      </c>
      <c r="AM48" s="103">
        <f>AL49</f>
        <v>45701</v>
      </c>
      <c r="AN48" s="103"/>
      <c r="AO48" s="103"/>
      <c r="AP48" s="103"/>
      <c r="AQ48" s="105"/>
      <c r="AR48" s="103"/>
      <c r="AS48" s="103"/>
      <c r="AT48" s="101"/>
      <c r="AU48" s="101"/>
      <c r="AV48" s="101"/>
      <c r="AW48" s="101"/>
      <c r="AX48" s="32">
        <f>운전실적_원본!W48</f>
        <v>834</v>
      </c>
      <c r="AY48" s="198">
        <f>운전실적_원본!X48</f>
        <v>0</v>
      </c>
      <c r="AZ48" s="198">
        <f>운전실적_원본!Y48</f>
        <v>0</v>
      </c>
      <c r="BA48" s="198">
        <f>운전실적_원본!Z48</f>
        <v>0</v>
      </c>
      <c r="BB48" s="198">
        <f>운전실적_원본!AA48</f>
        <v>0</v>
      </c>
      <c r="BC48" s="198">
        <f>운전실적_원본!AB48</f>
        <v>834</v>
      </c>
      <c r="BD48" s="32">
        <f t="shared" si="17"/>
        <v>46.333333333333336</v>
      </c>
      <c r="BE48" s="11">
        <f t="shared" si="2"/>
        <v>0.9016021275215671</v>
      </c>
      <c r="BF48" s="11">
        <f>운전실적_원본!AE48</f>
        <v>0</v>
      </c>
      <c r="BG48" s="31">
        <f t="shared" si="0"/>
        <v>0</v>
      </c>
    </row>
    <row r="49" spans="1:59">
      <c r="A49" s="6">
        <f t="shared" si="3"/>
        <v>45701</v>
      </c>
      <c r="B49" s="15">
        <f>운전실적_원본!B49</f>
        <v>4591</v>
      </c>
      <c r="C49" s="16">
        <f t="shared" si="300"/>
        <v>31</v>
      </c>
      <c r="D49" s="9">
        <f>운전실적_원본!C49</f>
        <v>229816</v>
      </c>
      <c r="E49" s="199">
        <f t="shared" si="301"/>
        <v>60</v>
      </c>
      <c r="F49" s="9">
        <f>운전실적_원본!D49</f>
        <v>224267</v>
      </c>
      <c r="G49" s="16">
        <f t="shared" si="302"/>
        <v>125</v>
      </c>
      <c r="H49" s="15">
        <f>운전실적_원본!E49</f>
        <v>13955</v>
      </c>
      <c r="I49" s="16">
        <f t="shared" si="303"/>
        <v>6</v>
      </c>
      <c r="J49" s="15">
        <f>운전실적_원본!E49</f>
        <v>13955</v>
      </c>
      <c r="K49" s="16">
        <f t="shared" si="303"/>
        <v>6</v>
      </c>
      <c r="L49" s="15">
        <f>운전실적_원본!G49</f>
        <v>3779</v>
      </c>
      <c r="M49" s="31">
        <f t="shared" ref="M49" si="350">IF(OR(LEN(L49)=0,L49=0),"",L49-L48)</f>
        <v>1.0999999999999091</v>
      </c>
      <c r="N49" s="15">
        <f>운전실적_원본!H49</f>
        <v>7507</v>
      </c>
      <c r="O49" s="16">
        <f t="shared" ref="O49" si="351">IF(OR(LEN(N49)=0,N49=0),"",N49-N48)</f>
        <v>115</v>
      </c>
      <c r="P49" s="15">
        <f>운전실적_원본!I49</f>
        <v>251684</v>
      </c>
      <c r="Q49" s="16">
        <f t="shared" ref="Q49" si="352">IF(OR(LEN(P49)=0,P49=0),"",P49-P48)</f>
        <v>295</v>
      </c>
      <c r="R49" s="18">
        <f>운전실적_원본!J49</f>
        <v>30.53</v>
      </c>
      <c r="S49" s="19">
        <f t="shared" ref="S49" si="353">IF(OR(LEN(R49)=0,R49=0),"",R49-R48)</f>
        <v>8.9999999999999858E-2</v>
      </c>
      <c r="T49" s="18">
        <f>운전실적_원본!K49</f>
        <v>30.07</v>
      </c>
      <c r="U49" s="19">
        <f t="shared" si="308"/>
        <v>7.0000000000000284E-2</v>
      </c>
      <c r="V49" s="12">
        <f>운전실적_원본!L49</f>
        <v>0</v>
      </c>
      <c r="W49" s="16" t="str">
        <f t="shared" ref="W49" si="354">IF(OR(LEN(V49)=0,V49=0),"",V49-V48)</f>
        <v/>
      </c>
      <c r="X49" s="10">
        <f>운전실적_원본!M49</f>
        <v>183181.89999999851</v>
      </c>
      <c r="Y49" s="10">
        <f>운전실적_원본!N49</f>
        <v>0</v>
      </c>
      <c r="Z49" s="10">
        <f>운전실적_원본!O49</f>
        <v>0</v>
      </c>
      <c r="AA49" s="10">
        <f>운전실적_원본!P49</f>
        <v>0</v>
      </c>
      <c r="AB49" s="10">
        <f>운전실적_원본!Q49</f>
        <v>0</v>
      </c>
      <c r="AC49" s="10">
        <f>운전실적_원본!R49</f>
        <v>0</v>
      </c>
      <c r="AD49" s="181">
        <f>운전실적_원본!S49</f>
        <v>23</v>
      </c>
      <c r="AE49" s="181">
        <f>운전실적_원본!T49</f>
        <v>0</v>
      </c>
      <c r="AF49" s="181">
        <f>운전실적_원본!U49</f>
        <v>0</v>
      </c>
      <c r="AG49" s="181">
        <f>운전실적_원본!V49</f>
        <v>0</v>
      </c>
      <c r="AH49" s="106">
        <f t="shared" si="1"/>
        <v>23.000000000058208</v>
      </c>
      <c r="AI49" s="107">
        <f t="shared" si="128"/>
        <v>0</v>
      </c>
      <c r="AJ49" s="107">
        <f t="shared" si="15"/>
        <v>0</v>
      </c>
      <c r="AK49" s="204">
        <f t="shared" si="16"/>
        <v>0</v>
      </c>
      <c r="AL49" s="103">
        <v>45701</v>
      </c>
      <c r="AM49" s="103">
        <v>45701.958333333336</v>
      </c>
      <c r="AN49" s="103"/>
      <c r="AO49" s="103"/>
      <c r="AP49" s="103"/>
      <c r="AQ49" s="105"/>
      <c r="AR49" s="103"/>
      <c r="AS49" s="103"/>
      <c r="AT49" s="101"/>
      <c r="AU49" s="101"/>
      <c r="AV49" s="101"/>
      <c r="AW49" s="101"/>
      <c r="AX49" s="32">
        <f>운전실적_원본!W49</f>
        <v>1178</v>
      </c>
      <c r="AY49" s="198">
        <f>운전실적_원본!X49</f>
        <v>0</v>
      </c>
      <c r="AZ49" s="198">
        <f>운전실적_원본!Y49</f>
        <v>0</v>
      </c>
      <c r="BA49" s="198">
        <f>운전실적_원본!Z49</f>
        <v>0</v>
      </c>
      <c r="BB49" s="198">
        <f>운전실적_원본!AA49</f>
        <v>0</v>
      </c>
      <c r="BC49" s="198">
        <f>운전실적_원본!AB49</f>
        <v>1178</v>
      </c>
      <c r="BD49" s="32">
        <f t="shared" si="17"/>
        <v>51.217391304347828</v>
      </c>
      <c r="BE49" s="11">
        <f t="shared" si="2"/>
        <v>0.99664120070729378</v>
      </c>
      <c r="BF49" s="11">
        <f>운전실적_원본!AE49</f>
        <v>0</v>
      </c>
      <c r="BG49" s="31">
        <f t="shared" si="0"/>
        <v>0</v>
      </c>
    </row>
    <row r="50" spans="1:59">
      <c r="A50" s="6">
        <f t="shared" si="3"/>
        <v>45702</v>
      </c>
      <c r="B50" s="15">
        <f>운전실적_원본!B50</f>
        <v>4623</v>
      </c>
      <c r="C50" s="16">
        <f t="shared" si="300"/>
        <v>32</v>
      </c>
      <c r="D50" s="9">
        <f>운전실적_원본!C50</f>
        <v>229915</v>
      </c>
      <c r="E50" s="199">
        <f t="shared" si="301"/>
        <v>99</v>
      </c>
      <c r="F50" s="9">
        <f>운전실적_원본!D50</f>
        <v>224391</v>
      </c>
      <c r="G50" s="16">
        <f t="shared" si="302"/>
        <v>124</v>
      </c>
      <c r="H50" s="15">
        <f>운전실적_원본!E50</f>
        <v>13958</v>
      </c>
      <c r="I50" s="16">
        <f t="shared" si="303"/>
        <v>3</v>
      </c>
      <c r="J50" s="15">
        <f>운전실적_원본!E50</f>
        <v>13958</v>
      </c>
      <c r="K50" s="16">
        <f t="shared" si="303"/>
        <v>3</v>
      </c>
      <c r="L50" s="15">
        <f>운전실적_원본!G50</f>
        <v>3780.2</v>
      </c>
      <c r="M50" s="31">
        <f t="shared" ref="M50" si="355">IF(OR(LEN(L50)=0,L50=0),"",L50-L49)</f>
        <v>1.1999999999998181</v>
      </c>
      <c r="N50" s="15">
        <f>운전실적_원본!H50</f>
        <v>7622</v>
      </c>
      <c r="O50" s="16">
        <f t="shared" ref="O50" si="356">IF(OR(LEN(N50)=0,N50=0),"",N50-N49)</f>
        <v>115</v>
      </c>
      <c r="P50" s="15">
        <f>운전실적_원본!I50</f>
        <v>251982</v>
      </c>
      <c r="Q50" s="16">
        <f t="shared" ref="Q50" si="357">IF(OR(LEN(P50)=0,P50=0),"",P50-P49)</f>
        <v>298</v>
      </c>
      <c r="R50" s="18">
        <f>운전실적_원본!J50</f>
        <v>30.8</v>
      </c>
      <c r="S50" s="19">
        <f t="shared" ref="S50" si="358">IF(OR(LEN(R50)=0,R50=0),"",R50-R49)</f>
        <v>0.26999999999999957</v>
      </c>
      <c r="T50" s="18">
        <f>운전실적_원본!K50</f>
        <v>30.1</v>
      </c>
      <c r="U50" s="19">
        <f t="shared" si="308"/>
        <v>3.0000000000001137E-2</v>
      </c>
      <c r="V50" s="12">
        <f>운전실적_원본!L50</f>
        <v>0</v>
      </c>
      <c r="W50" s="16" t="str">
        <f t="shared" ref="W50" si="359">IF(OR(LEN(V50)=0,V50=0),"",V50-V49)</f>
        <v/>
      </c>
      <c r="X50" s="10">
        <f>운전실적_원본!M50</f>
        <v>118169.1</v>
      </c>
      <c r="Y50" s="10">
        <f>운전실적_원본!N50</f>
        <v>0</v>
      </c>
      <c r="Z50" s="10">
        <f>운전실적_원본!O50</f>
        <v>0</v>
      </c>
      <c r="AA50" s="10">
        <f>운전실적_원본!P50</f>
        <v>0</v>
      </c>
      <c r="AB50" s="10">
        <f>운전실적_원본!Q50</f>
        <v>0</v>
      </c>
      <c r="AC50" s="10">
        <f>운전실적_원본!R50</f>
        <v>0</v>
      </c>
      <c r="AD50" s="181">
        <f>운전실적_원본!S50</f>
        <v>14</v>
      </c>
      <c r="AE50" s="181">
        <f>운전실적_원본!T50</f>
        <v>0</v>
      </c>
      <c r="AF50" s="181">
        <f>운전실적_원본!U50</f>
        <v>0</v>
      </c>
      <c r="AG50" s="181">
        <f>운전실적_원본!V50</f>
        <v>0</v>
      </c>
      <c r="AH50" s="106">
        <f t="shared" si="1"/>
        <v>16.5</v>
      </c>
      <c r="AI50" s="107">
        <f t="shared" si="128"/>
        <v>0</v>
      </c>
      <c r="AJ50" s="107">
        <f t="shared" si="15"/>
        <v>0</v>
      </c>
      <c r="AK50" s="204">
        <f t="shared" si="16"/>
        <v>0</v>
      </c>
      <c r="AL50" s="103">
        <v>45702.229166666664</v>
      </c>
      <c r="AM50" s="103">
        <v>45702.916666666664</v>
      </c>
      <c r="AN50" s="103"/>
      <c r="AO50" s="103"/>
      <c r="AP50" s="103"/>
      <c r="AQ50" s="105"/>
      <c r="AR50" s="103"/>
      <c r="AS50" s="103"/>
      <c r="AT50" s="101"/>
      <c r="AU50" s="101"/>
      <c r="AV50" s="101"/>
      <c r="AW50" s="101"/>
      <c r="AX50" s="32">
        <f>운전실적_원본!W50</f>
        <v>753.5</v>
      </c>
      <c r="AY50" s="198">
        <f>운전실적_원본!X50</f>
        <v>0</v>
      </c>
      <c r="AZ50" s="198">
        <f>운전실적_원본!Y50</f>
        <v>0</v>
      </c>
      <c r="BA50" s="198">
        <f>운전실적_원본!Z50</f>
        <v>0</v>
      </c>
      <c r="BB50" s="198">
        <f>운전실적_원본!AA50</f>
        <v>0</v>
      </c>
      <c r="BC50" s="198">
        <f>운전실적_원본!AB50</f>
        <v>753.5</v>
      </c>
      <c r="BD50" s="32">
        <f t="shared" si="17"/>
        <v>53.821428571428569</v>
      </c>
      <c r="BE50" s="11">
        <f t="shared" si="2"/>
        <v>1.0473132627248214</v>
      </c>
      <c r="BF50" s="11">
        <f>운전실적_원본!AE50</f>
        <v>0</v>
      </c>
      <c r="BG50" s="31">
        <f t="shared" si="0"/>
        <v>0</v>
      </c>
    </row>
    <row r="51" spans="1:59">
      <c r="A51" s="6">
        <f t="shared" si="3"/>
        <v>45703</v>
      </c>
      <c r="B51" s="15">
        <f>운전실적_원본!B51</f>
        <v>4652</v>
      </c>
      <c r="C51" s="16">
        <f t="shared" si="300"/>
        <v>29</v>
      </c>
      <c r="D51" s="9">
        <f>운전실적_원본!C51</f>
        <v>230048</v>
      </c>
      <c r="E51" s="199">
        <f t="shared" si="301"/>
        <v>133</v>
      </c>
      <c r="F51" s="9">
        <f>운전실적_원본!D51</f>
        <v>224430</v>
      </c>
      <c r="G51" s="16">
        <f t="shared" si="302"/>
        <v>39</v>
      </c>
      <c r="H51" s="15">
        <f>운전실적_원본!E51</f>
        <v>13961</v>
      </c>
      <c r="I51" s="16">
        <f t="shared" si="303"/>
        <v>3</v>
      </c>
      <c r="J51" s="15">
        <f>운전실적_원본!E51</f>
        <v>13961</v>
      </c>
      <c r="K51" s="16">
        <f t="shared" si="303"/>
        <v>3</v>
      </c>
      <c r="L51" s="15">
        <f>운전실적_원본!G51</f>
        <v>3781.1</v>
      </c>
      <c r="M51" s="31">
        <f t="shared" ref="M51" si="360">IF(OR(LEN(L51)=0,L51=0),"",L51-L50)</f>
        <v>0.90000000000009095</v>
      </c>
      <c r="N51" s="15">
        <f>운전실적_원본!H51</f>
        <v>7738</v>
      </c>
      <c r="O51" s="16">
        <f t="shared" ref="O51" si="361">IF(OR(LEN(N51)=0,N51=0),"",N51-N50)</f>
        <v>116</v>
      </c>
      <c r="P51" s="15">
        <f>운전실적_원본!I51</f>
        <v>252224</v>
      </c>
      <c r="Q51" s="16">
        <f t="shared" ref="Q51" si="362">IF(OR(LEN(P51)=0,P51=0),"",P51-P50)</f>
        <v>242</v>
      </c>
      <c r="R51" s="18">
        <f>운전실적_원본!J51</f>
        <v>30.8</v>
      </c>
      <c r="S51" s="19">
        <f t="shared" ref="S51" si="363">IF(OR(LEN(R51)=0,R51=0),"",R51-R50)</f>
        <v>0</v>
      </c>
      <c r="T51" s="18">
        <f>운전실적_원본!K51</f>
        <v>30.1</v>
      </c>
      <c r="U51" s="19">
        <f t="shared" si="308"/>
        <v>0</v>
      </c>
      <c r="V51" s="12">
        <f>운전실적_원본!L51</f>
        <v>0</v>
      </c>
      <c r="W51" s="16" t="str">
        <f t="shared" ref="W51" si="364">IF(OR(LEN(V51)=0,V51=0),"",V51-V50)</f>
        <v/>
      </c>
      <c r="X51" s="10">
        <f>운전실적_원본!M51</f>
        <v>0</v>
      </c>
      <c r="Y51" s="10">
        <f>운전실적_원본!N51</f>
        <v>0</v>
      </c>
      <c r="Z51" s="10">
        <f>운전실적_원본!O51</f>
        <v>0</v>
      </c>
      <c r="AA51" s="10">
        <f>운전실적_원본!P51</f>
        <v>0</v>
      </c>
      <c r="AB51" s="10">
        <f>운전실적_원본!Q51</f>
        <v>0</v>
      </c>
      <c r="AC51" s="10">
        <f>운전실적_원본!R51</f>
        <v>0</v>
      </c>
      <c r="AD51" s="181">
        <f>운전실적_원본!S51</f>
        <v>0</v>
      </c>
      <c r="AE51" s="181">
        <f>운전실적_원본!T51</f>
        <v>0</v>
      </c>
      <c r="AF51" s="181">
        <f>운전실적_원본!U51</f>
        <v>0</v>
      </c>
      <c r="AG51" s="181">
        <f>운전실적_원본!V51</f>
        <v>0</v>
      </c>
      <c r="AH51" s="106">
        <f t="shared" si="1"/>
        <v>0</v>
      </c>
      <c r="AI51" s="107">
        <f t="shared" si="128"/>
        <v>0</v>
      </c>
      <c r="AJ51" s="107">
        <f t="shared" si="15"/>
        <v>0</v>
      </c>
      <c r="AK51" s="204">
        <f t="shared" si="16"/>
        <v>0</v>
      </c>
      <c r="AL51" s="103"/>
      <c r="AM51" s="103"/>
      <c r="AN51" s="103"/>
      <c r="AO51" s="103"/>
      <c r="AP51" s="103"/>
      <c r="AQ51" s="105"/>
      <c r="AR51" s="103"/>
      <c r="AS51" s="103"/>
      <c r="AT51" s="101"/>
      <c r="AU51" s="101"/>
      <c r="AV51" s="101"/>
      <c r="AW51" s="101"/>
      <c r="AX51" s="32">
        <f>운전실적_원본!W51</f>
        <v>0</v>
      </c>
      <c r="AY51" s="198">
        <f>운전실적_원본!X51</f>
        <v>0</v>
      </c>
      <c r="AZ51" s="198">
        <f>운전실적_원본!Y51</f>
        <v>0</v>
      </c>
      <c r="BA51" s="198">
        <f>운전실적_원본!Z51</f>
        <v>0</v>
      </c>
      <c r="BB51" s="198">
        <f>운전실적_원본!AA51</f>
        <v>0</v>
      </c>
      <c r="BC51" s="198">
        <f>운전실적_원본!AB51</f>
        <v>0</v>
      </c>
      <c r="BD51" s="32" t="str">
        <f t="shared" si="17"/>
        <v>-</v>
      </c>
      <c r="BE51" s="11" t="str">
        <f t="shared" si="2"/>
        <v>-</v>
      </c>
      <c r="BF51" s="11">
        <f>운전실적_원본!AE51</f>
        <v>0</v>
      </c>
      <c r="BG51" s="31">
        <f t="shared" si="0"/>
        <v>0</v>
      </c>
    </row>
    <row r="52" spans="1:59">
      <c r="A52" s="6">
        <f t="shared" si="3"/>
        <v>45704</v>
      </c>
      <c r="B52" s="15">
        <f>운전실적_원본!B52</f>
        <v>4652</v>
      </c>
      <c r="C52" s="16">
        <f t="shared" si="300"/>
        <v>0</v>
      </c>
      <c r="D52" s="9">
        <f>운전실적_원본!C52</f>
        <v>230048</v>
      </c>
      <c r="E52" s="199">
        <f t="shared" si="301"/>
        <v>0</v>
      </c>
      <c r="F52" s="9">
        <f>운전실적_원본!D52</f>
        <v>224430</v>
      </c>
      <c r="G52" s="16">
        <f t="shared" si="302"/>
        <v>0</v>
      </c>
      <c r="H52" s="15">
        <f>운전실적_원본!E52</f>
        <v>13963</v>
      </c>
      <c r="I52" s="16">
        <f t="shared" si="303"/>
        <v>2</v>
      </c>
      <c r="J52" s="15">
        <f>운전실적_원본!E52</f>
        <v>13963</v>
      </c>
      <c r="K52" s="16">
        <f t="shared" si="303"/>
        <v>2</v>
      </c>
      <c r="L52" s="15">
        <f>운전실적_원본!G52</f>
        <v>3781.5</v>
      </c>
      <c r="M52" s="31">
        <f t="shared" ref="M52" si="365">IF(OR(LEN(L52)=0,L52=0),"",L52-L51)</f>
        <v>0.40000000000009095</v>
      </c>
      <c r="N52" s="15">
        <f>운전실적_원본!H52</f>
        <v>7738</v>
      </c>
      <c r="O52" s="16">
        <f t="shared" ref="O52" si="366">IF(OR(LEN(N52)=0,N52=0),"",N52-N51)</f>
        <v>0</v>
      </c>
      <c r="P52" s="15">
        <f>운전실적_원본!I52</f>
        <v>252252</v>
      </c>
      <c r="Q52" s="16">
        <f t="shared" ref="Q52" si="367">IF(OR(LEN(P52)=0,P52=0),"",P52-P51)</f>
        <v>28</v>
      </c>
      <c r="R52" s="18">
        <f>운전실적_원본!J52</f>
        <v>30.5</v>
      </c>
      <c r="S52" s="19">
        <f t="shared" ref="S52" si="368">IF(OR(LEN(R52)=0,R52=0),"",R52-R51)</f>
        <v>-0.30000000000000071</v>
      </c>
      <c r="T52" s="18">
        <f>운전실적_원본!K52</f>
        <v>30.036000000000001</v>
      </c>
      <c r="U52" s="19">
        <f t="shared" si="308"/>
        <v>-6.4000000000000057E-2</v>
      </c>
      <c r="V52" s="12">
        <f>운전실적_원본!L52</f>
        <v>0</v>
      </c>
      <c r="W52" s="16" t="str">
        <f t="shared" ref="W52" si="369">IF(OR(LEN(V52)=0,V52=0),"",V52-V51)</f>
        <v/>
      </c>
      <c r="X52" s="10">
        <f>운전실적_원본!M52</f>
        <v>0</v>
      </c>
      <c r="Y52" s="10">
        <f>운전실적_원본!N52</f>
        <v>0</v>
      </c>
      <c r="Z52" s="10">
        <f>운전실적_원본!O52</f>
        <v>0</v>
      </c>
      <c r="AA52" s="10">
        <f>운전실적_원본!P52</f>
        <v>0</v>
      </c>
      <c r="AB52" s="10">
        <f>운전실적_원본!Q52</f>
        <v>0</v>
      </c>
      <c r="AC52" s="10">
        <f>운전실적_원본!R52</f>
        <v>0</v>
      </c>
      <c r="AD52" s="181">
        <f>운전실적_원본!S52</f>
        <v>0</v>
      </c>
      <c r="AE52" s="181">
        <f>운전실적_원본!T52</f>
        <v>0</v>
      </c>
      <c r="AF52" s="181">
        <f>운전실적_원본!U52</f>
        <v>0</v>
      </c>
      <c r="AG52" s="181">
        <f>운전실적_원본!V52</f>
        <v>0</v>
      </c>
      <c r="AH52" s="106">
        <f t="shared" si="1"/>
        <v>0</v>
      </c>
      <c r="AI52" s="107">
        <f t="shared" si="128"/>
        <v>0</v>
      </c>
      <c r="AJ52" s="107">
        <f t="shared" si="15"/>
        <v>0</v>
      </c>
      <c r="AK52" s="204">
        <f t="shared" si="16"/>
        <v>0</v>
      </c>
      <c r="AL52" s="103"/>
      <c r="AM52" s="103"/>
      <c r="AN52" s="103"/>
      <c r="AO52" s="103"/>
      <c r="AP52" s="103"/>
      <c r="AQ52" s="105"/>
      <c r="AR52" s="103"/>
      <c r="AS52" s="103"/>
      <c r="AT52" s="101"/>
      <c r="AU52" s="101"/>
      <c r="AV52" s="101"/>
      <c r="AW52" s="101"/>
      <c r="AX52" s="32">
        <f>운전실적_원본!W52</f>
        <v>0</v>
      </c>
      <c r="AY52" s="198">
        <f>운전실적_원본!X52</f>
        <v>0</v>
      </c>
      <c r="AZ52" s="198">
        <f>운전실적_원본!Y52</f>
        <v>0</v>
      </c>
      <c r="BA52" s="198">
        <f>운전실적_원본!Z52</f>
        <v>0</v>
      </c>
      <c r="BB52" s="198">
        <f>운전실적_원본!AA52</f>
        <v>0</v>
      </c>
      <c r="BC52" s="198">
        <f>운전실적_원본!AB52</f>
        <v>0</v>
      </c>
      <c r="BD52" s="32" t="str">
        <f t="shared" si="17"/>
        <v>-</v>
      </c>
      <c r="BE52" s="11" t="str">
        <f t="shared" si="2"/>
        <v>-</v>
      </c>
      <c r="BF52" s="11">
        <f>운전실적_원본!AE52</f>
        <v>0</v>
      </c>
      <c r="BG52" s="31">
        <f t="shared" si="0"/>
        <v>0</v>
      </c>
    </row>
    <row r="53" spans="1:59">
      <c r="A53" s="6">
        <f t="shared" si="3"/>
        <v>45705</v>
      </c>
      <c r="B53" s="15">
        <f>운전실적_원본!B53</f>
        <v>4655</v>
      </c>
      <c r="C53" s="16">
        <f t="shared" si="300"/>
        <v>3</v>
      </c>
      <c r="D53" s="9">
        <f>운전실적_원본!C53</f>
        <v>230124</v>
      </c>
      <c r="E53" s="199">
        <f t="shared" si="301"/>
        <v>76</v>
      </c>
      <c r="F53" s="9">
        <f>운전실적_원본!D53</f>
        <v>224498</v>
      </c>
      <c r="G53" s="16">
        <f t="shared" si="302"/>
        <v>68</v>
      </c>
      <c r="H53" s="15">
        <f>운전실적_원본!E53</f>
        <v>13970</v>
      </c>
      <c r="I53" s="16">
        <f t="shared" si="303"/>
        <v>7</v>
      </c>
      <c r="J53" s="15">
        <f>운전실적_원본!E53</f>
        <v>13970</v>
      </c>
      <c r="K53" s="16">
        <f t="shared" si="303"/>
        <v>7</v>
      </c>
      <c r="L53" s="15">
        <f>운전실적_원본!G53</f>
        <v>3782.3</v>
      </c>
      <c r="M53" s="31">
        <f t="shared" ref="M53" si="370">IF(OR(LEN(L53)=0,L53=0),"",L53-L52)</f>
        <v>0.8000000000001819</v>
      </c>
      <c r="N53" s="15">
        <f>운전실적_원본!H53</f>
        <v>7846</v>
      </c>
      <c r="O53" s="16">
        <f t="shared" ref="O53" si="371">IF(OR(LEN(N53)=0,N53=0),"",N53-N52)</f>
        <v>108</v>
      </c>
      <c r="P53" s="15">
        <f>운전실적_원본!I53</f>
        <v>252473</v>
      </c>
      <c r="Q53" s="16">
        <f t="shared" ref="Q53" si="372">IF(OR(LEN(P53)=0,P53=0),"",P53-P52)</f>
        <v>221</v>
      </c>
      <c r="R53" s="18">
        <f>운전실적_원본!J53</f>
        <v>30.39</v>
      </c>
      <c r="S53" s="19">
        <f t="shared" ref="S53" si="373">IF(OR(LEN(R53)=0,R53=0),"",R53-R52)</f>
        <v>-0.10999999999999943</v>
      </c>
      <c r="T53" s="18">
        <f>운전실적_원본!K53</f>
        <v>29.95</v>
      </c>
      <c r="U53" s="19">
        <f t="shared" si="308"/>
        <v>-8.6000000000002075E-2</v>
      </c>
      <c r="V53" s="12">
        <f>운전실적_원본!L53</f>
        <v>0</v>
      </c>
      <c r="W53" s="16" t="str">
        <f t="shared" ref="W53" si="374">IF(OR(LEN(V53)=0,V53=0),"",V53-V52)</f>
        <v/>
      </c>
      <c r="X53" s="10">
        <f>운전실적_원본!M53</f>
        <v>139122</v>
      </c>
      <c r="Y53" s="10">
        <f>운전실적_원본!N53</f>
        <v>0</v>
      </c>
      <c r="Z53" s="10">
        <f>운전실적_원본!O53</f>
        <v>0</v>
      </c>
      <c r="AA53" s="10">
        <f>운전실적_원본!P53</f>
        <v>0</v>
      </c>
      <c r="AB53" s="10">
        <f>운전실적_원본!Q53</f>
        <v>0</v>
      </c>
      <c r="AC53" s="10">
        <f>운전실적_원본!R53</f>
        <v>0</v>
      </c>
      <c r="AD53" s="181">
        <f>운전실적_원본!S53</f>
        <v>21</v>
      </c>
      <c r="AE53" s="181">
        <f>운전실적_원본!T53</f>
        <v>0</v>
      </c>
      <c r="AF53" s="181">
        <f>운전실적_원본!U53</f>
        <v>0</v>
      </c>
      <c r="AG53" s="181">
        <f>운전실적_원본!V53</f>
        <v>0</v>
      </c>
      <c r="AH53" s="106">
        <f t="shared" si="1"/>
        <v>21</v>
      </c>
      <c r="AI53" s="107">
        <f t="shared" si="128"/>
        <v>0</v>
      </c>
      <c r="AJ53" s="107">
        <f t="shared" si="15"/>
        <v>0</v>
      </c>
      <c r="AK53" s="204">
        <f t="shared" si="16"/>
        <v>0</v>
      </c>
      <c r="AL53" s="103">
        <v>45705.125</v>
      </c>
      <c r="AM53" s="103">
        <f>AL54</f>
        <v>45706</v>
      </c>
      <c r="AN53" s="103"/>
      <c r="AO53" s="103"/>
      <c r="AP53" s="103"/>
      <c r="AQ53" s="105"/>
      <c r="AR53" s="103"/>
      <c r="AS53" s="103"/>
      <c r="AT53" s="101"/>
      <c r="AU53" s="101"/>
      <c r="AV53" s="101"/>
      <c r="AW53" s="101"/>
      <c r="AX53" s="32">
        <f>운전실적_원본!W53</f>
        <v>902.5</v>
      </c>
      <c r="AY53" s="198">
        <f>운전실적_원본!X53</f>
        <v>0</v>
      </c>
      <c r="AZ53" s="198">
        <f>운전실적_원본!Y53</f>
        <v>0</v>
      </c>
      <c r="BA53" s="198">
        <f>운전실적_원본!Z53</f>
        <v>0</v>
      </c>
      <c r="BB53" s="198">
        <f>운전실적_원본!AA53</f>
        <v>0</v>
      </c>
      <c r="BC53" s="198">
        <f>운전실적_원본!AB53</f>
        <v>902.5</v>
      </c>
      <c r="BD53" s="32">
        <f t="shared" si="17"/>
        <v>42.976190476190474</v>
      </c>
      <c r="BE53" s="11">
        <f t="shared" si="2"/>
        <v>0.83627535466414626</v>
      </c>
      <c r="BF53" s="11">
        <f>운전실적_원본!AE53</f>
        <v>0</v>
      </c>
      <c r="BG53" s="31">
        <f t="shared" si="0"/>
        <v>0</v>
      </c>
    </row>
    <row r="54" spans="1:59">
      <c r="A54" s="6">
        <f t="shared" si="3"/>
        <v>45706</v>
      </c>
      <c r="B54" s="15">
        <f>운전실적_원본!B54</f>
        <v>4687</v>
      </c>
      <c r="C54" s="16">
        <f t="shared" si="300"/>
        <v>32</v>
      </c>
      <c r="D54" s="9">
        <f>운전실적_원본!C54</f>
        <v>230206</v>
      </c>
      <c r="E54" s="199">
        <f t="shared" si="301"/>
        <v>82</v>
      </c>
      <c r="F54" s="9">
        <f>운전실적_원본!D54</f>
        <v>224599</v>
      </c>
      <c r="G54" s="16">
        <f t="shared" si="302"/>
        <v>101</v>
      </c>
      <c r="H54" s="15">
        <f>운전실적_원본!E54</f>
        <v>13975</v>
      </c>
      <c r="I54" s="16">
        <f t="shared" si="303"/>
        <v>5</v>
      </c>
      <c r="J54" s="15">
        <f>운전실적_원본!E54</f>
        <v>13975</v>
      </c>
      <c r="K54" s="16">
        <f t="shared" si="303"/>
        <v>5</v>
      </c>
      <c r="L54" s="15">
        <f>운전실적_원본!G54</f>
        <v>3783.4</v>
      </c>
      <c r="M54" s="31">
        <f t="shared" ref="M54" si="375">IF(OR(LEN(L54)=0,L54=0),"",L54-L53)</f>
        <v>1.0999999999999091</v>
      </c>
      <c r="N54" s="15">
        <f>운전실적_원본!H54</f>
        <v>7959</v>
      </c>
      <c r="O54" s="16">
        <f t="shared" ref="O54" si="376">IF(OR(LEN(N54)=0,N54=0),"",N54-N53)</f>
        <v>113</v>
      </c>
      <c r="P54" s="15">
        <f>운전실적_원본!I54</f>
        <v>252769</v>
      </c>
      <c r="Q54" s="16">
        <f t="shared" ref="Q54" si="377">IF(OR(LEN(P54)=0,P54=0),"",P54-P53)</f>
        <v>296</v>
      </c>
      <c r="R54" s="18">
        <f>운전실적_원본!J54</f>
        <v>30.49</v>
      </c>
      <c r="S54" s="19">
        <f t="shared" ref="S54" si="378">IF(OR(LEN(R54)=0,R54=0),"",R54-R53)</f>
        <v>9.9999999999997868E-2</v>
      </c>
      <c r="T54" s="18">
        <f>운전실적_원본!K54</f>
        <v>30.04</v>
      </c>
      <c r="U54" s="19">
        <f t="shared" si="308"/>
        <v>8.9999999999999858E-2</v>
      </c>
      <c r="V54" s="12">
        <f>운전실적_원본!L54</f>
        <v>0</v>
      </c>
      <c r="W54" s="16" t="str">
        <f t="shared" ref="W54" si="379">IF(OR(LEN(V54)=0,V54=0),"",V54-V53)</f>
        <v/>
      </c>
      <c r="X54" s="10">
        <f>운전실적_원본!M54</f>
        <v>150568</v>
      </c>
      <c r="Y54" s="10">
        <f>운전실적_원본!N54</f>
        <v>0</v>
      </c>
      <c r="Z54" s="10">
        <f>운전실적_원본!O54</f>
        <v>0</v>
      </c>
      <c r="AA54" s="10">
        <f>운전실적_원본!P54</f>
        <v>0</v>
      </c>
      <c r="AB54" s="10">
        <f>운전실적_원본!Q54</f>
        <v>0</v>
      </c>
      <c r="AC54" s="10">
        <f>운전실적_원본!R54</f>
        <v>0</v>
      </c>
      <c r="AD54" s="181">
        <f>운전실적_원본!S54</f>
        <v>18</v>
      </c>
      <c r="AE54" s="181">
        <f>운전실적_원본!T54</f>
        <v>0</v>
      </c>
      <c r="AF54" s="181">
        <f>운전실적_원본!U54</f>
        <v>0</v>
      </c>
      <c r="AG54" s="181">
        <f>운전실적_원본!V54</f>
        <v>0</v>
      </c>
      <c r="AH54" s="106">
        <f t="shared" si="1"/>
        <v>19.749999999941792</v>
      </c>
      <c r="AI54" s="107">
        <f t="shared" si="128"/>
        <v>0</v>
      </c>
      <c r="AJ54" s="107">
        <f t="shared" si="15"/>
        <v>0</v>
      </c>
      <c r="AK54" s="204">
        <f t="shared" si="16"/>
        <v>0</v>
      </c>
      <c r="AL54" s="103">
        <v>45706</v>
      </c>
      <c r="AM54" s="103">
        <v>45706.079861111109</v>
      </c>
      <c r="AN54" s="103">
        <v>45706.256944444445</v>
      </c>
      <c r="AO54" s="103">
        <v>45707</v>
      </c>
      <c r="AP54" s="103"/>
      <c r="AQ54" s="105"/>
      <c r="AR54" s="103"/>
      <c r="AS54" s="103"/>
      <c r="AT54" s="101"/>
      <c r="AU54" s="101"/>
      <c r="AV54" s="101"/>
      <c r="AW54" s="101"/>
      <c r="AX54" s="32">
        <f>운전실적_원본!W54</f>
        <v>944</v>
      </c>
      <c r="AY54" s="198">
        <f>운전실적_원본!X54</f>
        <v>0</v>
      </c>
      <c r="AZ54" s="198">
        <f>운전실적_원본!Y54</f>
        <v>0</v>
      </c>
      <c r="BA54" s="198">
        <f>운전실적_원본!Z54</f>
        <v>0</v>
      </c>
      <c r="BB54" s="198">
        <f>운전실적_원본!AA54</f>
        <v>0</v>
      </c>
      <c r="BC54" s="198">
        <f>운전실적_원본!AB54</f>
        <v>944</v>
      </c>
      <c r="BD54" s="32">
        <f t="shared" si="17"/>
        <v>52.444444444444443</v>
      </c>
      <c r="BE54" s="11">
        <f t="shared" si="2"/>
        <v>1.0205184752762102</v>
      </c>
      <c r="BF54" s="11">
        <f>운전실적_원본!AE54</f>
        <v>0</v>
      </c>
      <c r="BG54" s="31">
        <f t="shared" si="0"/>
        <v>0</v>
      </c>
    </row>
    <row r="55" spans="1:59">
      <c r="A55" s="6">
        <f t="shared" si="3"/>
        <v>45707</v>
      </c>
      <c r="B55" s="15">
        <f>운전실적_원본!B55</f>
        <v>4712</v>
      </c>
      <c r="C55" s="16">
        <f t="shared" si="300"/>
        <v>25</v>
      </c>
      <c r="D55" s="9">
        <f>운전실적_원본!C55</f>
        <v>230299</v>
      </c>
      <c r="E55" s="199">
        <f t="shared" si="301"/>
        <v>93</v>
      </c>
      <c r="F55" s="9">
        <f>운전실적_원본!D55</f>
        <v>224742</v>
      </c>
      <c r="G55" s="16">
        <f t="shared" si="302"/>
        <v>143</v>
      </c>
      <c r="H55" s="15">
        <f>운전실적_원본!E55</f>
        <v>13981</v>
      </c>
      <c r="I55" s="16">
        <f t="shared" si="303"/>
        <v>6</v>
      </c>
      <c r="J55" s="15">
        <f>운전실적_원본!E55</f>
        <v>13981</v>
      </c>
      <c r="K55" s="16">
        <f t="shared" si="303"/>
        <v>6</v>
      </c>
      <c r="L55" s="15">
        <f>운전실적_원본!G55</f>
        <v>3784.4</v>
      </c>
      <c r="M55" s="31">
        <f t="shared" ref="M55" si="380">IF(OR(LEN(L55)=0,L55=0),"",L55-L54)</f>
        <v>1</v>
      </c>
      <c r="N55" s="15">
        <f>운전실적_원본!H55</f>
        <v>8077</v>
      </c>
      <c r="O55" s="16">
        <f t="shared" ref="O55" si="381">IF(OR(LEN(N55)=0,N55=0),"",N55-N54)</f>
        <v>118</v>
      </c>
      <c r="P55" s="15">
        <f>운전실적_원본!I55</f>
        <v>253074</v>
      </c>
      <c r="Q55" s="16">
        <f t="shared" ref="Q55" si="382">IF(OR(LEN(P55)=0,P55=0),"",P55-P54)</f>
        <v>305</v>
      </c>
      <c r="R55" s="18">
        <f>운전실적_원본!J55</f>
        <v>30.6</v>
      </c>
      <c r="S55" s="19">
        <f t="shared" ref="S55" si="383">IF(OR(LEN(R55)=0,R55=0),"",R55-R54)</f>
        <v>0.11000000000000298</v>
      </c>
      <c r="T55" s="18">
        <f>운전실적_원본!K55</f>
        <v>29.99</v>
      </c>
      <c r="U55" s="19">
        <f t="shared" si="308"/>
        <v>-5.0000000000000711E-2</v>
      </c>
      <c r="V55" s="12">
        <f>운전실적_원본!L55</f>
        <v>0</v>
      </c>
      <c r="W55" s="16" t="str">
        <f t="shared" ref="W55" si="384">IF(OR(LEN(V55)=0,V55=0),"",V55-V54)</f>
        <v/>
      </c>
      <c r="X55" s="10">
        <f>운전실적_원본!M55</f>
        <v>133461.9</v>
      </c>
      <c r="Y55" s="10">
        <f>운전실적_원본!N55</f>
        <v>0</v>
      </c>
      <c r="Z55" s="10">
        <f>운전실적_원본!O55</f>
        <v>0</v>
      </c>
      <c r="AA55" s="10">
        <f>운전실적_원본!P55</f>
        <v>0</v>
      </c>
      <c r="AB55" s="10">
        <f>운전실적_원본!Q55</f>
        <v>0</v>
      </c>
      <c r="AC55" s="10">
        <f>운전실적_원본!R55</f>
        <v>0</v>
      </c>
      <c r="AD55" s="181">
        <f>운전실적_원본!S55</f>
        <v>18</v>
      </c>
      <c r="AE55" s="181">
        <f>운전실적_원본!T55</f>
        <v>0</v>
      </c>
      <c r="AF55" s="181">
        <f>운전실적_원본!U55</f>
        <v>0</v>
      </c>
      <c r="AG55" s="181">
        <f>운전실적_원본!V55</f>
        <v>0</v>
      </c>
      <c r="AH55" s="106">
        <f t="shared" si="1"/>
        <v>18.083333333255723</v>
      </c>
      <c r="AI55" s="107">
        <f t="shared" si="128"/>
        <v>0</v>
      </c>
      <c r="AJ55" s="107">
        <f t="shared" si="15"/>
        <v>0</v>
      </c>
      <c r="AK55" s="204">
        <f t="shared" si="16"/>
        <v>0</v>
      </c>
      <c r="AL55" s="103">
        <v>45707.246527777781</v>
      </c>
      <c r="AM55" s="103">
        <v>45708</v>
      </c>
      <c r="AN55" s="103"/>
      <c r="AO55" s="103"/>
      <c r="AP55" s="103"/>
      <c r="AQ55" s="105"/>
      <c r="AR55" s="103"/>
      <c r="AS55" s="103"/>
      <c r="AT55" s="101"/>
      <c r="AU55" s="101"/>
      <c r="AV55" s="101"/>
      <c r="AW55" s="101"/>
      <c r="AX55" s="32">
        <f>운전실적_원본!W55</f>
        <v>855</v>
      </c>
      <c r="AY55" s="198">
        <f>운전실적_원본!X55</f>
        <v>0</v>
      </c>
      <c r="AZ55" s="198">
        <f>운전실적_원본!Y55</f>
        <v>0</v>
      </c>
      <c r="BA55" s="198">
        <f>운전실적_원본!Z55</f>
        <v>0</v>
      </c>
      <c r="BB55" s="198">
        <f>운전실적_원본!AA55</f>
        <v>0</v>
      </c>
      <c r="BC55" s="198">
        <f>운전실적_원본!AB55</f>
        <v>855</v>
      </c>
      <c r="BD55" s="32">
        <f t="shared" si="17"/>
        <v>47.5</v>
      </c>
      <c r="BE55" s="11">
        <f t="shared" si="2"/>
        <v>0.92430433936563527</v>
      </c>
      <c r="BF55" s="11">
        <f>운전실적_원본!AE55</f>
        <v>0</v>
      </c>
      <c r="BG55" s="31">
        <f t="shared" si="0"/>
        <v>0</v>
      </c>
    </row>
    <row r="56" spans="1:59">
      <c r="A56" s="6">
        <f t="shared" si="3"/>
        <v>45708</v>
      </c>
      <c r="B56" s="15">
        <f>운전실적_원본!B56</f>
        <v>4742</v>
      </c>
      <c r="C56" s="16">
        <f t="shared" si="300"/>
        <v>30</v>
      </c>
      <c r="D56" s="9">
        <f>운전실적_원본!C56</f>
        <v>230405</v>
      </c>
      <c r="E56" s="199">
        <f t="shared" si="301"/>
        <v>106</v>
      </c>
      <c r="F56" s="9">
        <f>운전실적_원본!D56</f>
        <v>224797</v>
      </c>
      <c r="G56" s="16">
        <f t="shared" si="302"/>
        <v>55</v>
      </c>
      <c r="H56" s="15">
        <f>운전실적_원본!E56</f>
        <v>13985</v>
      </c>
      <c r="I56" s="16">
        <f t="shared" si="303"/>
        <v>4</v>
      </c>
      <c r="J56" s="15">
        <f>운전실적_원본!E56</f>
        <v>13985</v>
      </c>
      <c r="K56" s="16">
        <f t="shared" si="303"/>
        <v>4</v>
      </c>
      <c r="L56" s="15">
        <f>운전실적_원본!G56</f>
        <v>3785.7</v>
      </c>
      <c r="M56" s="31">
        <f t="shared" ref="M56" si="385">IF(OR(LEN(L56)=0,L56=0),"",L56-L55)</f>
        <v>1.2999999999997272</v>
      </c>
      <c r="N56" s="15">
        <f>운전실적_원본!H56</f>
        <v>8198</v>
      </c>
      <c r="O56" s="16">
        <f t="shared" ref="O56" si="386">IF(OR(LEN(N56)=0,N56=0),"",N56-N55)</f>
        <v>121</v>
      </c>
      <c r="P56" s="15">
        <f>운전실적_원본!I56</f>
        <v>253295</v>
      </c>
      <c r="Q56" s="16">
        <f t="shared" ref="Q56" si="387">IF(OR(LEN(P56)=0,P56=0),"",P56-P55)</f>
        <v>221</v>
      </c>
      <c r="R56" s="18">
        <f>운전실적_원본!J56</f>
        <v>30.63</v>
      </c>
      <c r="S56" s="19">
        <f t="shared" ref="S56" si="388">IF(OR(LEN(R56)=0,R56=0),"",R56-R55)</f>
        <v>2.9999999999997584E-2</v>
      </c>
      <c r="T56" s="18">
        <f>운전실적_원본!K56</f>
        <v>30.06</v>
      </c>
      <c r="U56" s="19">
        <f t="shared" si="308"/>
        <v>7.0000000000000284E-2</v>
      </c>
      <c r="V56" s="12">
        <f>운전실적_원본!L56</f>
        <v>0</v>
      </c>
      <c r="W56" s="16" t="str">
        <f t="shared" ref="W56" si="389">IF(OR(LEN(V56)=0,V56=0),"",V56-V55)</f>
        <v/>
      </c>
      <c r="X56" s="10">
        <f>운전실적_원본!M56</f>
        <v>134333.1</v>
      </c>
      <c r="Y56" s="10">
        <f>운전실적_원본!N56</f>
        <v>0</v>
      </c>
      <c r="Z56" s="10">
        <f>운전실적_원본!O56</f>
        <v>0</v>
      </c>
      <c r="AA56" s="10">
        <f>운전실적_원본!P56</f>
        <v>0</v>
      </c>
      <c r="AB56" s="10">
        <f>운전실적_원본!Q56</f>
        <v>0</v>
      </c>
      <c r="AC56" s="10">
        <f>운전실적_원본!R56</f>
        <v>0</v>
      </c>
      <c r="AD56" s="181">
        <f>운전실적_원본!S56</f>
        <v>18</v>
      </c>
      <c r="AE56" s="181">
        <f>운전실적_원본!T56</f>
        <v>0</v>
      </c>
      <c r="AF56" s="181">
        <f>운전실적_원본!U56</f>
        <v>0</v>
      </c>
      <c r="AG56" s="181">
        <f>운전실적_원본!V56</f>
        <v>0</v>
      </c>
      <c r="AH56" s="106">
        <f t="shared" si="1"/>
        <v>17.916666666744277</v>
      </c>
      <c r="AI56" s="107">
        <f t="shared" si="128"/>
        <v>0</v>
      </c>
      <c r="AJ56" s="107">
        <f t="shared" si="15"/>
        <v>0</v>
      </c>
      <c r="AK56" s="204">
        <f t="shared" si="16"/>
        <v>0</v>
      </c>
      <c r="AL56" s="103">
        <v>45708.253472222219</v>
      </c>
      <c r="AM56" s="103">
        <v>45709</v>
      </c>
      <c r="AN56" s="103"/>
      <c r="AO56" s="103"/>
      <c r="AP56" s="103"/>
      <c r="AQ56" s="105"/>
      <c r="AR56" s="103"/>
      <c r="AS56" s="103"/>
      <c r="AT56" s="101"/>
      <c r="AU56" s="101"/>
      <c r="AV56" s="101"/>
      <c r="AW56" s="101"/>
      <c r="AX56" s="32">
        <f>운전실적_원본!W56</f>
        <v>859</v>
      </c>
      <c r="AY56" s="198">
        <f>운전실적_원본!X56</f>
        <v>0</v>
      </c>
      <c r="AZ56" s="198">
        <f>운전실적_원본!Y56</f>
        <v>0</v>
      </c>
      <c r="BA56" s="198">
        <f>운전실적_원본!Z56</f>
        <v>0</v>
      </c>
      <c r="BB56" s="198">
        <f>운전실적_원본!AA56</f>
        <v>0</v>
      </c>
      <c r="BC56" s="198">
        <f>운전실적_원본!AB56</f>
        <v>859</v>
      </c>
      <c r="BD56" s="32">
        <f t="shared" si="17"/>
        <v>47.722222222222221</v>
      </c>
      <c r="BE56" s="11">
        <f t="shared" si="2"/>
        <v>0.92862857019307687</v>
      </c>
      <c r="BF56" s="11">
        <f>운전실적_원본!AE56</f>
        <v>0</v>
      </c>
      <c r="BG56" s="31">
        <f t="shared" si="0"/>
        <v>0</v>
      </c>
    </row>
    <row r="57" spans="1:59">
      <c r="A57" s="6">
        <f t="shared" si="3"/>
        <v>45709</v>
      </c>
      <c r="B57" s="15">
        <f>운전실적_원본!B57</f>
        <v>4773</v>
      </c>
      <c r="C57" s="16">
        <f t="shared" si="300"/>
        <v>31</v>
      </c>
      <c r="D57" s="9">
        <f>운전실적_원본!C57</f>
        <v>230474</v>
      </c>
      <c r="E57" s="199">
        <f t="shared" si="301"/>
        <v>69</v>
      </c>
      <c r="F57" s="9">
        <f>운전실적_원본!D57</f>
        <v>224901</v>
      </c>
      <c r="G57" s="16">
        <f t="shared" si="302"/>
        <v>104</v>
      </c>
      <c r="H57" s="15">
        <f>운전실적_원본!E57</f>
        <v>13990</v>
      </c>
      <c r="I57" s="16">
        <f t="shared" si="303"/>
        <v>5</v>
      </c>
      <c r="J57" s="15">
        <f>운전실적_원본!E57</f>
        <v>13990</v>
      </c>
      <c r="K57" s="16">
        <f t="shared" si="303"/>
        <v>5</v>
      </c>
      <c r="L57" s="15">
        <f>운전실적_원본!G57</f>
        <v>3786.5</v>
      </c>
      <c r="M57" s="31">
        <f t="shared" ref="M57" si="390">IF(OR(LEN(L57)=0,L57=0),"",L57-L56)</f>
        <v>0.8000000000001819</v>
      </c>
      <c r="N57" s="15">
        <f>운전실적_원본!H57</f>
        <v>8321</v>
      </c>
      <c r="O57" s="16">
        <f t="shared" ref="O57" si="391">IF(OR(LEN(N57)=0,N57=0),"",N57-N56)</f>
        <v>123</v>
      </c>
      <c r="P57" s="15">
        <f>운전실적_원본!I57</f>
        <v>253579</v>
      </c>
      <c r="Q57" s="16">
        <f t="shared" ref="Q57" si="392">IF(OR(LEN(P57)=0,P57=0),"",P57-P56)</f>
        <v>284</v>
      </c>
      <c r="R57" s="18">
        <f>운전실적_원본!J57</f>
        <v>30.69</v>
      </c>
      <c r="S57" s="19">
        <f t="shared" ref="S57" si="393">IF(OR(LEN(R57)=0,R57=0),"",R57-R56)</f>
        <v>6.0000000000002274E-2</v>
      </c>
      <c r="T57" s="18">
        <f>운전실적_원본!K57</f>
        <v>29.99</v>
      </c>
      <c r="U57" s="19">
        <f t="shared" si="308"/>
        <v>-7.0000000000000284E-2</v>
      </c>
      <c r="V57" s="12">
        <f>운전실적_원본!L57</f>
        <v>0</v>
      </c>
      <c r="W57" s="16" t="str">
        <f t="shared" ref="W57" si="394">IF(OR(LEN(V57)=0,V57=0),"",V57-V56)</f>
        <v/>
      </c>
      <c r="X57" s="10">
        <f>운전실적_원본!M57</f>
        <v>134422.40000000596</v>
      </c>
      <c r="Y57" s="10">
        <f>운전실적_원본!N57</f>
        <v>0</v>
      </c>
      <c r="Z57" s="10">
        <f>운전실적_원본!O57</f>
        <v>0</v>
      </c>
      <c r="AA57" s="10">
        <f>운전실적_원본!P57</f>
        <v>0</v>
      </c>
      <c r="AB57" s="10">
        <f>운전실적_원본!Q57</f>
        <v>0</v>
      </c>
      <c r="AC57" s="10">
        <f>운전실적_원본!R57</f>
        <v>0</v>
      </c>
      <c r="AD57" s="181">
        <f>운전실적_원본!S57</f>
        <v>18</v>
      </c>
      <c r="AE57" s="181">
        <f>운전실적_원본!T57</f>
        <v>0</v>
      </c>
      <c r="AF57" s="181">
        <f>운전실적_원본!U57</f>
        <v>0</v>
      </c>
      <c r="AG57" s="181">
        <f>운전실적_원본!V57</f>
        <v>0</v>
      </c>
      <c r="AH57" s="106">
        <f t="shared" si="1"/>
        <v>17.916666666744277</v>
      </c>
      <c r="AI57" s="107">
        <f t="shared" si="128"/>
        <v>0</v>
      </c>
      <c r="AJ57" s="107">
        <f t="shared" si="15"/>
        <v>0</v>
      </c>
      <c r="AK57" s="204">
        <f t="shared" si="16"/>
        <v>0</v>
      </c>
      <c r="AL57" s="103">
        <v>45709.253472222219</v>
      </c>
      <c r="AM57" s="103">
        <v>45710</v>
      </c>
      <c r="AN57" s="103"/>
      <c r="AO57" s="103"/>
      <c r="AP57" s="103"/>
      <c r="AQ57" s="105"/>
      <c r="AR57" s="103"/>
      <c r="AS57" s="103"/>
      <c r="AT57" s="101"/>
      <c r="AU57" s="101"/>
      <c r="AV57" s="101"/>
      <c r="AW57" s="101"/>
      <c r="AX57" s="32">
        <f>운전실적_원본!W57</f>
        <v>859</v>
      </c>
      <c r="AY57" s="198">
        <f>운전실적_원본!X57</f>
        <v>0</v>
      </c>
      <c r="AZ57" s="198">
        <f>운전실적_원본!Y57</f>
        <v>0</v>
      </c>
      <c r="BA57" s="198">
        <f>운전실적_원본!Z57</f>
        <v>0</v>
      </c>
      <c r="BB57" s="198">
        <f>운전실적_원본!AA57</f>
        <v>0</v>
      </c>
      <c r="BC57" s="198">
        <f>운전실적_원본!AB57</f>
        <v>859</v>
      </c>
      <c r="BD57" s="32">
        <f t="shared" si="17"/>
        <v>47.722222222222221</v>
      </c>
      <c r="BE57" s="11">
        <f t="shared" si="2"/>
        <v>0.92862857019307687</v>
      </c>
      <c r="BF57" s="11">
        <f>운전실적_원본!AE57</f>
        <v>0</v>
      </c>
      <c r="BG57" s="31">
        <f t="shared" si="0"/>
        <v>0</v>
      </c>
    </row>
    <row r="58" spans="1:59">
      <c r="A58" s="6">
        <f t="shared" si="3"/>
        <v>45710</v>
      </c>
      <c r="B58" s="15">
        <f>운전실적_원본!B58</f>
        <v>4806</v>
      </c>
      <c r="C58" s="16">
        <f t="shared" si="300"/>
        <v>33</v>
      </c>
      <c r="D58" s="9">
        <f>운전실적_원본!C58</f>
        <v>230556</v>
      </c>
      <c r="E58" s="199">
        <f t="shared" si="301"/>
        <v>82</v>
      </c>
      <c r="F58" s="9">
        <f>운전실적_원본!D58</f>
        <v>225022</v>
      </c>
      <c r="G58" s="16">
        <f t="shared" si="302"/>
        <v>121</v>
      </c>
      <c r="H58" s="15">
        <f>운전실적_원본!E58</f>
        <v>13993</v>
      </c>
      <c r="I58" s="16">
        <f t="shared" si="303"/>
        <v>3</v>
      </c>
      <c r="J58" s="15">
        <f>운전실적_원본!E58</f>
        <v>13993</v>
      </c>
      <c r="K58" s="16">
        <f t="shared" si="303"/>
        <v>3</v>
      </c>
      <c r="L58" s="15">
        <f>운전실적_원본!G58</f>
        <v>3787.2</v>
      </c>
      <c r="M58" s="31">
        <f t="shared" ref="M58" si="395">IF(OR(LEN(L58)=0,L58=0),"",L58-L57)</f>
        <v>0.6999999999998181</v>
      </c>
      <c r="N58" s="15">
        <f>운전실적_원본!H58</f>
        <v>8438</v>
      </c>
      <c r="O58" s="16">
        <f t="shared" ref="O58" si="396">IF(OR(LEN(N58)=0,N58=0),"",N58-N57)</f>
        <v>117</v>
      </c>
      <c r="P58" s="15">
        <f>운전실적_원본!I58</f>
        <v>253876</v>
      </c>
      <c r="Q58" s="16">
        <f t="shared" ref="Q58" si="397">IF(OR(LEN(P58)=0,P58=0),"",P58-P57)</f>
        <v>297</v>
      </c>
      <c r="R58" s="18">
        <f>운전실적_원본!J58</f>
        <v>30.35</v>
      </c>
      <c r="S58" s="19">
        <f t="shared" ref="S58" si="398">IF(OR(LEN(R58)=0,R58=0),"",R58-R57)</f>
        <v>-0.33999999999999986</v>
      </c>
      <c r="T58" s="18">
        <f>운전실적_원본!K58</f>
        <v>30.04</v>
      </c>
      <c r="U58" s="19">
        <f t="shared" si="308"/>
        <v>5.0000000000000711E-2</v>
      </c>
      <c r="V58" s="12">
        <f>운전실적_원본!L58</f>
        <v>0</v>
      </c>
      <c r="W58" s="16" t="str">
        <f t="shared" ref="W58" si="399">IF(OR(LEN(V58)=0,V58=0),"",V58-V57)</f>
        <v/>
      </c>
      <c r="X58" s="10">
        <f>운전실적_원본!M58</f>
        <v>26710.79999999702</v>
      </c>
      <c r="Y58" s="10">
        <f>운전실적_원본!N58</f>
        <v>0</v>
      </c>
      <c r="Z58" s="10">
        <f>운전실적_원본!O58</f>
        <v>0</v>
      </c>
      <c r="AA58" s="10">
        <f>운전실적_원본!P58</f>
        <v>0</v>
      </c>
      <c r="AB58" s="10">
        <f>운전실적_원본!Q58</f>
        <v>0</v>
      </c>
      <c r="AC58" s="10">
        <f>운전실적_원본!R58</f>
        <v>0</v>
      </c>
      <c r="AD58" s="181">
        <f>운전실적_원본!S58</f>
        <v>5</v>
      </c>
      <c r="AE58" s="181">
        <f>운전실적_원본!T58</f>
        <v>0</v>
      </c>
      <c r="AF58" s="181">
        <f>운전실적_원본!U58</f>
        <v>0</v>
      </c>
      <c r="AG58" s="181">
        <f>운전실적_원본!V58</f>
        <v>0</v>
      </c>
      <c r="AH58" s="106">
        <f t="shared" si="1"/>
        <v>4.5</v>
      </c>
      <c r="AI58" s="107">
        <f t="shared" si="128"/>
        <v>0</v>
      </c>
      <c r="AJ58" s="107">
        <f t="shared" si="15"/>
        <v>0</v>
      </c>
      <c r="AK58" s="204">
        <f t="shared" si="16"/>
        <v>0</v>
      </c>
      <c r="AL58" s="103">
        <v>45710.8125</v>
      </c>
      <c r="AM58" s="103">
        <f>AL59</f>
        <v>45711</v>
      </c>
      <c r="AN58" s="103"/>
      <c r="AO58" s="103"/>
      <c r="AP58" s="103"/>
      <c r="AQ58" s="105"/>
      <c r="AR58" s="103"/>
      <c r="AS58" s="103"/>
      <c r="AT58" s="101"/>
      <c r="AU58" s="101"/>
      <c r="AV58" s="101"/>
      <c r="AW58" s="101"/>
      <c r="AX58" s="32">
        <f>운전실적_원본!W58</f>
        <v>160</v>
      </c>
      <c r="AY58" s="198">
        <f>운전실적_원본!X58</f>
        <v>0</v>
      </c>
      <c r="AZ58" s="198">
        <f>운전실적_원본!Y58</f>
        <v>0</v>
      </c>
      <c r="BA58" s="198">
        <f>운전실적_원본!Z58</f>
        <v>0</v>
      </c>
      <c r="BB58" s="198">
        <f>운전실적_원본!AA58</f>
        <v>0</v>
      </c>
      <c r="BC58" s="198">
        <f>운전실적_원본!AB58</f>
        <v>160</v>
      </c>
      <c r="BD58" s="32">
        <f t="shared" si="17"/>
        <v>32</v>
      </c>
      <c r="BE58" s="11">
        <f t="shared" si="2"/>
        <v>0.62268923915158592</v>
      </c>
      <c r="BF58" s="11">
        <f>운전실적_원본!AE58</f>
        <v>0</v>
      </c>
      <c r="BG58" s="31">
        <f t="shared" si="0"/>
        <v>0</v>
      </c>
    </row>
    <row r="59" spans="1:59">
      <c r="A59" s="6">
        <f t="shared" si="3"/>
        <v>45711</v>
      </c>
      <c r="B59" s="15">
        <f>운전실적_원본!B59</f>
        <v>4821</v>
      </c>
      <c r="C59" s="16">
        <f t="shared" si="300"/>
        <v>15</v>
      </c>
      <c r="D59" s="9">
        <f>운전실적_원본!C59</f>
        <v>230594</v>
      </c>
      <c r="E59" s="199">
        <f t="shared" si="301"/>
        <v>38</v>
      </c>
      <c r="F59" s="9">
        <f>운전실적_원본!D59</f>
        <v>225049</v>
      </c>
      <c r="G59" s="16">
        <f t="shared" si="302"/>
        <v>27</v>
      </c>
      <c r="H59" s="15">
        <f>운전실적_원본!E59</f>
        <v>13995</v>
      </c>
      <c r="I59" s="16">
        <f t="shared" si="303"/>
        <v>2</v>
      </c>
      <c r="J59" s="15">
        <f>운전실적_원본!E59</f>
        <v>13995</v>
      </c>
      <c r="K59" s="16">
        <f t="shared" si="303"/>
        <v>2</v>
      </c>
      <c r="L59" s="15">
        <f>운전실적_원본!G59</f>
        <v>3787.9</v>
      </c>
      <c r="M59" s="31">
        <f t="shared" ref="M59" si="400">IF(OR(LEN(L59)=0,L59=0),"",L59-L58)</f>
        <v>0.70000000000027285</v>
      </c>
      <c r="N59" s="15">
        <f>운전실적_원본!H59</f>
        <v>8495</v>
      </c>
      <c r="O59" s="16">
        <f t="shared" ref="O59" si="401">IF(OR(LEN(N59)=0,N59=0),"",N59-N58)</f>
        <v>57</v>
      </c>
      <c r="P59" s="15">
        <f>운전실적_원본!I59</f>
        <v>253993</v>
      </c>
      <c r="Q59" s="16">
        <f t="shared" ref="Q59" si="402">IF(OR(LEN(P59)=0,P59=0),"",P59-P58)</f>
        <v>117</v>
      </c>
      <c r="R59" s="18">
        <f>운전실적_원본!J59</f>
        <v>30.15</v>
      </c>
      <c r="S59" s="19">
        <f t="shared" ref="S59" si="403">IF(OR(LEN(R59)=0,R59=0),"",R59-R58)</f>
        <v>-0.20000000000000284</v>
      </c>
      <c r="T59" s="18">
        <f>운전실적_원본!K59</f>
        <v>29.94</v>
      </c>
      <c r="U59" s="19">
        <f t="shared" si="308"/>
        <v>-9.9999999999997868E-2</v>
      </c>
      <c r="V59" s="12">
        <f>운전실적_원본!L59</f>
        <v>0</v>
      </c>
      <c r="W59" s="16" t="str">
        <f t="shared" ref="W59" si="404">IF(OR(LEN(V59)=0,V59=0),"",V59-V58)</f>
        <v/>
      </c>
      <c r="X59" s="10">
        <f>운전실적_원본!M59</f>
        <v>44511.29999999702</v>
      </c>
      <c r="Y59" s="10">
        <f>운전실적_원본!N59</f>
        <v>0</v>
      </c>
      <c r="Z59" s="10">
        <f>운전실적_원본!O59</f>
        <v>0</v>
      </c>
      <c r="AA59" s="10">
        <f>운전실적_원본!P59</f>
        <v>0</v>
      </c>
      <c r="AB59" s="10">
        <f>운전실적_원본!Q59</f>
        <v>0</v>
      </c>
      <c r="AC59" s="10">
        <f>운전실적_원본!R59</f>
        <v>0</v>
      </c>
      <c r="AD59" s="181">
        <f>운전실적_원본!S59</f>
        <v>7</v>
      </c>
      <c r="AE59" s="181">
        <f>운전실적_원본!T59</f>
        <v>0</v>
      </c>
      <c r="AF59" s="181">
        <f>운전실적_원본!U59</f>
        <v>0</v>
      </c>
      <c r="AG59" s="181">
        <f>운전실적_원본!V59</f>
        <v>0</v>
      </c>
      <c r="AH59" s="106">
        <f t="shared" si="1"/>
        <v>6.8333333334303461</v>
      </c>
      <c r="AI59" s="107">
        <f t="shared" si="128"/>
        <v>0</v>
      </c>
      <c r="AJ59" s="107">
        <f t="shared" si="15"/>
        <v>0</v>
      </c>
      <c r="AK59" s="204">
        <f t="shared" si="16"/>
        <v>0</v>
      </c>
      <c r="AL59" s="103">
        <v>45711</v>
      </c>
      <c r="AM59" s="103">
        <v>45711.083333333336</v>
      </c>
      <c r="AN59" s="103">
        <v>45711.798611111109</v>
      </c>
      <c r="AO59" s="103">
        <f>AL60</f>
        <v>45712</v>
      </c>
      <c r="AP59" s="103"/>
      <c r="AQ59" s="105"/>
      <c r="AR59" s="103"/>
      <c r="AS59" s="103"/>
      <c r="AT59" s="101"/>
      <c r="AU59" s="101"/>
      <c r="AV59" s="101"/>
      <c r="AW59" s="101"/>
      <c r="AX59" s="32">
        <f>운전실적_원본!W59</f>
        <v>274</v>
      </c>
      <c r="AY59" s="198">
        <f>운전실적_원본!X59</f>
        <v>0</v>
      </c>
      <c r="AZ59" s="198">
        <f>운전실적_원본!Y59</f>
        <v>0</v>
      </c>
      <c r="BA59" s="198">
        <f>운전실적_원본!Z59</f>
        <v>0</v>
      </c>
      <c r="BB59" s="198">
        <f>운전실적_원본!AA59</f>
        <v>0</v>
      </c>
      <c r="BC59" s="198">
        <f>운전실적_원본!AB59</f>
        <v>274</v>
      </c>
      <c r="BD59" s="32">
        <f t="shared" si="17"/>
        <v>39.142857142857146</v>
      </c>
      <c r="BE59" s="11">
        <f t="shared" si="2"/>
        <v>0.76168237289077922</v>
      </c>
      <c r="BF59" s="11">
        <f>운전실적_원본!AE59</f>
        <v>0</v>
      </c>
      <c r="BG59" s="31">
        <f t="shared" si="0"/>
        <v>0</v>
      </c>
    </row>
    <row r="60" spans="1:59">
      <c r="A60" s="6">
        <f t="shared" si="3"/>
        <v>45712</v>
      </c>
      <c r="B60" s="15">
        <f>운전실적_원본!B60</f>
        <v>4834</v>
      </c>
      <c r="C60" s="16">
        <f t="shared" si="300"/>
        <v>13</v>
      </c>
      <c r="D60" s="9">
        <f>운전실적_원본!C60</f>
        <v>230688</v>
      </c>
      <c r="E60" s="199">
        <f t="shared" si="301"/>
        <v>94</v>
      </c>
      <c r="F60" s="9">
        <f>운전실적_원본!D60</f>
        <v>225066</v>
      </c>
      <c r="G60" s="16">
        <f t="shared" si="302"/>
        <v>17</v>
      </c>
      <c r="H60" s="15">
        <f>운전실적_원본!E60</f>
        <v>14000</v>
      </c>
      <c r="I60" s="16">
        <f t="shared" si="303"/>
        <v>5</v>
      </c>
      <c r="J60" s="15">
        <f>운전실적_원본!E60</f>
        <v>14000</v>
      </c>
      <c r="K60" s="16">
        <f t="shared" si="303"/>
        <v>5</v>
      </c>
      <c r="L60" s="15">
        <f>운전실적_원본!G60</f>
        <v>3788.9</v>
      </c>
      <c r="M60" s="31">
        <f t="shared" ref="M60" si="405">IF(OR(LEN(L60)=0,L60=0),"",L60-L59)</f>
        <v>1</v>
      </c>
      <c r="N60" s="15">
        <f>운전실적_원본!H60</f>
        <v>8623</v>
      </c>
      <c r="O60" s="16">
        <f t="shared" ref="O60" si="406">IF(OR(LEN(N60)=0,N60=0),"",N60-N59)</f>
        <v>128</v>
      </c>
      <c r="P60" s="15">
        <f>운전실적_원본!I60</f>
        <v>254200</v>
      </c>
      <c r="Q60" s="16">
        <f t="shared" ref="Q60" si="407">IF(OR(LEN(P60)=0,P60=0),"",P60-P59)</f>
        <v>207</v>
      </c>
      <c r="R60" s="18">
        <f>운전실적_원본!J60</f>
        <v>30.231999999999999</v>
      </c>
      <c r="S60" s="19">
        <f t="shared" ref="S60" si="408">IF(OR(LEN(R60)=0,R60=0),"",R60-R59)</f>
        <v>8.2000000000000739E-2</v>
      </c>
      <c r="T60" s="18">
        <f>운전실적_원본!K60</f>
        <v>29.853999999999999</v>
      </c>
      <c r="U60" s="19">
        <f t="shared" si="308"/>
        <v>-8.6000000000002075E-2</v>
      </c>
      <c r="V60" s="12">
        <f>운전실적_원본!L60</f>
        <v>0</v>
      </c>
      <c r="W60" s="16" t="str">
        <f t="shared" ref="W60" si="409">IF(OR(LEN(V60)=0,V60=0),"",V60-V59)</f>
        <v/>
      </c>
      <c r="X60" s="10">
        <f>운전실적_원본!M60</f>
        <v>184632.9</v>
      </c>
      <c r="Y60" s="10">
        <f>운전실적_원본!N60</f>
        <v>0</v>
      </c>
      <c r="Z60" s="10">
        <f>운전실적_원본!O60</f>
        <v>0</v>
      </c>
      <c r="AA60" s="10">
        <f>운전실적_원본!P60</f>
        <v>0</v>
      </c>
      <c r="AB60" s="10">
        <f>운전실적_원본!Q60</f>
        <v>0</v>
      </c>
      <c r="AC60" s="10">
        <f>운전실적_원본!R60</f>
        <v>0</v>
      </c>
      <c r="AD60" s="181">
        <f>운전실적_원본!S60</f>
        <v>24</v>
      </c>
      <c r="AE60" s="181">
        <f>운전실적_원본!T60</f>
        <v>0</v>
      </c>
      <c r="AF60" s="181">
        <f>운전실적_원본!U60</f>
        <v>0</v>
      </c>
      <c r="AG60" s="181">
        <f>운전실적_원본!V60</f>
        <v>0</v>
      </c>
      <c r="AH60" s="106">
        <f t="shared" si="1"/>
        <v>24</v>
      </c>
      <c r="AI60" s="107">
        <f t="shared" si="128"/>
        <v>0</v>
      </c>
      <c r="AJ60" s="107">
        <f t="shared" si="15"/>
        <v>0</v>
      </c>
      <c r="AK60" s="204">
        <f t="shared" si="16"/>
        <v>0</v>
      </c>
      <c r="AL60" s="103">
        <v>45712</v>
      </c>
      <c r="AM60" s="103">
        <v>45713</v>
      </c>
      <c r="AN60" s="103"/>
      <c r="AO60" s="103"/>
      <c r="AP60" s="103"/>
      <c r="AQ60" s="105"/>
      <c r="AR60" s="103"/>
      <c r="AS60" s="103"/>
      <c r="AT60" s="101"/>
      <c r="AU60" s="101"/>
      <c r="AV60" s="101"/>
      <c r="AW60" s="101"/>
      <c r="AX60" s="32">
        <f>운전실적_원본!W60</f>
        <v>1194.8</v>
      </c>
      <c r="AY60" s="198">
        <f>운전실적_원본!X60</f>
        <v>0</v>
      </c>
      <c r="AZ60" s="198">
        <f>운전실적_원본!Y60</f>
        <v>0</v>
      </c>
      <c r="BA60" s="198">
        <f>운전실적_원본!Z60</f>
        <v>0</v>
      </c>
      <c r="BB60" s="198">
        <f>운전실적_원본!AA60</f>
        <v>0</v>
      </c>
      <c r="BC60" s="198">
        <f>운전실적_원본!AB60</f>
        <v>1194.8</v>
      </c>
      <c r="BD60" s="32">
        <f t="shared" si="17"/>
        <v>49.783333333333331</v>
      </c>
      <c r="BE60" s="11">
        <f t="shared" si="2"/>
        <v>0.96873581111759743</v>
      </c>
      <c r="BF60" s="11">
        <f>운전실적_원본!AE60</f>
        <v>0</v>
      </c>
      <c r="BG60" s="31">
        <f t="shared" si="0"/>
        <v>0</v>
      </c>
    </row>
    <row r="61" spans="1:59">
      <c r="A61" s="6">
        <f t="shared" si="3"/>
        <v>45713</v>
      </c>
      <c r="B61" s="15">
        <f>운전실적_원본!B61</f>
        <v>4866</v>
      </c>
      <c r="C61" s="16">
        <f t="shared" si="300"/>
        <v>32</v>
      </c>
      <c r="D61" s="9">
        <f>운전실적_원본!C61</f>
        <v>230755</v>
      </c>
      <c r="E61" s="199">
        <f t="shared" si="301"/>
        <v>67</v>
      </c>
      <c r="F61" s="9">
        <f>운전실적_원본!D61</f>
        <v>225189</v>
      </c>
      <c r="G61" s="16">
        <f t="shared" si="302"/>
        <v>123</v>
      </c>
      <c r="H61" s="15">
        <f>운전실적_원본!E61</f>
        <v>14004</v>
      </c>
      <c r="I61" s="16">
        <f t="shared" si="303"/>
        <v>4</v>
      </c>
      <c r="J61" s="15">
        <f>운전실적_원본!E61</f>
        <v>14004</v>
      </c>
      <c r="K61" s="16">
        <f t="shared" si="303"/>
        <v>4</v>
      </c>
      <c r="L61" s="15">
        <f>운전실적_원본!G61</f>
        <v>3789.9</v>
      </c>
      <c r="M61" s="31">
        <f t="shared" ref="M61" si="410">IF(OR(LEN(L61)=0,L61=0),"",L61-L60)</f>
        <v>1</v>
      </c>
      <c r="N61" s="15">
        <f>운전실적_원본!H61</f>
        <v>8729</v>
      </c>
      <c r="O61" s="16">
        <f t="shared" ref="O61" si="411">IF(OR(LEN(N61)=0,N61=0),"",N61-N60)</f>
        <v>106</v>
      </c>
      <c r="P61" s="15">
        <f>운전실적_원본!I61</f>
        <v>254494</v>
      </c>
      <c r="Q61" s="16">
        <f t="shared" ref="Q61" si="412">IF(OR(LEN(P61)=0,P61=0),"",P61-P60)</f>
        <v>294</v>
      </c>
      <c r="R61" s="18">
        <f>운전실적_원본!J61</f>
        <v>30.442</v>
      </c>
      <c r="S61" s="19">
        <f t="shared" ref="S61" si="413">IF(OR(LEN(R61)=0,R61=0),"",R61-R60)</f>
        <v>0.21000000000000085</v>
      </c>
      <c r="T61" s="18">
        <f>운전실적_원본!K61</f>
        <v>29.9</v>
      </c>
      <c r="U61" s="19">
        <f t="shared" si="308"/>
        <v>4.5999999999999375E-2</v>
      </c>
      <c r="V61" s="12">
        <f>운전실적_원본!L61</f>
        <v>0</v>
      </c>
      <c r="W61" s="16" t="str">
        <f t="shared" ref="W61" si="414">IF(OR(LEN(V61)=0,V61=0),"",V61-V60)</f>
        <v/>
      </c>
      <c r="X61" s="10">
        <f>운전실적_원본!M61</f>
        <v>102889.4</v>
      </c>
      <c r="Y61" s="10">
        <f>운전실적_원본!N61</f>
        <v>188</v>
      </c>
      <c r="Z61" s="10">
        <f>운전실적_원본!O61</f>
        <v>0</v>
      </c>
      <c r="AA61" s="10">
        <f>운전실적_원본!P61</f>
        <v>0</v>
      </c>
      <c r="AB61" s="10">
        <f>운전실적_원본!Q61</f>
        <v>0</v>
      </c>
      <c r="AC61" s="10">
        <f>운전실적_원본!R61</f>
        <v>188</v>
      </c>
      <c r="AD61" s="181">
        <f>운전실적_원본!S61</f>
        <v>14</v>
      </c>
      <c r="AE61" s="181">
        <f>운전실적_원본!T61</f>
        <v>0</v>
      </c>
      <c r="AF61" s="181">
        <f>운전실적_원본!U61</f>
        <v>0</v>
      </c>
      <c r="AG61" s="181">
        <f>운전실적_원본!V61</f>
        <v>0</v>
      </c>
      <c r="AH61" s="106">
        <f t="shared" si="1"/>
        <v>14.000000000058208</v>
      </c>
      <c r="AI61" s="107">
        <f t="shared" si="128"/>
        <v>0</v>
      </c>
      <c r="AJ61" s="107">
        <f t="shared" si="15"/>
        <v>0</v>
      </c>
      <c r="AK61" s="204">
        <f t="shared" si="16"/>
        <v>0</v>
      </c>
      <c r="AL61" s="103">
        <v>45713.291666666664</v>
      </c>
      <c r="AM61" s="103">
        <v>45713.875</v>
      </c>
      <c r="AN61" s="103"/>
      <c r="AO61" s="103"/>
      <c r="AP61" s="103"/>
      <c r="AQ61" s="105"/>
      <c r="AR61" s="103"/>
      <c r="AS61" s="103"/>
      <c r="AT61" s="101"/>
      <c r="AU61" s="101"/>
      <c r="AV61" s="101"/>
      <c r="AW61" s="101"/>
      <c r="AX61" s="32">
        <f>운전실적_원본!W61</f>
        <v>658</v>
      </c>
      <c r="AY61" s="198">
        <f>운전실적_원본!X61</f>
        <v>0</v>
      </c>
      <c r="AZ61" s="198">
        <f>운전실적_원본!Y61</f>
        <v>0</v>
      </c>
      <c r="BA61" s="198">
        <f>운전실적_원본!Z61</f>
        <v>0</v>
      </c>
      <c r="BB61" s="198">
        <f>운전실적_원본!AA61</f>
        <v>0</v>
      </c>
      <c r="BC61" s="198">
        <f>운전실적_원본!AB61</f>
        <v>658</v>
      </c>
      <c r="BD61" s="32">
        <f t="shared" si="17"/>
        <v>47</v>
      </c>
      <c r="BE61" s="11">
        <f t="shared" si="2"/>
        <v>0.91457482000389179</v>
      </c>
      <c r="BF61" s="11">
        <f>운전실적_원본!AE61</f>
        <v>0</v>
      </c>
      <c r="BG61" s="31">
        <f t="shared" si="0"/>
        <v>0</v>
      </c>
    </row>
    <row r="62" spans="1:59">
      <c r="A62" s="6">
        <f t="shared" si="3"/>
        <v>45714</v>
      </c>
      <c r="B62" s="15">
        <f>운전실적_원본!B62</f>
        <v>4899</v>
      </c>
      <c r="C62" s="16">
        <f t="shared" si="300"/>
        <v>33</v>
      </c>
      <c r="D62" s="9">
        <f>운전실적_원본!C62</f>
        <v>230906</v>
      </c>
      <c r="E62" s="199">
        <f t="shared" si="301"/>
        <v>151</v>
      </c>
      <c r="F62" s="9">
        <f>운전실적_원본!D62</f>
        <v>225231</v>
      </c>
      <c r="G62" s="16">
        <f t="shared" si="302"/>
        <v>42</v>
      </c>
      <c r="H62" s="15">
        <f>운전실적_원본!E62</f>
        <v>14008</v>
      </c>
      <c r="I62" s="16">
        <f t="shared" si="303"/>
        <v>4</v>
      </c>
      <c r="J62" s="15">
        <f>운전실적_원본!E62</f>
        <v>14008</v>
      </c>
      <c r="K62" s="16">
        <f t="shared" si="303"/>
        <v>4</v>
      </c>
      <c r="L62" s="15">
        <f>운전실적_원본!G62</f>
        <v>3790.5</v>
      </c>
      <c r="M62" s="31">
        <f t="shared" ref="M62" si="415">IF(OR(LEN(L62)=0,L62=0),"",L62-L61)</f>
        <v>0.59999999999990905</v>
      </c>
      <c r="N62" s="15">
        <f>운전실적_원본!H62</f>
        <v>8788</v>
      </c>
      <c r="O62" s="16">
        <f t="shared" ref="O62" si="416">IF(OR(LEN(N62)=0,N62=0),"",N62-N61)</f>
        <v>59</v>
      </c>
      <c r="P62" s="15">
        <f>운전실적_원본!I62</f>
        <v>254772</v>
      </c>
      <c r="Q62" s="16">
        <f t="shared" ref="Q62" si="417">IF(OR(LEN(P62)=0,P62=0),"",P62-P61)</f>
        <v>278</v>
      </c>
      <c r="R62" s="18">
        <f>운전실적_원본!J62</f>
        <v>30.56</v>
      </c>
      <c r="S62" s="19">
        <f t="shared" ref="S62" si="418">IF(OR(LEN(R62)=0,R62=0),"",R62-R61)</f>
        <v>0.11799999999999855</v>
      </c>
      <c r="T62" s="18">
        <f>운전실적_원본!K62</f>
        <v>29.98</v>
      </c>
      <c r="U62" s="19">
        <f t="shared" si="308"/>
        <v>8.0000000000001847E-2</v>
      </c>
      <c r="V62" s="12">
        <f>운전실적_원본!L62</f>
        <v>0</v>
      </c>
      <c r="W62" s="16" t="str">
        <f t="shared" ref="W62" si="419">IF(OR(LEN(V62)=0,V62=0),"",V62-V61)</f>
        <v/>
      </c>
      <c r="X62" s="10">
        <f>운전실적_원본!M62</f>
        <v>0</v>
      </c>
      <c r="Y62" s="10">
        <f>운전실적_원본!N62</f>
        <v>0</v>
      </c>
      <c r="Z62" s="10">
        <f>운전실적_원본!O62</f>
        <v>0</v>
      </c>
      <c r="AA62" s="10">
        <f>운전실적_원본!P62</f>
        <v>0</v>
      </c>
      <c r="AB62" s="10">
        <f>운전실적_원본!Q62</f>
        <v>0</v>
      </c>
      <c r="AC62" s="10">
        <f>운전실적_원본!R62</f>
        <v>0</v>
      </c>
      <c r="AD62" s="181">
        <f>운전실적_원본!S62</f>
        <v>0</v>
      </c>
      <c r="AE62" s="181">
        <f>운전실적_원본!T62</f>
        <v>0</v>
      </c>
      <c r="AF62" s="181">
        <f>운전실적_원본!U62</f>
        <v>0</v>
      </c>
      <c r="AG62" s="181">
        <f>운전실적_원본!V62</f>
        <v>0</v>
      </c>
      <c r="AH62" s="106">
        <f t="shared" si="1"/>
        <v>0</v>
      </c>
      <c r="AI62" s="107">
        <f t="shared" si="128"/>
        <v>0</v>
      </c>
      <c r="AJ62" s="107">
        <f t="shared" si="15"/>
        <v>0</v>
      </c>
      <c r="AK62" s="204">
        <f t="shared" si="16"/>
        <v>0</v>
      </c>
      <c r="AL62" s="103"/>
      <c r="AM62" s="103"/>
      <c r="AN62" s="103"/>
      <c r="AO62" s="103"/>
      <c r="AP62" s="103"/>
      <c r="AQ62" s="105"/>
      <c r="AR62" s="103"/>
      <c r="AS62" s="103"/>
      <c r="AT62" s="101"/>
      <c r="AU62" s="101"/>
      <c r="AV62" s="101"/>
      <c r="AW62" s="101"/>
      <c r="AX62" s="32">
        <f>운전실적_원본!W62</f>
        <v>0</v>
      </c>
      <c r="AY62" s="198">
        <f>운전실적_원본!X62</f>
        <v>0</v>
      </c>
      <c r="AZ62" s="198">
        <f>운전실적_원본!Y62</f>
        <v>0</v>
      </c>
      <c r="BA62" s="198">
        <f>운전실적_원본!Z62</f>
        <v>0</v>
      </c>
      <c r="BB62" s="198">
        <f>운전실적_원본!AA62</f>
        <v>0</v>
      </c>
      <c r="BC62" s="198">
        <f>운전실적_원본!AB62</f>
        <v>0</v>
      </c>
      <c r="BD62" s="32" t="str">
        <f t="shared" si="17"/>
        <v>-</v>
      </c>
      <c r="BE62" s="11" t="str">
        <f t="shared" si="2"/>
        <v>-</v>
      </c>
      <c r="BF62" s="11">
        <f>운전실적_원본!AE62</f>
        <v>0</v>
      </c>
      <c r="BG62" s="31">
        <f t="shared" si="0"/>
        <v>0</v>
      </c>
    </row>
    <row r="63" spans="1:59">
      <c r="A63" s="6">
        <f t="shared" si="3"/>
        <v>45715</v>
      </c>
      <c r="B63" s="15">
        <f>운전실적_원본!B63</f>
        <v>4931</v>
      </c>
      <c r="C63" s="16">
        <f t="shared" si="300"/>
        <v>32</v>
      </c>
      <c r="D63" s="9">
        <f>운전실적_원본!C63</f>
        <v>230932</v>
      </c>
      <c r="E63" s="199">
        <f t="shared" si="301"/>
        <v>26</v>
      </c>
      <c r="F63" s="9">
        <f>운전실적_원본!D63</f>
        <v>225392</v>
      </c>
      <c r="G63" s="16">
        <f t="shared" si="302"/>
        <v>161</v>
      </c>
      <c r="H63" s="15">
        <f>운전실적_원본!E63</f>
        <v>14013</v>
      </c>
      <c r="I63" s="16">
        <f t="shared" si="303"/>
        <v>5</v>
      </c>
      <c r="J63" s="15">
        <f>운전실적_원본!E63</f>
        <v>14013</v>
      </c>
      <c r="K63" s="16">
        <f t="shared" si="303"/>
        <v>5</v>
      </c>
      <c r="L63" s="15">
        <f>운전실적_원본!G63</f>
        <v>3791</v>
      </c>
      <c r="M63" s="31">
        <f t="shared" ref="M63" si="420">IF(OR(LEN(L63)=0,L63=0),"",L63-L62)</f>
        <v>0.5</v>
      </c>
      <c r="N63" s="15">
        <f>운전실적_원본!H63</f>
        <v>8845</v>
      </c>
      <c r="O63" s="16">
        <f t="shared" ref="O63" si="421">IF(OR(LEN(N63)=0,N63=0),"",N63-N62)</f>
        <v>57</v>
      </c>
      <c r="P63" s="15">
        <f>운전실적_원본!I63</f>
        <v>254825</v>
      </c>
      <c r="Q63" s="16">
        <f t="shared" ref="Q63" si="422">IF(OR(LEN(P63)=0,P63=0),"",P63-P62)</f>
        <v>53</v>
      </c>
      <c r="R63" s="18">
        <f>운전실적_원본!J63</f>
        <v>30.74</v>
      </c>
      <c r="S63" s="19">
        <f t="shared" ref="S63" si="423">IF(OR(LEN(R63)=0,R63=0),"",R63-R62)</f>
        <v>0.17999999999999972</v>
      </c>
      <c r="T63" s="18">
        <f>운전실적_원본!K63</f>
        <v>30.1</v>
      </c>
      <c r="U63" s="19">
        <f t="shared" si="308"/>
        <v>0.12000000000000099</v>
      </c>
      <c r="V63" s="12">
        <f>운전실적_원본!L63</f>
        <v>0</v>
      </c>
      <c r="W63" s="16" t="str">
        <f t="shared" ref="W63" si="424">IF(OR(LEN(V63)=0,V63=0),"",V63-V62)</f>
        <v/>
      </c>
      <c r="X63" s="10">
        <f>운전실적_원본!M63</f>
        <v>0</v>
      </c>
      <c r="Y63" s="10">
        <f>운전실적_원본!N63</f>
        <v>0</v>
      </c>
      <c r="Z63" s="10">
        <f>운전실적_원본!O63</f>
        <v>0</v>
      </c>
      <c r="AA63" s="10">
        <f>운전실적_원본!P63</f>
        <v>0</v>
      </c>
      <c r="AB63" s="10">
        <f>운전실적_원본!Q63</f>
        <v>0</v>
      </c>
      <c r="AC63" s="10">
        <f>운전실적_원본!R63</f>
        <v>0</v>
      </c>
      <c r="AD63" s="181">
        <f>운전실적_원본!S63</f>
        <v>0</v>
      </c>
      <c r="AE63" s="181">
        <f>운전실적_원본!T63</f>
        <v>0</v>
      </c>
      <c r="AF63" s="181">
        <f>운전실적_원본!U63</f>
        <v>0</v>
      </c>
      <c r="AG63" s="181">
        <f>운전실적_원본!V63</f>
        <v>0</v>
      </c>
      <c r="AH63" s="106">
        <f t="shared" si="1"/>
        <v>0</v>
      </c>
      <c r="AI63" s="107">
        <f t="shared" si="128"/>
        <v>0</v>
      </c>
      <c r="AJ63" s="107">
        <f t="shared" si="15"/>
        <v>0</v>
      </c>
      <c r="AK63" s="204">
        <f t="shared" si="16"/>
        <v>0</v>
      </c>
      <c r="AL63" s="103"/>
      <c r="AM63" s="103"/>
      <c r="AN63" s="103"/>
      <c r="AO63" s="103"/>
      <c r="AP63" s="103"/>
      <c r="AQ63" s="105"/>
      <c r="AR63" s="103"/>
      <c r="AS63" s="103"/>
      <c r="AT63" s="101"/>
      <c r="AU63" s="101"/>
      <c r="AV63" s="101"/>
      <c r="AW63" s="101"/>
      <c r="AX63" s="32">
        <f>운전실적_원본!W63</f>
        <v>0</v>
      </c>
      <c r="AY63" s="198">
        <f>운전실적_원본!X63</f>
        <v>0</v>
      </c>
      <c r="AZ63" s="198">
        <f>운전실적_원본!Y63</f>
        <v>0</v>
      </c>
      <c r="BA63" s="198">
        <f>운전실적_원본!Z63</f>
        <v>0</v>
      </c>
      <c r="BB63" s="198">
        <f>운전실적_원본!AA63</f>
        <v>0</v>
      </c>
      <c r="BC63" s="198">
        <f>운전실적_원본!AB63</f>
        <v>0</v>
      </c>
      <c r="BD63" s="32" t="str">
        <f t="shared" si="17"/>
        <v>-</v>
      </c>
      <c r="BE63" s="11" t="str">
        <f t="shared" si="2"/>
        <v>-</v>
      </c>
      <c r="BF63" s="11">
        <f>운전실적_원본!AE63</f>
        <v>0</v>
      </c>
      <c r="BG63" s="31">
        <f t="shared" si="0"/>
        <v>0</v>
      </c>
    </row>
    <row r="64" spans="1:59" s="197" customFormat="1">
      <c r="A64" s="205">
        <f t="shared" si="3"/>
        <v>45716</v>
      </c>
      <c r="B64" s="182">
        <f>운전실적_원본!B64</f>
        <v>4962</v>
      </c>
      <c r="C64" s="183">
        <f t="shared" si="300"/>
        <v>31</v>
      </c>
      <c r="D64" s="184">
        <f>운전실적_원본!C64</f>
        <v>231051</v>
      </c>
      <c r="E64" s="202">
        <f t="shared" si="301"/>
        <v>119</v>
      </c>
      <c r="F64" s="184">
        <f>운전실적_원본!D64</f>
        <v>225462</v>
      </c>
      <c r="G64" s="183">
        <f t="shared" si="302"/>
        <v>70</v>
      </c>
      <c r="H64" s="182">
        <f>운전실적_원본!E64</f>
        <v>14019</v>
      </c>
      <c r="I64" s="183">
        <f t="shared" si="303"/>
        <v>6</v>
      </c>
      <c r="J64" s="182">
        <f>운전실적_원본!E64</f>
        <v>14019</v>
      </c>
      <c r="K64" s="183">
        <f t="shared" si="303"/>
        <v>6</v>
      </c>
      <c r="L64" s="182">
        <f>운전실적_원본!G64</f>
        <v>3791.9</v>
      </c>
      <c r="M64" s="185">
        <f t="shared" ref="M64" si="425">IF(OR(LEN(L64)=0,L64=0),"",L64-L63)</f>
        <v>0.90000000000009095</v>
      </c>
      <c r="N64" s="182">
        <f>운전실적_원본!H64</f>
        <v>8904</v>
      </c>
      <c r="O64" s="183">
        <f t="shared" ref="O64" si="426">IF(OR(LEN(N64)=0,N64=0),"",N64-N63)</f>
        <v>59</v>
      </c>
      <c r="P64" s="182">
        <f>운전실적_원본!I64</f>
        <v>254857</v>
      </c>
      <c r="Q64" s="183">
        <f t="shared" ref="Q64" si="427">IF(OR(LEN(P64)=0,P64=0),"",P64-P63)</f>
        <v>32</v>
      </c>
      <c r="R64" s="186">
        <f>운전실적_원본!J64</f>
        <v>30.73</v>
      </c>
      <c r="S64" s="187">
        <f t="shared" ref="S64" si="428">IF(OR(LEN(R64)=0,R64=0),"",R64-R63)</f>
        <v>-9.9999999999980105E-3</v>
      </c>
      <c r="T64" s="186">
        <f>운전실적_원본!K64</f>
        <v>30.22</v>
      </c>
      <c r="U64" s="187">
        <f t="shared" si="308"/>
        <v>0.11999999999999744</v>
      </c>
      <c r="V64" s="184">
        <f>운전실적_원본!L64</f>
        <v>0</v>
      </c>
      <c r="W64" s="183" t="str">
        <f t="shared" ref="W64" si="429">IF(OR(LEN(V64)=0,V64=0),"",V64-V63)</f>
        <v/>
      </c>
      <c r="X64" s="188">
        <f>운전실적_원본!M64</f>
        <v>0</v>
      </c>
      <c r="Y64" s="188">
        <f>운전실적_원본!N64</f>
        <v>0</v>
      </c>
      <c r="Z64" s="188">
        <f>운전실적_원본!O64</f>
        <v>0</v>
      </c>
      <c r="AA64" s="188">
        <f>운전실적_원본!P64</f>
        <v>0</v>
      </c>
      <c r="AB64" s="188">
        <f>운전실적_원본!Q64</f>
        <v>0</v>
      </c>
      <c r="AC64" s="188">
        <f>운전실적_원본!R64</f>
        <v>0</v>
      </c>
      <c r="AD64" s="189">
        <f>운전실적_원본!S64</f>
        <v>0</v>
      </c>
      <c r="AE64" s="189">
        <f>운전실적_원본!T64</f>
        <v>0</v>
      </c>
      <c r="AF64" s="189">
        <f>운전실적_원본!U64</f>
        <v>0</v>
      </c>
      <c r="AG64" s="189">
        <f>운전실적_원본!V64</f>
        <v>0</v>
      </c>
      <c r="AH64" s="190">
        <f t="shared" si="1"/>
        <v>0</v>
      </c>
      <c r="AI64" s="191">
        <f t="shared" si="128"/>
        <v>0</v>
      </c>
      <c r="AJ64" s="191">
        <f t="shared" si="15"/>
        <v>0</v>
      </c>
      <c r="AK64" s="206">
        <f t="shared" si="16"/>
        <v>0</v>
      </c>
      <c r="AL64" s="192"/>
      <c r="AM64" s="192"/>
      <c r="AN64" s="192"/>
      <c r="AO64" s="192"/>
      <c r="AP64" s="192"/>
      <c r="AQ64" s="193"/>
      <c r="AR64" s="192"/>
      <c r="AS64" s="192"/>
      <c r="AT64" s="194"/>
      <c r="AU64" s="194"/>
      <c r="AV64" s="194"/>
      <c r="AW64" s="194"/>
      <c r="AX64" s="195">
        <f>운전실적_원본!W64</f>
        <v>0</v>
      </c>
      <c r="AY64" s="196">
        <f>운전실적_원본!X64</f>
        <v>0</v>
      </c>
      <c r="AZ64" s="196">
        <f>운전실적_원본!Y64</f>
        <v>0</v>
      </c>
      <c r="BA64" s="196">
        <f>운전실적_원본!Z64</f>
        <v>0</v>
      </c>
      <c r="BB64" s="196">
        <f>운전실적_원본!AA64</f>
        <v>0</v>
      </c>
      <c r="BC64" s="185">
        <f>운전실적_원본!AB64</f>
        <v>0</v>
      </c>
      <c r="BD64" s="195" t="str">
        <f t="shared" si="17"/>
        <v>-</v>
      </c>
      <c r="BE64" s="196" t="str">
        <f t="shared" si="2"/>
        <v>-</v>
      </c>
      <c r="BF64" s="196">
        <f>운전실적_원본!AE64</f>
        <v>0</v>
      </c>
      <c r="BG64" s="185">
        <f t="shared" si="0"/>
        <v>0</v>
      </c>
    </row>
    <row r="65" spans="1:59">
      <c r="A65" s="6">
        <f t="shared" si="3"/>
        <v>45717</v>
      </c>
      <c r="B65" s="15">
        <f>운전실적_원본!B65</f>
        <v>4995</v>
      </c>
      <c r="C65" s="16">
        <f t="shared" si="300"/>
        <v>33</v>
      </c>
      <c r="D65" s="9">
        <f>운전실적_원본!C65</f>
        <v>231125</v>
      </c>
      <c r="E65" s="199">
        <f t="shared" si="301"/>
        <v>74</v>
      </c>
      <c r="F65" s="9">
        <f>운전실적_원본!D65</f>
        <v>225574</v>
      </c>
      <c r="G65" s="16">
        <f t="shared" si="302"/>
        <v>112</v>
      </c>
      <c r="H65" s="15">
        <f>운전실적_원본!E65</f>
        <v>14021</v>
      </c>
      <c r="I65" s="16">
        <f t="shared" si="303"/>
        <v>2</v>
      </c>
      <c r="J65" s="15">
        <f>운전실적_원본!E65</f>
        <v>14021</v>
      </c>
      <c r="K65" s="16">
        <f t="shared" si="303"/>
        <v>2</v>
      </c>
      <c r="L65" s="15">
        <f>운전실적_원본!G65</f>
        <v>3792.5</v>
      </c>
      <c r="M65" s="31">
        <f t="shared" ref="M65" si="430">IF(OR(LEN(L65)=0,L65=0),"",L65-L64)</f>
        <v>0.59999999999990905</v>
      </c>
      <c r="N65" s="15">
        <f>운전실적_원본!H65</f>
        <v>8944</v>
      </c>
      <c r="O65" s="16">
        <f t="shared" ref="O65" si="431">IF(OR(LEN(N65)=0,N65=0),"",N65-N64)</f>
        <v>40</v>
      </c>
      <c r="P65" s="15">
        <f>운전실적_원본!I65</f>
        <v>255057</v>
      </c>
      <c r="Q65" s="16">
        <f t="shared" ref="Q65" si="432">IF(OR(LEN(P65)=0,P65=0),"",P65-P64)</f>
        <v>200</v>
      </c>
      <c r="R65" s="18">
        <f>운전실적_원본!J65</f>
        <v>30.47</v>
      </c>
      <c r="S65" s="19">
        <f t="shared" ref="S65" si="433">IF(OR(LEN(R65)=0,R65=0),"",R65-R64)</f>
        <v>-0.26000000000000156</v>
      </c>
      <c r="T65" s="18">
        <f>운전실적_원본!K65</f>
        <v>30.19</v>
      </c>
      <c r="U65" s="19">
        <f t="shared" si="308"/>
        <v>-2.9999999999997584E-2</v>
      </c>
      <c r="V65" s="12">
        <f>운전실적_원본!L65</f>
        <v>0</v>
      </c>
      <c r="W65" s="16" t="str">
        <f t="shared" ref="W65" si="434">IF(OR(LEN(V65)=0,V65=0),"",V65-V64)</f>
        <v/>
      </c>
      <c r="X65" s="10">
        <f>운전실적_원본!M65</f>
        <v>0</v>
      </c>
      <c r="Y65" s="10">
        <f>운전실적_원본!N65</f>
        <v>0</v>
      </c>
      <c r="Z65" s="10">
        <f>운전실적_원본!O65</f>
        <v>0</v>
      </c>
      <c r="AA65" s="10">
        <f>운전실적_원본!P65</f>
        <v>0</v>
      </c>
      <c r="AB65" s="10">
        <f>운전실적_원본!Q65</f>
        <v>0</v>
      </c>
      <c r="AC65" s="10">
        <f>운전실적_원본!R65</f>
        <v>0</v>
      </c>
      <c r="AD65" s="181">
        <f>운전실적_원본!S65</f>
        <v>0</v>
      </c>
      <c r="AE65" s="181">
        <f>운전실적_원본!T65</f>
        <v>0</v>
      </c>
      <c r="AF65" s="181">
        <f>운전실적_원본!U65</f>
        <v>0</v>
      </c>
      <c r="AG65" s="181">
        <f>운전실적_원본!V65</f>
        <v>0</v>
      </c>
      <c r="AH65" s="106">
        <f t="shared" si="1"/>
        <v>0</v>
      </c>
      <c r="AI65" s="107">
        <f t="shared" si="128"/>
        <v>0</v>
      </c>
      <c r="AJ65" s="107">
        <f t="shared" si="15"/>
        <v>0</v>
      </c>
      <c r="AK65" s="204">
        <f t="shared" si="16"/>
        <v>0</v>
      </c>
      <c r="AL65" s="103"/>
      <c r="AM65" s="103"/>
      <c r="AN65" s="103"/>
      <c r="AO65" s="103"/>
      <c r="AP65" s="103"/>
      <c r="AQ65" s="105"/>
      <c r="AR65" s="103"/>
      <c r="AS65" s="103"/>
      <c r="AT65" s="101"/>
      <c r="AU65" s="101"/>
      <c r="AV65" s="101"/>
      <c r="AW65" s="101"/>
      <c r="AX65" s="32">
        <f>운전실적_원본!W65</f>
        <v>0</v>
      </c>
      <c r="AY65" s="198">
        <f>운전실적_원본!X65</f>
        <v>0</v>
      </c>
      <c r="AZ65" s="198">
        <f>운전실적_원본!Y65</f>
        <v>0</v>
      </c>
      <c r="BA65" s="198">
        <f>운전실적_원본!Z65</f>
        <v>0</v>
      </c>
      <c r="BB65" s="198">
        <f>운전실적_원본!AA65</f>
        <v>0</v>
      </c>
      <c r="BC65" s="198">
        <f>운전실적_원본!AB65</f>
        <v>0</v>
      </c>
      <c r="BD65" s="32" t="str">
        <f t="shared" si="17"/>
        <v>-</v>
      </c>
      <c r="BE65" s="11" t="str">
        <f t="shared" si="2"/>
        <v>-</v>
      </c>
      <c r="BF65" s="11">
        <f>운전실적_원본!AE65</f>
        <v>0</v>
      </c>
      <c r="BG65" s="31">
        <f t="shared" si="0"/>
        <v>0</v>
      </c>
    </row>
    <row r="66" spans="1:59">
      <c r="A66" s="6">
        <f t="shared" si="3"/>
        <v>45718</v>
      </c>
      <c r="B66" s="15">
        <f>운전실적_원본!B66</f>
        <v>5027</v>
      </c>
      <c r="C66" s="16">
        <f t="shared" si="300"/>
        <v>32</v>
      </c>
      <c r="D66" s="9">
        <f>운전실적_원본!C66</f>
        <v>231223</v>
      </c>
      <c r="E66" s="199">
        <f t="shared" si="301"/>
        <v>98</v>
      </c>
      <c r="F66" s="9">
        <f>운전실적_원본!D66</f>
        <v>225631</v>
      </c>
      <c r="G66" s="16">
        <f t="shared" si="302"/>
        <v>57</v>
      </c>
      <c r="H66" s="15">
        <f>운전실적_원본!E66</f>
        <v>14024</v>
      </c>
      <c r="I66" s="16">
        <f t="shared" si="303"/>
        <v>3</v>
      </c>
      <c r="J66" s="15">
        <f>운전실적_원본!E66</f>
        <v>14024</v>
      </c>
      <c r="K66" s="16">
        <f t="shared" si="303"/>
        <v>3</v>
      </c>
      <c r="L66" s="15">
        <f>운전실적_원본!G66</f>
        <v>3793</v>
      </c>
      <c r="M66" s="31">
        <f t="shared" ref="M66" si="435">IF(OR(LEN(L66)=0,L66=0),"",L66-L65)</f>
        <v>0.5</v>
      </c>
      <c r="N66" s="15">
        <f>운전실적_원본!H66</f>
        <v>8985</v>
      </c>
      <c r="O66" s="16">
        <f t="shared" ref="O66" si="436">IF(OR(LEN(N66)=0,N66=0),"",N66-N65)</f>
        <v>41</v>
      </c>
      <c r="P66" s="15">
        <f>운전실적_원본!I66</f>
        <v>255212</v>
      </c>
      <c r="Q66" s="16">
        <f t="shared" ref="Q66" si="437">IF(OR(LEN(P66)=0,P66=0),"",P66-P65)</f>
        <v>155</v>
      </c>
      <c r="R66" s="18">
        <f>운전실적_원본!J66</f>
        <v>30.31</v>
      </c>
      <c r="S66" s="19">
        <f t="shared" ref="S66" si="438">IF(OR(LEN(R66)=0,R66=0),"",R66-R65)</f>
        <v>-0.16000000000000014</v>
      </c>
      <c r="T66" s="18">
        <f>운전실적_원본!K66</f>
        <v>30.31</v>
      </c>
      <c r="U66" s="19">
        <f t="shared" si="308"/>
        <v>0.11999999999999744</v>
      </c>
      <c r="V66" s="12">
        <f>운전실적_원본!L66</f>
        <v>0</v>
      </c>
      <c r="W66" s="16" t="str">
        <f t="shared" ref="W66" si="439">IF(OR(LEN(V66)=0,V66=0),"",V66-V65)</f>
        <v/>
      </c>
      <c r="X66" s="10">
        <f>운전실적_원본!M66</f>
        <v>0</v>
      </c>
      <c r="Y66" s="10">
        <f>운전실적_원본!N66</f>
        <v>0</v>
      </c>
      <c r="Z66" s="10">
        <f>운전실적_원본!O66</f>
        <v>0</v>
      </c>
      <c r="AA66" s="10">
        <f>운전실적_원본!P66</f>
        <v>0</v>
      </c>
      <c r="AB66" s="10">
        <f>운전실적_원본!Q66</f>
        <v>0</v>
      </c>
      <c r="AC66" s="10">
        <f>운전실적_원본!R66</f>
        <v>0</v>
      </c>
      <c r="AD66" s="181">
        <f>운전실적_원본!S66</f>
        <v>0</v>
      </c>
      <c r="AE66" s="181">
        <f>운전실적_원본!T66</f>
        <v>0</v>
      </c>
      <c r="AF66" s="181">
        <f>운전실적_원본!U66</f>
        <v>0</v>
      </c>
      <c r="AG66" s="181">
        <f>운전실적_원본!V66</f>
        <v>0</v>
      </c>
      <c r="AH66" s="106">
        <f t="shared" si="1"/>
        <v>0</v>
      </c>
      <c r="AI66" s="107">
        <f t="shared" si="128"/>
        <v>0</v>
      </c>
      <c r="AJ66" s="107">
        <f t="shared" si="15"/>
        <v>0</v>
      </c>
      <c r="AK66" s="204">
        <f t="shared" si="16"/>
        <v>0</v>
      </c>
      <c r="AL66" s="103"/>
      <c r="AM66" s="103"/>
      <c r="AN66" s="103"/>
      <c r="AO66" s="103"/>
      <c r="AP66" s="103"/>
      <c r="AQ66" s="105"/>
      <c r="AR66" s="103"/>
      <c r="AS66" s="103"/>
      <c r="AT66" s="101"/>
      <c r="AU66" s="101"/>
      <c r="AV66" s="101"/>
      <c r="AW66" s="101"/>
      <c r="AX66" s="32">
        <f>운전실적_원본!W66</f>
        <v>0</v>
      </c>
      <c r="AY66" s="198">
        <f>운전실적_원본!X66</f>
        <v>0</v>
      </c>
      <c r="AZ66" s="198">
        <f>운전실적_원본!Y66</f>
        <v>0</v>
      </c>
      <c r="BA66" s="198">
        <f>운전실적_원본!Z66</f>
        <v>0</v>
      </c>
      <c r="BB66" s="198">
        <f>운전실적_원본!AA66</f>
        <v>0</v>
      </c>
      <c r="BC66" s="198">
        <f>운전실적_원본!AB66</f>
        <v>0</v>
      </c>
      <c r="BD66" s="32" t="str">
        <f t="shared" si="17"/>
        <v>-</v>
      </c>
      <c r="BE66" s="11" t="str">
        <f t="shared" si="2"/>
        <v>-</v>
      </c>
      <c r="BF66" s="11">
        <f>운전실적_원본!AE66</f>
        <v>0</v>
      </c>
      <c r="BG66" s="31">
        <f t="shared" si="0"/>
        <v>0</v>
      </c>
    </row>
    <row r="67" spans="1:59">
      <c r="A67" s="6">
        <f t="shared" si="3"/>
        <v>45719</v>
      </c>
      <c r="B67" s="15">
        <f>운전실적_원본!B67</f>
        <v>5053</v>
      </c>
      <c r="C67" s="16">
        <f t="shared" si="300"/>
        <v>26</v>
      </c>
      <c r="D67" s="9">
        <f>운전실적_원본!C67</f>
        <v>231223</v>
      </c>
      <c r="E67" s="199">
        <f t="shared" si="301"/>
        <v>0</v>
      </c>
      <c r="F67" s="9">
        <f>운전실적_원본!D67</f>
        <v>225725</v>
      </c>
      <c r="G67" s="16">
        <f t="shared" si="302"/>
        <v>94</v>
      </c>
      <c r="H67" s="15">
        <f>운전실적_원본!E67</f>
        <v>14027</v>
      </c>
      <c r="I67" s="16">
        <f t="shared" si="303"/>
        <v>3</v>
      </c>
      <c r="J67" s="15">
        <f>운전실적_원본!E67</f>
        <v>14027</v>
      </c>
      <c r="K67" s="16">
        <f t="shared" si="303"/>
        <v>3</v>
      </c>
      <c r="L67" s="15">
        <f>운전실적_원본!G67</f>
        <v>3793.5</v>
      </c>
      <c r="M67" s="31">
        <f t="shared" ref="M67" si="440">IF(OR(LEN(L67)=0,L67=0),"",L67-L66)</f>
        <v>0.5</v>
      </c>
      <c r="N67" s="15">
        <f>운전실적_원본!H67</f>
        <v>9018</v>
      </c>
      <c r="O67" s="16">
        <f t="shared" ref="O67" si="441">IF(OR(LEN(N67)=0,N67=0),"",N67-N66)</f>
        <v>33</v>
      </c>
      <c r="P67" s="15">
        <f>운전실적_원본!I67</f>
        <v>255407</v>
      </c>
      <c r="Q67" s="16">
        <f t="shared" ref="Q67" si="442">IF(OR(LEN(P67)=0,P67=0),"",P67-P66)</f>
        <v>195</v>
      </c>
      <c r="R67" s="18">
        <f>운전실적_원본!J67</f>
        <v>30.67</v>
      </c>
      <c r="S67" s="19">
        <f t="shared" ref="S67" si="443">IF(OR(LEN(R67)=0,R67=0),"",R67-R66)</f>
        <v>0.36000000000000298</v>
      </c>
      <c r="T67" s="18">
        <f>운전실적_원본!K67</f>
        <v>30.18</v>
      </c>
      <c r="U67" s="19">
        <f t="shared" si="308"/>
        <v>-0.12999999999999901</v>
      </c>
      <c r="V67" s="12">
        <f>운전실적_원본!L67</f>
        <v>0</v>
      </c>
      <c r="W67" s="16" t="str">
        <f t="shared" ref="W67" si="444">IF(OR(LEN(V67)=0,V67=0),"",V67-V66)</f>
        <v/>
      </c>
      <c r="X67" s="10">
        <f>운전실적_원본!M67</f>
        <v>129212.39999999851</v>
      </c>
      <c r="Y67" s="10">
        <f>운전실적_원본!N67</f>
        <v>0</v>
      </c>
      <c r="Z67" s="10">
        <f>운전실적_원본!O67</f>
        <v>0</v>
      </c>
      <c r="AA67" s="10">
        <f>운전실적_원본!P67</f>
        <v>0</v>
      </c>
      <c r="AB67" s="10">
        <f>운전실적_원본!Q67</f>
        <v>0</v>
      </c>
      <c r="AC67" s="10">
        <f>운전실적_원본!R67</f>
        <v>0</v>
      </c>
      <c r="AD67" s="181">
        <f>운전실적_원본!S67</f>
        <v>22</v>
      </c>
      <c r="AE67" s="181">
        <f>운전실적_원본!T67</f>
        <v>0</v>
      </c>
      <c r="AF67" s="181">
        <f>운전실적_원본!U67</f>
        <v>0</v>
      </c>
      <c r="AG67" s="181">
        <f>운전실적_원본!V67</f>
        <v>0</v>
      </c>
      <c r="AH67" s="106">
        <f t="shared" si="1"/>
        <v>21.499999999883585</v>
      </c>
      <c r="AI67" s="107">
        <f t="shared" si="128"/>
        <v>0</v>
      </c>
      <c r="AJ67" s="107">
        <f t="shared" si="15"/>
        <v>0</v>
      </c>
      <c r="AK67" s="204">
        <f t="shared" si="16"/>
        <v>0</v>
      </c>
      <c r="AL67" s="103">
        <v>45719.083333333336</v>
      </c>
      <c r="AM67" s="103">
        <v>45719.979166666664</v>
      </c>
      <c r="AN67" s="103"/>
      <c r="AO67" s="103"/>
      <c r="AP67" s="103"/>
      <c r="AQ67" s="105"/>
      <c r="AR67" s="103"/>
      <c r="AS67" s="103"/>
      <c r="AT67" s="101"/>
      <c r="AU67" s="101"/>
      <c r="AV67" s="101"/>
      <c r="AW67" s="101"/>
      <c r="AX67" s="32">
        <f>운전실적_원본!W67</f>
        <v>806.29999999998836</v>
      </c>
      <c r="AY67" s="198">
        <f>운전실적_원본!X67</f>
        <v>0</v>
      </c>
      <c r="AZ67" s="198">
        <f>운전실적_원본!Y67</f>
        <v>0</v>
      </c>
      <c r="BA67" s="198">
        <f>운전실적_원본!Z67</f>
        <v>0</v>
      </c>
      <c r="BB67" s="198">
        <f>운전실적_원본!AA67</f>
        <v>0</v>
      </c>
      <c r="BC67" s="198">
        <f>운전실적_원본!AB67</f>
        <v>806.29999999998836</v>
      </c>
      <c r="BD67" s="32">
        <f t="shared" si="17"/>
        <v>36.649999999999473</v>
      </c>
      <c r="BE67" s="11">
        <f t="shared" si="2"/>
        <v>0.71317376921579045</v>
      </c>
      <c r="BF67" s="11">
        <f>운전실적_원본!AE67</f>
        <v>0</v>
      </c>
      <c r="BG67" s="31">
        <f t="shared" si="0"/>
        <v>0</v>
      </c>
    </row>
    <row r="68" spans="1:59">
      <c r="A68" s="6">
        <f t="shared" si="3"/>
        <v>45720</v>
      </c>
      <c r="B68" s="15">
        <f>운전실적_원본!B68</f>
        <v>5053</v>
      </c>
      <c r="C68" s="16">
        <f t="shared" si="300"/>
        <v>0</v>
      </c>
      <c r="D68" s="9">
        <f>운전실적_원본!C68</f>
        <v>231231</v>
      </c>
      <c r="E68" s="199">
        <f t="shared" si="301"/>
        <v>8</v>
      </c>
      <c r="F68" s="9">
        <f>운전실적_원본!D68</f>
        <v>225782</v>
      </c>
      <c r="G68" s="16">
        <f t="shared" si="302"/>
        <v>57</v>
      </c>
      <c r="H68" s="15">
        <f>운전실적_원본!E68</f>
        <v>14033</v>
      </c>
      <c r="I68" s="16">
        <f t="shared" si="303"/>
        <v>6</v>
      </c>
      <c r="J68" s="15">
        <f>운전실적_원본!E68</f>
        <v>14033</v>
      </c>
      <c r="K68" s="16">
        <f t="shared" si="303"/>
        <v>6</v>
      </c>
      <c r="L68" s="15">
        <f>운전실적_원본!G68</f>
        <v>3794.4</v>
      </c>
      <c r="M68" s="31">
        <f t="shared" ref="M68" si="445">IF(OR(LEN(L68)=0,L68=0),"",L68-L67)</f>
        <v>0.90000000000009095</v>
      </c>
      <c r="N68" s="15">
        <f>운전실적_원본!H68</f>
        <v>9118</v>
      </c>
      <c r="O68" s="16">
        <f t="shared" ref="O68" si="446">IF(OR(LEN(N68)=0,N68=0),"",N68-N67)</f>
        <v>100</v>
      </c>
      <c r="P68" s="15">
        <f>운전실적_원본!I68</f>
        <v>255564</v>
      </c>
      <c r="Q68" s="16">
        <f t="shared" ref="Q68" si="447">IF(OR(LEN(P68)=0,P68=0),"",P68-P67)</f>
        <v>157</v>
      </c>
      <c r="R68" s="18">
        <f>운전실적_원본!J68</f>
        <v>30.28</v>
      </c>
      <c r="S68" s="19">
        <f t="shared" ref="S68" si="448">IF(OR(LEN(R68)=0,R68=0),"",R68-R67)</f>
        <v>-0.39000000000000057</v>
      </c>
      <c r="T68" s="18">
        <f>운전실적_원본!K68</f>
        <v>30.11</v>
      </c>
      <c r="U68" s="19">
        <f t="shared" si="308"/>
        <v>-7.0000000000000284E-2</v>
      </c>
      <c r="V68" s="12">
        <f>운전실적_원본!L68</f>
        <v>0</v>
      </c>
      <c r="W68" s="16" t="str">
        <f t="shared" ref="W68" si="449">IF(OR(LEN(V68)=0,V68=0),"",V68-V67)</f>
        <v/>
      </c>
      <c r="X68" s="10">
        <f>운전실적_원본!M68</f>
        <v>120437.60000000149</v>
      </c>
      <c r="Y68" s="10">
        <f>운전실적_원본!N68</f>
        <v>0</v>
      </c>
      <c r="Z68" s="10">
        <f>운전실적_원본!O68</f>
        <v>0</v>
      </c>
      <c r="AA68" s="10">
        <f>운전실적_원본!P68</f>
        <v>0</v>
      </c>
      <c r="AB68" s="10">
        <f>운전실적_원본!Q68</f>
        <v>0</v>
      </c>
      <c r="AC68" s="10">
        <f>운전실적_원본!R68</f>
        <v>0</v>
      </c>
      <c r="AD68" s="181">
        <f>운전실적_원본!S68</f>
        <v>16</v>
      </c>
      <c r="AE68" s="181">
        <f>운전실적_원본!T68</f>
        <v>0</v>
      </c>
      <c r="AF68" s="181">
        <f>운전실적_원본!U68</f>
        <v>0</v>
      </c>
      <c r="AG68" s="181">
        <f>운전실적_원본!V68</f>
        <v>0</v>
      </c>
      <c r="AH68" s="106">
        <f t="shared" si="1"/>
        <v>16.083333333372138</v>
      </c>
      <c r="AI68" s="107">
        <f t="shared" si="128"/>
        <v>0</v>
      </c>
      <c r="AJ68" s="107">
        <f t="shared" si="15"/>
        <v>0</v>
      </c>
      <c r="AK68" s="204">
        <f t="shared" si="16"/>
        <v>0</v>
      </c>
      <c r="AL68" s="103">
        <v>45720.288194444445</v>
      </c>
      <c r="AM68" s="103">
        <v>45720.958333333336</v>
      </c>
      <c r="AN68" s="103"/>
      <c r="AO68" s="103"/>
      <c r="AP68" s="103"/>
      <c r="AQ68" s="105"/>
      <c r="AR68" s="103"/>
      <c r="AS68" s="103"/>
      <c r="AT68" s="101"/>
      <c r="AU68" s="101"/>
      <c r="AV68" s="101"/>
      <c r="AW68" s="101"/>
      <c r="AX68" s="32">
        <f>운전실적_원본!W68</f>
        <v>766</v>
      </c>
      <c r="AY68" s="198">
        <f>운전실적_원본!X68</f>
        <v>0</v>
      </c>
      <c r="AZ68" s="198">
        <f>운전실적_원본!Y68</f>
        <v>0</v>
      </c>
      <c r="BA68" s="198">
        <f>운전실적_원본!Z68</f>
        <v>0</v>
      </c>
      <c r="BB68" s="198">
        <f>운전실적_원본!AA68</f>
        <v>0</v>
      </c>
      <c r="BC68" s="198">
        <f>운전실적_원본!AB68</f>
        <v>766</v>
      </c>
      <c r="BD68" s="32">
        <f t="shared" si="17"/>
        <v>47.875</v>
      </c>
      <c r="BE68" s="11">
        <f t="shared" si="2"/>
        <v>0.931601478886943</v>
      </c>
      <c r="BF68" s="11">
        <f>운전실적_원본!AE68</f>
        <v>0</v>
      </c>
      <c r="BG68" s="31">
        <f t="shared" si="0"/>
        <v>0</v>
      </c>
    </row>
    <row r="69" spans="1:59">
      <c r="A69" s="6">
        <f t="shared" si="3"/>
        <v>45721</v>
      </c>
      <c r="B69" s="15">
        <f>운전실적_원본!B69</f>
        <v>5062</v>
      </c>
      <c r="C69" s="16">
        <f t="shared" si="300"/>
        <v>9</v>
      </c>
      <c r="D69" s="9">
        <f>운전실적_원본!C69</f>
        <v>231322</v>
      </c>
      <c r="E69" s="199">
        <f t="shared" si="301"/>
        <v>91</v>
      </c>
      <c r="F69" s="9">
        <f>운전실적_원본!D69</f>
        <v>225803</v>
      </c>
      <c r="G69" s="16">
        <f t="shared" si="302"/>
        <v>21</v>
      </c>
      <c r="H69" s="15">
        <f>운전실적_원본!E69</f>
        <v>14038</v>
      </c>
      <c r="I69" s="16">
        <f t="shared" si="303"/>
        <v>5</v>
      </c>
      <c r="J69" s="15">
        <f>운전실적_원본!E69</f>
        <v>14038</v>
      </c>
      <c r="K69" s="16">
        <f t="shared" si="303"/>
        <v>5</v>
      </c>
      <c r="L69" s="15">
        <f>운전실적_원본!G69</f>
        <v>3795.2</v>
      </c>
      <c r="M69" s="31">
        <f t="shared" ref="M69" si="450">IF(OR(LEN(L69)=0,L69=0),"",L69-L68)</f>
        <v>0.79999999999972715</v>
      </c>
      <c r="N69" s="15">
        <f>운전실적_원본!H69</f>
        <v>9199</v>
      </c>
      <c r="O69" s="16">
        <f t="shared" ref="O69" si="451">IF(OR(LEN(N69)=0,N69=0),"",N69-N68)</f>
        <v>81</v>
      </c>
      <c r="P69" s="15">
        <f>운전실적_원본!I69</f>
        <v>255768</v>
      </c>
      <c r="Q69" s="16">
        <f t="shared" ref="Q69" si="452">IF(OR(LEN(P69)=0,P69=0),"",P69-P68)</f>
        <v>204</v>
      </c>
      <c r="R69" s="18">
        <f>운전실적_원본!J69</f>
        <v>30.36</v>
      </c>
      <c r="S69" s="19">
        <f t="shared" ref="S69" si="453">IF(OR(LEN(R69)=0,R69=0),"",R69-R68)</f>
        <v>7.9999999999998295E-2</v>
      </c>
      <c r="T69" s="18">
        <f>운전실적_원본!K69</f>
        <v>30.01</v>
      </c>
      <c r="U69" s="19">
        <f t="shared" si="308"/>
        <v>-9.9999999999997868E-2</v>
      </c>
      <c r="V69" s="12">
        <f>운전실적_원본!L69</f>
        <v>0</v>
      </c>
      <c r="W69" s="16" t="str">
        <f t="shared" ref="W69" si="454">IF(OR(LEN(V69)=0,V69=0),"",V69-V68)</f>
        <v/>
      </c>
      <c r="X69" s="10">
        <f>운전실적_원본!M69</f>
        <v>136409.20000000001</v>
      </c>
      <c r="Y69" s="10">
        <f>운전실적_원본!N69</f>
        <v>0</v>
      </c>
      <c r="Z69" s="10">
        <f>운전실적_원본!O69</f>
        <v>0</v>
      </c>
      <c r="AA69" s="10">
        <f>운전실적_원본!P69</f>
        <v>0</v>
      </c>
      <c r="AB69" s="10">
        <f>운전실적_원본!Q69</f>
        <v>0</v>
      </c>
      <c r="AC69" s="10">
        <f>운전실적_원본!R69</f>
        <v>0</v>
      </c>
      <c r="AD69" s="181">
        <f>운전실적_원본!S69</f>
        <v>18</v>
      </c>
      <c r="AE69" s="181">
        <f>운전실적_원본!T69</f>
        <v>0</v>
      </c>
      <c r="AF69" s="181">
        <f>운전실적_원본!U69</f>
        <v>0</v>
      </c>
      <c r="AG69" s="181">
        <f>운전실적_원본!V69</f>
        <v>0</v>
      </c>
      <c r="AH69" s="106">
        <f t="shared" si="1"/>
        <v>18.166666666686069</v>
      </c>
      <c r="AI69" s="107">
        <f t="shared" si="128"/>
        <v>0</v>
      </c>
      <c r="AJ69" s="107">
        <f t="shared" si="15"/>
        <v>0</v>
      </c>
      <c r="AK69" s="204">
        <f t="shared" si="16"/>
        <v>0</v>
      </c>
      <c r="AL69" s="103">
        <v>45721.243055555555</v>
      </c>
      <c r="AM69" s="103">
        <v>45722</v>
      </c>
      <c r="AN69" s="103"/>
      <c r="AO69" s="103"/>
      <c r="AP69" s="103"/>
      <c r="AQ69" s="105"/>
      <c r="AR69" s="103"/>
      <c r="AS69" s="103"/>
      <c r="AT69" s="101"/>
      <c r="AU69" s="101"/>
      <c r="AV69" s="101"/>
      <c r="AW69" s="101"/>
      <c r="AX69" s="32">
        <f>운전실적_원본!W69</f>
        <v>864</v>
      </c>
      <c r="AY69" s="198">
        <f>운전실적_원본!X69</f>
        <v>0</v>
      </c>
      <c r="AZ69" s="198">
        <f>운전실적_원본!Y69</f>
        <v>0</v>
      </c>
      <c r="BA69" s="198">
        <f>운전실적_원본!Z69</f>
        <v>0</v>
      </c>
      <c r="BB69" s="198">
        <f>운전실적_원본!AA69</f>
        <v>0</v>
      </c>
      <c r="BC69" s="198">
        <f>운전실적_원본!AB69</f>
        <v>864</v>
      </c>
      <c r="BD69" s="32">
        <f t="shared" ref="BD69:BD132" si="455">IFERROR(AX69/AD69,"-")</f>
        <v>48</v>
      </c>
      <c r="BE69" s="11">
        <f t="shared" si="2"/>
        <v>0.93403385872737887</v>
      </c>
      <c r="BF69" s="11">
        <f>운전실적_원본!AE69</f>
        <v>0</v>
      </c>
      <c r="BG69" s="31">
        <f t="shared" ref="BG69:BG132" si="456">IFERROR(BF69/$BG$4,"-")</f>
        <v>0</v>
      </c>
    </row>
    <row r="70" spans="1:59">
      <c r="A70" s="6">
        <f t="shared" si="3"/>
        <v>45722</v>
      </c>
      <c r="B70" s="15">
        <f>운전실적_원본!B70</f>
        <v>5092</v>
      </c>
      <c r="C70" s="16">
        <f t="shared" si="300"/>
        <v>30</v>
      </c>
      <c r="D70" s="9">
        <f>운전실적_원본!C70</f>
        <v>231413</v>
      </c>
      <c r="E70" s="199">
        <f t="shared" si="301"/>
        <v>91</v>
      </c>
      <c r="F70" s="9">
        <f>운전실적_원본!D70</f>
        <v>225955</v>
      </c>
      <c r="G70" s="16">
        <f t="shared" si="302"/>
        <v>152</v>
      </c>
      <c r="H70" s="15">
        <f>운전실적_원본!E70</f>
        <v>14043</v>
      </c>
      <c r="I70" s="16">
        <f t="shared" si="303"/>
        <v>5</v>
      </c>
      <c r="J70" s="15">
        <f>운전실적_원본!E70</f>
        <v>14043</v>
      </c>
      <c r="K70" s="16">
        <f t="shared" si="303"/>
        <v>5</v>
      </c>
      <c r="L70" s="15">
        <f>운전실적_원본!G70</f>
        <v>3796.3</v>
      </c>
      <c r="M70" s="31">
        <f t="shared" ref="M70" si="457">IF(OR(LEN(L70)=0,L70=0),"",L70-L69)</f>
        <v>1.1000000000003638</v>
      </c>
      <c r="N70" s="15">
        <f>운전실적_원본!H70</f>
        <v>9326</v>
      </c>
      <c r="O70" s="16">
        <f t="shared" ref="O70" si="458">IF(OR(LEN(N70)=0,N70=0),"",N70-N69)</f>
        <v>127</v>
      </c>
      <c r="P70" s="15">
        <f>운전실적_원본!I70</f>
        <v>256121</v>
      </c>
      <c r="Q70" s="16">
        <f t="shared" ref="Q70" si="459">IF(OR(LEN(P70)=0,P70=0),"",P70-P69)</f>
        <v>353</v>
      </c>
      <c r="R70" s="18">
        <f>운전실적_원본!J70</f>
        <v>30.36</v>
      </c>
      <c r="S70" s="19">
        <f t="shared" ref="S70" si="460">IF(OR(LEN(R70)=0,R70=0),"",R70-R69)</f>
        <v>0</v>
      </c>
      <c r="T70" s="18">
        <f>운전실적_원본!K70</f>
        <v>30.11</v>
      </c>
      <c r="U70" s="19">
        <f t="shared" si="308"/>
        <v>9.9999999999997868E-2</v>
      </c>
      <c r="V70" s="12">
        <f>운전실적_원본!L70</f>
        <v>0</v>
      </c>
      <c r="W70" s="16" t="str">
        <f t="shared" ref="W70" si="461">IF(OR(LEN(V70)=0,V70=0),"",V70-V69)</f>
        <v/>
      </c>
      <c r="X70" s="10">
        <f>운전실적_원본!M70</f>
        <v>111981</v>
      </c>
      <c r="Y70" s="10">
        <f>운전실적_원본!N70</f>
        <v>0</v>
      </c>
      <c r="Z70" s="10">
        <f>운전실적_원본!O70</f>
        <v>0</v>
      </c>
      <c r="AA70" s="10">
        <f>운전실적_원본!P70</f>
        <v>0</v>
      </c>
      <c r="AB70" s="10">
        <f>운전실적_원본!Q70</f>
        <v>0</v>
      </c>
      <c r="AC70" s="10">
        <f>운전실적_원본!R70</f>
        <v>0</v>
      </c>
      <c r="AD70" s="181">
        <f>운전실적_원본!S70</f>
        <v>15</v>
      </c>
      <c r="AE70" s="181">
        <f>운전실적_원본!T70</f>
        <v>0</v>
      </c>
      <c r="AF70" s="181">
        <f>운전실적_원본!U70</f>
        <v>0</v>
      </c>
      <c r="AG70" s="181">
        <f>운전실적_원본!V70</f>
        <v>0</v>
      </c>
      <c r="AH70" s="106">
        <f t="shared" ref="AH70:AH133" si="462">((AM70-AL70)+(AO70-AN70)+(AQ70-AP70))*24</f>
        <v>15</v>
      </c>
      <c r="AI70" s="107">
        <f t="shared" si="128"/>
        <v>0</v>
      </c>
      <c r="AJ70" s="107">
        <f t="shared" si="15"/>
        <v>0</v>
      </c>
      <c r="AK70" s="204">
        <f t="shared" si="16"/>
        <v>0</v>
      </c>
      <c r="AL70" s="103">
        <v>45722.25</v>
      </c>
      <c r="AM70" s="103">
        <v>45722.875</v>
      </c>
      <c r="AN70" s="103"/>
      <c r="AO70" s="103"/>
      <c r="AP70" s="103"/>
      <c r="AQ70" s="105"/>
      <c r="AR70" s="103"/>
      <c r="AS70" s="103"/>
      <c r="AT70" s="101"/>
      <c r="AU70" s="101"/>
      <c r="AV70" s="101"/>
      <c r="AW70" s="101"/>
      <c r="AX70" s="32">
        <f>운전실적_원본!W70</f>
        <v>704</v>
      </c>
      <c r="AY70" s="198">
        <f>운전실적_원본!X70</f>
        <v>0</v>
      </c>
      <c r="AZ70" s="198">
        <f>운전실적_원본!Y70</f>
        <v>0</v>
      </c>
      <c r="BA70" s="198">
        <f>운전실적_원본!Z70</f>
        <v>0</v>
      </c>
      <c r="BB70" s="198">
        <f>운전실적_원본!AA70</f>
        <v>0</v>
      </c>
      <c r="BC70" s="198">
        <f>운전실적_원본!AB70</f>
        <v>704</v>
      </c>
      <c r="BD70" s="32">
        <f t="shared" si="455"/>
        <v>46.93333333333333</v>
      </c>
      <c r="BE70" s="11">
        <f t="shared" ref="BE70:BE133" si="463">IFERROR(BD70/$BE$4,"-")</f>
        <v>0.91327755075565931</v>
      </c>
      <c r="BF70" s="11">
        <f>운전실적_원본!AE70</f>
        <v>0</v>
      </c>
      <c r="BG70" s="31">
        <f t="shared" si="456"/>
        <v>0</v>
      </c>
    </row>
    <row r="71" spans="1:59">
      <c r="A71" s="6">
        <f t="shared" ref="A71:A134" si="464">A70+1</f>
        <v>45723</v>
      </c>
      <c r="B71" s="15">
        <f>운전실적_원본!B71</f>
        <v>5125</v>
      </c>
      <c r="C71" s="16">
        <f t="shared" si="300"/>
        <v>33</v>
      </c>
      <c r="D71" s="9">
        <f>운전실적_원본!C71</f>
        <v>231492</v>
      </c>
      <c r="E71" s="199">
        <f t="shared" si="301"/>
        <v>79</v>
      </c>
      <c r="F71" s="9">
        <f>운전실적_원본!D71</f>
        <v>226039</v>
      </c>
      <c r="G71" s="16">
        <f t="shared" si="302"/>
        <v>84</v>
      </c>
      <c r="H71" s="15">
        <f>운전실적_원본!E71</f>
        <v>14048</v>
      </c>
      <c r="I71" s="16">
        <f t="shared" si="303"/>
        <v>5</v>
      </c>
      <c r="J71" s="15">
        <f>운전실적_원본!E71</f>
        <v>14048</v>
      </c>
      <c r="K71" s="16">
        <f t="shared" si="303"/>
        <v>5</v>
      </c>
      <c r="L71" s="15">
        <f>운전실적_원본!G71</f>
        <v>3797.3</v>
      </c>
      <c r="M71" s="31">
        <f t="shared" ref="M71" si="465">IF(OR(LEN(L71)=0,L71=0),"",L71-L70)</f>
        <v>1</v>
      </c>
      <c r="N71" s="15">
        <f>운전실적_원본!H71</f>
        <v>9414</v>
      </c>
      <c r="O71" s="16">
        <f t="shared" ref="O71" si="466">IF(OR(LEN(N71)=0,N71=0),"",N71-N70)</f>
        <v>88</v>
      </c>
      <c r="P71" s="15">
        <f>운전실적_원본!I71</f>
        <v>256359</v>
      </c>
      <c r="Q71" s="16">
        <f t="shared" ref="Q71" si="467">IF(OR(LEN(P71)=0,P71=0),"",P71-P70)</f>
        <v>238</v>
      </c>
      <c r="R71" s="18">
        <f>운전실적_원본!J71</f>
        <v>30.76</v>
      </c>
      <c r="S71" s="19">
        <f t="shared" ref="S71" si="468">IF(OR(LEN(R71)=0,R71=0),"",R71-R70)</f>
        <v>0.40000000000000213</v>
      </c>
      <c r="T71" s="18">
        <f>운전실적_원본!K71</f>
        <v>30.2</v>
      </c>
      <c r="U71" s="19">
        <f t="shared" si="308"/>
        <v>8.9999999999999858E-2</v>
      </c>
      <c r="V71" s="12">
        <f>운전실적_원본!L71</f>
        <v>0</v>
      </c>
      <c r="W71" s="16" t="str">
        <f t="shared" ref="W71" si="469">IF(OR(LEN(V71)=0,V71=0),"",V71-V70)</f>
        <v/>
      </c>
      <c r="X71" s="10">
        <f>운전실적_원본!M71</f>
        <v>132489.4</v>
      </c>
      <c r="Y71" s="10">
        <f>운전실적_원본!N71</f>
        <v>0</v>
      </c>
      <c r="Z71" s="10">
        <f>운전실적_원본!O71</f>
        <v>0</v>
      </c>
      <c r="AA71" s="10">
        <f>운전실적_원본!P71</f>
        <v>0</v>
      </c>
      <c r="AB71" s="10">
        <f>운전실적_원본!Q71</f>
        <v>0</v>
      </c>
      <c r="AC71" s="10">
        <f>운전실적_원본!R71</f>
        <v>0</v>
      </c>
      <c r="AD71" s="181">
        <f>운전실적_원본!S71</f>
        <v>17</v>
      </c>
      <c r="AE71" s="181">
        <f>운전실적_원본!T71</f>
        <v>0</v>
      </c>
      <c r="AF71" s="181">
        <f>운전실적_원본!U71</f>
        <v>0</v>
      </c>
      <c r="AG71" s="181">
        <f>운전실적_원본!V71</f>
        <v>0</v>
      </c>
      <c r="AH71" s="106">
        <f t="shared" si="462"/>
        <v>17.499999999941792</v>
      </c>
      <c r="AI71" s="107">
        <f t="shared" ref="AI71:AI134" si="470">(AS71-AR71)*24</f>
        <v>0</v>
      </c>
      <c r="AJ71" s="107">
        <f t="shared" ref="AJ71:AJ134" si="471">(AU71-AT71)*24</f>
        <v>0</v>
      </c>
      <c r="AK71" s="204">
        <f t="shared" ref="AK71:AK134" si="472">(AW71-AV71)*24</f>
        <v>0</v>
      </c>
      <c r="AL71" s="103">
        <v>45723.270833333336</v>
      </c>
      <c r="AM71" s="103">
        <f>AL72</f>
        <v>45724</v>
      </c>
      <c r="AN71" s="103"/>
      <c r="AO71" s="103"/>
      <c r="AP71" s="103"/>
      <c r="AQ71" s="105"/>
      <c r="AR71" s="103"/>
      <c r="AS71" s="103"/>
      <c r="AT71" s="101"/>
      <c r="AU71" s="101"/>
      <c r="AV71" s="101"/>
      <c r="AW71" s="101"/>
      <c r="AX71" s="32">
        <f>운전실적_원본!W71</f>
        <v>837</v>
      </c>
      <c r="AY71" s="198">
        <f>운전실적_원본!X71</f>
        <v>0</v>
      </c>
      <c r="AZ71" s="198">
        <f>운전실적_원본!Y71</f>
        <v>0</v>
      </c>
      <c r="BA71" s="198">
        <f>운전실적_원본!Z71</f>
        <v>0</v>
      </c>
      <c r="BB71" s="198">
        <f>운전실적_원본!AA71</f>
        <v>0</v>
      </c>
      <c r="BC71" s="198">
        <f>운전실적_원본!AB71</f>
        <v>837</v>
      </c>
      <c r="BD71" s="32">
        <f t="shared" si="455"/>
        <v>49.235294117647058</v>
      </c>
      <c r="BE71" s="11">
        <f t="shared" si="463"/>
        <v>0.9580714947975687</v>
      </c>
      <c r="BF71" s="11">
        <f>운전실적_원본!AE71</f>
        <v>0</v>
      </c>
      <c r="BG71" s="31">
        <f t="shared" si="456"/>
        <v>0</v>
      </c>
    </row>
    <row r="72" spans="1:59">
      <c r="A72" s="6">
        <f t="shared" si="464"/>
        <v>45724</v>
      </c>
      <c r="B72" s="15">
        <f>운전실적_원본!B72</f>
        <v>5158</v>
      </c>
      <c r="C72" s="16">
        <f t="shared" si="300"/>
        <v>33</v>
      </c>
      <c r="D72" s="9">
        <f>운전실적_원본!C72</f>
        <v>231546</v>
      </c>
      <c r="E72" s="199">
        <f t="shared" si="301"/>
        <v>54</v>
      </c>
      <c r="F72" s="9">
        <f>운전실적_원본!D72</f>
        <v>226146</v>
      </c>
      <c r="G72" s="16">
        <f t="shared" si="302"/>
        <v>107</v>
      </c>
      <c r="H72" s="15">
        <f>운전실적_원본!E72</f>
        <v>14052</v>
      </c>
      <c r="I72" s="16">
        <f t="shared" si="303"/>
        <v>4</v>
      </c>
      <c r="J72" s="15">
        <f>운전실적_원본!E72</f>
        <v>14052</v>
      </c>
      <c r="K72" s="16">
        <f t="shared" si="303"/>
        <v>4</v>
      </c>
      <c r="L72" s="15">
        <f>운전실적_원본!G72</f>
        <v>3798</v>
      </c>
      <c r="M72" s="31">
        <f t="shared" ref="M72" si="473">IF(OR(LEN(L72)=0,L72=0),"",L72-L71)</f>
        <v>0.6999999999998181</v>
      </c>
      <c r="N72" s="15">
        <f>운전실적_원본!H72</f>
        <v>9505</v>
      </c>
      <c r="O72" s="16">
        <f t="shared" ref="O72" si="474">IF(OR(LEN(N72)=0,N72=0),"",N72-N71)</f>
        <v>91</v>
      </c>
      <c r="P72" s="15">
        <f>운전실적_원본!I72</f>
        <v>256812</v>
      </c>
      <c r="Q72" s="16">
        <f t="shared" ref="Q72" si="475">IF(OR(LEN(P72)=0,P72=0),"",P72-P71)</f>
        <v>453</v>
      </c>
      <c r="R72" s="18">
        <f>운전실적_원본!J72</f>
        <v>30.76</v>
      </c>
      <c r="S72" s="19">
        <f t="shared" ref="S72" si="476">IF(OR(LEN(R72)=0,R72=0),"",R72-R71)</f>
        <v>0</v>
      </c>
      <c r="T72" s="18">
        <f>운전실적_원본!K72</f>
        <v>30.13</v>
      </c>
      <c r="U72" s="19">
        <f t="shared" si="308"/>
        <v>-7.0000000000000284E-2</v>
      </c>
      <c r="V72" s="12">
        <f>운전실적_원본!L72</f>
        <v>0</v>
      </c>
      <c r="W72" s="16" t="str">
        <f t="shared" ref="W72" si="477">IF(OR(LEN(V72)=0,V72=0),"",V72-V71)</f>
        <v/>
      </c>
      <c r="X72" s="10">
        <f>운전실적_원본!M72</f>
        <v>76359</v>
      </c>
      <c r="Y72" s="10">
        <f>운전실적_원본!N72</f>
        <v>0</v>
      </c>
      <c r="Z72" s="10">
        <f>운전실적_원본!O72</f>
        <v>0</v>
      </c>
      <c r="AA72" s="10">
        <f>운전실적_원본!P72</f>
        <v>0</v>
      </c>
      <c r="AB72" s="10">
        <f>운전실적_원본!Q72</f>
        <v>0</v>
      </c>
      <c r="AC72" s="10">
        <f>운전실적_원본!R72</f>
        <v>0</v>
      </c>
      <c r="AD72" s="181">
        <f>운전실적_원본!S72</f>
        <v>13</v>
      </c>
      <c r="AE72" s="181">
        <f>운전실적_원본!T72</f>
        <v>0</v>
      </c>
      <c r="AF72" s="181">
        <f>운전실적_원본!U72</f>
        <v>0</v>
      </c>
      <c r="AG72" s="181">
        <f>운전실적_원본!V72</f>
        <v>0</v>
      </c>
      <c r="AH72" s="106">
        <f t="shared" si="462"/>
        <v>12.083333333255723</v>
      </c>
      <c r="AI72" s="107">
        <f t="shared" si="470"/>
        <v>0</v>
      </c>
      <c r="AJ72" s="107">
        <f t="shared" si="471"/>
        <v>0</v>
      </c>
      <c r="AK72" s="204">
        <f t="shared" si="472"/>
        <v>0</v>
      </c>
      <c r="AL72" s="103">
        <v>45724</v>
      </c>
      <c r="AM72" s="103">
        <v>45724.329861111109</v>
      </c>
      <c r="AN72" s="103">
        <v>45724.826388888891</v>
      </c>
      <c r="AO72" s="103">
        <f>AL73</f>
        <v>45725</v>
      </c>
      <c r="AP72" s="103"/>
      <c r="AQ72" s="105"/>
      <c r="AR72" s="103"/>
      <c r="AS72" s="103"/>
      <c r="AT72" s="101"/>
      <c r="AU72" s="101"/>
      <c r="AV72" s="101"/>
      <c r="AW72" s="101"/>
      <c r="AX72" s="32">
        <f>운전실적_원본!W72</f>
        <v>448</v>
      </c>
      <c r="AY72" s="198">
        <f>운전실적_원본!X72</f>
        <v>0</v>
      </c>
      <c r="AZ72" s="198">
        <f>운전실적_원본!Y72</f>
        <v>0</v>
      </c>
      <c r="BA72" s="198">
        <f>운전실적_원본!Z72</f>
        <v>0</v>
      </c>
      <c r="BB72" s="198">
        <f>운전실적_원본!AA72</f>
        <v>0</v>
      </c>
      <c r="BC72" s="198">
        <f>운전실적_원본!AB72</f>
        <v>448</v>
      </c>
      <c r="BD72" s="32">
        <f t="shared" si="455"/>
        <v>34.46153846153846</v>
      </c>
      <c r="BE72" s="11">
        <f t="shared" si="463"/>
        <v>0.67058841139401559</v>
      </c>
      <c r="BF72" s="11">
        <f>운전실적_원본!AE72</f>
        <v>0</v>
      </c>
      <c r="BG72" s="31">
        <f t="shared" si="456"/>
        <v>0</v>
      </c>
    </row>
    <row r="73" spans="1:59">
      <c r="A73" s="6">
        <f t="shared" si="464"/>
        <v>45725</v>
      </c>
      <c r="B73" s="15">
        <f>운전실적_원본!B73</f>
        <v>5185</v>
      </c>
      <c r="C73" s="16">
        <f t="shared" si="300"/>
        <v>27</v>
      </c>
      <c r="D73" s="9">
        <f>운전실적_원본!C73</f>
        <v>231662</v>
      </c>
      <c r="E73" s="199">
        <f t="shared" si="301"/>
        <v>116</v>
      </c>
      <c r="F73" s="9">
        <f>운전실적_원본!D73</f>
        <v>226146</v>
      </c>
      <c r="G73" s="16">
        <f t="shared" si="302"/>
        <v>0</v>
      </c>
      <c r="H73" s="15">
        <f>운전실적_원본!E73</f>
        <v>14054</v>
      </c>
      <c r="I73" s="16">
        <f t="shared" si="303"/>
        <v>2</v>
      </c>
      <c r="J73" s="15">
        <f>운전실적_원본!E73</f>
        <v>14054</v>
      </c>
      <c r="K73" s="16">
        <f t="shared" si="303"/>
        <v>2</v>
      </c>
      <c r="L73" s="15">
        <f>운전실적_원본!G73</f>
        <v>3799.1</v>
      </c>
      <c r="M73" s="31">
        <f t="shared" ref="M73" si="478">IF(OR(LEN(L73)=0,L73=0),"",L73-L72)</f>
        <v>1.0999999999999091</v>
      </c>
      <c r="N73" s="15">
        <f>운전실적_원본!H73</f>
        <v>9530</v>
      </c>
      <c r="O73" s="16">
        <f t="shared" ref="O73" si="479">IF(OR(LEN(N73)=0,N73=0),"",N73-N72)</f>
        <v>25</v>
      </c>
      <c r="P73" s="15">
        <f>운전실적_원본!I73</f>
        <v>256923</v>
      </c>
      <c r="Q73" s="16">
        <f t="shared" ref="Q73" si="480">IF(OR(LEN(P73)=0,P73=0),"",P73-P72)</f>
        <v>111</v>
      </c>
      <c r="R73" s="18">
        <f>운전실적_원본!J73</f>
        <v>30.59</v>
      </c>
      <c r="S73" s="19">
        <f t="shared" ref="S73" si="481">IF(OR(LEN(R73)=0,R73=0),"",R73-R72)</f>
        <v>-0.17000000000000171</v>
      </c>
      <c r="T73" s="18">
        <f>운전실적_원본!K73</f>
        <v>30.19</v>
      </c>
      <c r="U73" s="19">
        <f t="shared" si="308"/>
        <v>6.0000000000002274E-2</v>
      </c>
      <c r="V73" s="12">
        <f>운전실적_원본!L73</f>
        <v>0</v>
      </c>
      <c r="W73" s="16" t="str">
        <f t="shared" ref="W73" si="482">IF(OR(LEN(V73)=0,V73=0),"",V73-V72)</f>
        <v/>
      </c>
      <c r="X73" s="10">
        <f>운전실적_원본!M73</f>
        <v>63376</v>
      </c>
      <c r="Y73" s="10">
        <f>운전실적_원본!N73</f>
        <v>0</v>
      </c>
      <c r="Z73" s="10">
        <f>운전실적_원본!O73</f>
        <v>0</v>
      </c>
      <c r="AA73" s="10">
        <f>운전실적_원본!P73</f>
        <v>0</v>
      </c>
      <c r="AB73" s="10">
        <f>운전실적_원본!Q73</f>
        <v>0</v>
      </c>
      <c r="AC73" s="10">
        <f>운전실적_원본!R73</f>
        <v>0</v>
      </c>
      <c r="AD73" s="181">
        <f>운전실적_원본!S73</f>
        <v>7</v>
      </c>
      <c r="AE73" s="181">
        <f>운전실적_원본!T73</f>
        <v>0</v>
      </c>
      <c r="AF73" s="181">
        <f>운전실적_원본!U73</f>
        <v>0</v>
      </c>
      <c r="AG73" s="181">
        <f>운전실적_원본!V73</f>
        <v>0</v>
      </c>
      <c r="AH73" s="106">
        <f t="shared" si="462"/>
        <v>16.666666666686069</v>
      </c>
      <c r="AI73" s="107">
        <f t="shared" si="470"/>
        <v>0</v>
      </c>
      <c r="AJ73" s="107">
        <f t="shared" si="471"/>
        <v>0</v>
      </c>
      <c r="AK73" s="204">
        <f t="shared" si="472"/>
        <v>0</v>
      </c>
      <c r="AL73" s="103">
        <v>45725</v>
      </c>
      <c r="AM73" s="103">
        <v>45725.041666666664</v>
      </c>
      <c r="AN73" s="103">
        <v>45725.642361111109</v>
      </c>
      <c r="AO73" s="103">
        <f>AL74</f>
        <v>45726.295138888891</v>
      </c>
      <c r="AP73" s="103"/>
      <c r="AQ73" s="105"/>
      <c r="AR73" s="103"/>
      <c r="AS73" s="103"/>
      <c r="AT73" s="101"/>
      <c r="AU73" s="101"/>
      <c r="AV73" s="101"/>
      <c r="AW73" s="101"/>
      <c r="AX73" s="32">
        <f>운전실적_원본!W73</f>
        <v>387</v>
      </c>
      <c r="AY73" s="198">
        <f>운전실적_원본!X73</f>
        <v>0</v>
      </c>
      <c r="AZ73" s="198">
        <f>운전실적_원본!Y73</f>
        <v>0</v>
      </c>
      <c r="BA73" s="198">
        <f>운전실적_원본!Z73</f>
        <v>0</v>
      </c>
      <c r="BB73" s="198">
        <f>운전실적_원본!AA73</f>
        <v>0</v>
      </c>
      <c r="BC73" s="198">
        <f>운전실적_원본!AB73</f>
        <v>387</v>
      </c>
      <c r="BD73" s="32">
        <f t="shared" si="455"/>
        <v>55.285714285714285</v>
      </c>
      <c r="BE73" s="11">
        <f t="shared" si="463"/>
        <v>1.075806855141356</v>
      </c>
      <c r="BF73" s="11">
        <f>운전실적_원본!AE73</f>
        <v>0</v>
      </c>
      <c r="BG73" s="31">
        <f t="shared" si="456"/>
        <v>0</v>
      </c>
    </row>
    <row r="74" spans="1:59">
      <c r="A74" s="6">
        <f t="shared" si="464"/>
        <v>45726</v>
      </c>
      <c r="B74" s="15">
        <f>운전실적_원본!B74</f>
        <v>5217</v>
      </c>
      <c r="C74" s="16">
        <f t="shared" si="300"/>
        <v>32</v>
      </c>
      <c r="D74" s="9">
        <f>운전실적_원본!C74</f>
        <v>231732</v>
      </c>
      <c r="E74" s="199">
        <f t="shared" si="301"/>
        <v>70</v>
      </c>
      <c r="F74" s="9">
        <f>운전실적_원본!D74</f>
        <v>226230</v>
      </c>
      <c r="G74" s="16">
        <f t="shared" si="302"/>
        <v>84</v>
      </c>
      <c r="H74" s="15">
        <f>운전실적_원본!E74</f>
        <v>14063</v>
      </c>
      <c r="I74" s="16">
        <f t="shared" si="303"/>
        <v>9</v>
      </c>
      <c r="J74" s="15">
        <f>운전실적_원본!E74</f>
        <v>14063</v>
      </c>
      <c r="K74" s="16">
        <f t="shared" si="303"/>
        <v>9</v>
      </c>
      <c r="L74" s="15">
        <f>운전실적_원본!G74</f>
        <v>3800.1</v>
      </c>
      <c r="M74" s="31">
        <f t="shared" ref="M74" si="483">IF(OR(LEN(L74)=0,L74=0),"",L74-L73)</f>
        <v>1</v>
      </c>
      <c r="N74" s="15">
        <f>운전실적_원본!H74</f>
        <v>9622</v>
      </c>
      <c r="O74" s="16">
        <f t="shared" ref="O74" si="484">IF(OR(LEN(N74)=0,N74=0),"",N74-N73)</f>
        <v>92</v>
      </c>
      <c r="P74" s="15">
        <f>운전실적_원본!I74</f>
        <v>257216</v>
      </c>
      <c r="Q74" s="16">
        <f t="shared" ref="Q74" si="485">IF(OR(LEN(P74)=0,P74=0),"",P74-P73)</f>
        <v>293</v>
      </c>
      <c r="R74" s="18">
        <f>운전실적_원본!J74</f>
        <v>30.54</v>
      </c>
      <c r="S74" s="19">
        <f t="shared" ref="S74" si="486">IF(OR(LEN(R74)=0,R74=0),"",R74-R73)</f>
        <v>-5.0000000000000711E-2</v>
      </c>
      <c r="T74" s="18">
        <f>운전실적_원본!K74</f>
        <v>30.11</v>
      </c>
      <c r="U74" s="19">
        <f t="shared" si="308"/>
        <v>-8.0000000000001847E-2</v>
      </c>
      <c r="V74" s="12">
        <f>운전실적_원본!L74</f>
        <v>0</v>
      </c>
      <c r="W74" s="16" t="str">
        <f t="shared" ref="W74" si="487">IF(OR(LEN(V74)=0,V74=0),"",V74-V73)</f>
        <v/>
      </c>
      <c r="X74" s="10">
        <f>운전실적_원본!M74</f>
        <v>85234.8</v>
      </c>
      <c r="Y74" s="10">
        <f>운전실적_원본!N74</f>
        <v>0</v>
      </c>
      <c r="Z74" s="10">
        <f>운전실적_원본!O74</f>
        <v>0</v>
      </c>
      <c r="AA74" s="10">
        <f>운전실적_원본!P74</f>
        <v>0</v>
      </c>
      <c r="AB74" s="10">
        <f>운전실적_원본!Q74</f>
        <v>0</v>
      </c>
      <c r="AC74" s="10">
        <f>운전실적_원본!R74</f>
        <v>0</v>
      </c>
      <c r="AD74" s="181">
        <f>운전실적_원본!S74</f>
        <v>13</v>
      </c>
      <c r="AE74" s="181">
        <f>운전실적_원본!T74</f>
        <v>0</v>
      </c>
      <c r="AF74" s="181">
        <f>운전실적_원본!U74</f>
        <v>0</v>
      </c>
      <c r="AG74" s="181">
        <f>운전실적_원본!V74</f>
        <v>0</v>
      </c>
      <c r="AH74" s="106">
        <f t="shared" si="462"/>
        <v>12.916666666686069</v>
      </c>
      <c r="AI74" s="107">
        <f t="shared" si="470"/>
        <v>0</v>
      </c>
      <c r="AJ74" s="107">
        <f t="shared" si="471"/>
        <v>0</v>
      </c>
      <c r="AK74" s="204">
        <f t="shared" si="472"/>
        <v>0</v>
      </c>
      <c r="AL74" s="103">
        <v>45726.295138888891</v>
      </c>
      <c r="AM74" s="103">
        <v>45726.833333333336</v>
      </c>
      <c r="AN74" s="103"/>
      <c r="AO74" s="103"/>
      <c r="AP74" s="103"/>
      <c r="AQ74" s="105"/>
      <c r="AR74" s="103"/>
      <c r="AS74" s="103"/>
      <c r="AT74" s="101"/>
      <c r="AU74" s="101"/>
      <c r="AV74" s="101"/>
      <c r="AW74" s="101"/>
      <c r="AX74" s="32">
        <f>운전실적_원본!W74</f>
        <v>537</v>
      </c>
      <c r="AY74" s="198">
        <f>운전실적_원본!X74</f>
        <v>0</v>
      </c>
      <c r="AZ74" s="198">
        <f>운전실적_원본!Y74</f>
        <v>0</v>
      </c>
      <c r="BA74" s="198">
        <f>운전실적_원본!Z74</f>
        <v>0</v>
      </c>
      <c r="BB74" s="198">
        <f>운전실적_원본!AA74</f>
        <v>0</v>
      </c>
      <c r="BC74" s="198">
        <f>운전실적_원본!AB74</f>
        <v>537</v>
      </c>
      <c r="BD74" s="32">
        <f t="shared" si="455"/>
        <v>41.307692307692307</v>
      </c>
      <c r="BE74" s="11">
        <f t="shared" si="463"/>
        <v>0.80380798419327315</v>
      </c>
      <c r="BF74" s="11">
        <f>운전실적_원본!AE74</f>
        <v>0</v>
      </c>
      <c r="BG74" s="31">
        <f t="shared" si="456"/>
        <v>0</v>
      </c>
    </row>
    <row r="75" spans="1:59">
      <c r="A75" s="6">
        <f t="shared" si="464"/>
        <v>45727</v>
      </c>
      <c r="B75" s="15">
        <f>운전실적_원본!B75</f>
        <v>5231</v>
      </c>
      <c r="C75" s="16">
        <f t="shared" si="300"/>
        <v>14</v>
      </c>
      <c r="D75" s="9">
        <f>운전실적_원본!C75</f>
        <v>231732</v>
      </c>
      <c r="E75" s="199">
        <f t="shared" si="301"/>
        <v>0</v>
      </c>
      <c r="F75" s="9">
        <f>운전실적_원본!D75</f>
        <v>226296</v>
      </c>
      <c r="G75" s="16">
        <f t="shared" si="302"/>
        <v>66</v>
      </c>
      <c r="H75" s="15">
        <f>운전실적_원본!E75</f>
        <v>14072</v>
      </c>
      <c r="I75" s="16">
        <f t="shared" si="303"/>
        <v>9</v>
      </c>
      <c r="J75" s="15">
        <f>운전실적_원본!E75</f>
        <v>14072</v>
      </c>
      <c r="K75" s="16">
        <f t="shared" si="303"/>
        <v>9</v>
      </c>
      <c r="L75" s="15">
        <f>운전실적_원본!G75</f>
        <v>3801.4</v>
      </c>
      <c r="M75" s="31">
        <f t="shared" ref="M75" si="488">IF(OR(LEN(L75)=0,L75=0),"",L75-L74)</f>
        <v>1.3000000000001819</v>
      </c>
      <c r="N75" s="15">
        <f>운전실적_원본!H75</f>
        <v>9719</v>
      </c>
      <c r="O75" s="16">
        <f t="shared" ref="O75" si="489">IF(OR(LEN(N75)=0,N75=0),"",N75-N74)</f>
        <v>97</v>
      </c>
      <c r="P75" s="15">
        <f>운전실적_원본!I75</f>
        <v>257341</v>
      </c>
      <c r="Q75" s="16">
        <f t="shared" ref="Q75" si="490">IF(OR(LEN(P75)=0,P75=0),"",P75-P74)</f>
        <v>125</v>
      </c>
      <c r="R75" s="18">
        <f>운전실적_원본!J75</f>
        <v>30.45</v>
      </c>
      <c r="S75" s="19">
        <f t="shared" ref="S75" si="491">IF(OR(LEN(R75)=0,R75=0),"",R75-R74)</f>
        <v>-8.9999999999999858E-2</v>
      </c>
      <c r="T75" s="18">
        <f>운전실적_원본!K75</f>
        <v>30.08</v>
      </c>
      <c r="U75" s="19">
        <f t="shared" si="308"/>
        <v>-3.0000000000001137E-2</v>
      </c>
      <c r="V75" s="12">
        <f>운전실적_원본!L75</f>
        <v>0</v>
      </c>
      <c r="W75" s="16" t="str">
        <f t="shared" ref="W75" si="492">IF(OR(LEN(V75)=0,V75=0),"",V75-V74)</f>
        <v/>
      </c>
      <c r="X75" s="10">
        <f>운전실적_원본!M75</f>
        <v>84595.5</v>
      </c>
      <c r="Y75" s="10">
        <f>운전실적_원본!N75</f>
        <v>0</v>
      </c>
      <c r="Z75" s="10">
        <f>운전실적_원본!O75</f>
        <v>0</v>
      </c>
      <c r="AA75" s="10">
        <f>운전실적_원본!P75</f>
        <v>0</v>
      </c>
      <c r="AB75" s="10">
        <f>운전실적_원본!Q75</f>
        <v>0</v>
      </c>
      <c r="AC75" s="10">
        <f>운전실적_원본!R75</f>
        <v>0</v>
      </c>
      <c r="AD75" s="181">
        <f>운전실적_원본!S75</f>
        <v>13</v>
      </c>
      <c r="AE75" s="181">
        <f>운전실적_원본!T75</f>
        <v>0</v>
      </c>
      <c r="AF75" s="181">
        <f>운전실적_원본!U75</f>
        <v>0</v>
      </c>
      <c r="AG75" s="181">
        <f>운전실적_원본!V75</f>
        <v>0</v>
      </c>
      <c r="AH75" s="106">
        <f t="shared" si="462"/>
        <v>13.000000000116415</v>
      </c>
      <c r="AI75" s="107">
        <f t="shared" si="470"/>
        <v>0</v>
      </c>
      <c r="AJ75" s="107">
        <f t="shared" si="471"/>
        <v>0</v>
      </c>
      <c r="AK75" s="204">
        <f t="shared" si="472"/>
        <v>0</v>
      </c>
      <c r="AL75" s="103">
        <v>45727.291666666664</v>
      </c>
      <c r="AM75" s="103">
        <v>45727.833333333336</v>
      </c>
      <c r="AN75" s="103"/>
      <c r="AO75" s="103"/>
      <c r="AP75" s="103"/>
      <c r="AQ75" s="105"/>
      <c r="AR75" s="103"/>
      <c r="AS75" s="103"/>
      <c r="AT75" s="101"/>
      <c r="AU75" s="101"/>
      <c r="AV75" s="101"/>
      <c r="AW75" s="101"/>
      <c r="AX75" s="32">
        <f>운전실적_원본!W75</f>
        <v>532</v>
      </c>
      <c r="AY75" s="198">
        <f>운전실적_원본!X75</f>
        <v>0</v>
      </c>
      <c r="AZ75" s="198">
        <f>운전실적_원본!Y75</f>
        <v>0</v>
      </c>
      <c r="BA75" s="198">
        <f>운전실적_원본!Z75</f>
        <v>0</v>
      </c>
      <c r="BB75" s="198">
        <f>운전실적_원본!AA75</f>
        <v>0</v>
      </c>
      <c r="BC75" s="198">
        <f>운전실적_원본!AB75</f>
        <v>532</v>
      </c>
      <c r="BD75" s="32">
        <f t="shared" si="455"/>
        <v>40.92307692307692</v>
      </c>
      <c r="BE75" s="11">
        <f t="shared" si="463"/>
        <v>0.7963237385303934</v>
      </c>
      <c r="BF75" s="11">
        <f>운전실적_원본!AE75</f>
        <v>0</v>
      </c>
      <c r="BG75" s="31">
        <f t="shared" si="456"/>
        <v>0</v>
      </c>
    </row>
    <row r="76" spans="1:59">
      <c r="A76" s="6">
        <f t="shared" si="464"/>
        <v>45728</v>
      </c>
      <c r="B76" s="15">
        <f>운전실적_원본!B76</f>
        <v>5231</v>
      </c>
      <c r="C76" s="16">
        <f t="shared" si="300"/>
        <v>0</v>
      </c>
      <c r="D76" s="9">
        <f>운전실적_원본!C76</f>
        <v>231835</v>
      </c>
      <c r="E76" s="199">
        <f t="shared" si="301"/>
        <v>103</v>
      </c>
      <c r="F76" s="9">
        <f>운전실적_원본!D76</f>
        <v>226333</v>
      </c>
      <c r="G76" s="16">
        <f t="shared" si="302"/>
        <v>37</v>
      </c>
      <c r="H76" s="15">
        <f>운전실적_원본!E76</f>
        <v>14077</v>
      </c>
      <c r="I76" s="16">
        <f t="shared" si="303"/>
        <v>5</v>
      </c>
      <c r="J76" s="15">
        <f>운전실적_원본!E76</f>
        <v>14077</v>
      </c>
      <c r="K76" s="16">
        <f t="shared" si="303"/>
        <v>5</v>
      </c>
      <c r="L76" s="15">
        <f>운전실적_원본!G76</f>
        <v>3802.6</v>
      </c>
      <c r="M76" s="31">
        <f t="shared" ref="M76" si="493">IF(OR(LEN(L76)=0,L76=0),"",L76-L75)</f>
        <v>1.1999999999998181</v>
      </c>
      <c r="N76" s="15">
        <f>운전실적_원본!H76</f>
        <v>9840</v>
      </c>
      <c r="O76" s="16">
        <f t="shared" ref="O76" si="494">IF(OR(LEN(N76)=0,N76=0),"",N76-N75)</f>
        <v>121</v>
      </c>
      <c r="P76" s="15">
        <f>운전실적_원본!I76</f>
        <v>257663</v>
      </c>
      <c r="Q76" s="16">
        <f t="shared" ref="Q76" si="495">IF(OR(LEN(P76)=0,P76=0),"",P76-P75)</f>
        <v>322</v>
      </c>
      <c r="R76" s="18">
        <f>운전실적_원본!J76</f>
        <v>30.35</v>
      </c>
      <c r="S76" s="19">
        <f t="shared" ref="S76" si="496">IF(OR(LEN(R76)=0,R76=0),"",R76-R75)</f>
        <v>-9.9999999999997868E-2</v>
      </c>
      <c r="T76" s="18">
        <f>운전실적_원본!K76</f>
        <v>29.88</v>
      </c>
      <c r="U76" s="19">
        <f t="shared" si="308"/>
        <v>-0.19999999999999929</v>
      </c>
      <c r="V76" s="12">
        <f>운전실적_원본!L76</f>
        <v>0</v>
      </c>
      <c r="W76" s="16" t="str">
        <f t="shared" ref="W76" si="497">IF(OR(LEN(V76)=0,V76=0),"",V76-V75)</f>
        <v/>
      </c>
      <c r="X76" s="10">
        <f>운전실적_원본!M76</f>
        <v>92979.40000000596</v>
      </c>
      <c r="Y76" s="10">
        <f>운전실적_원본!N76</f>
        <v>0</v>
      </c>
      <c r="Z76" s="10">
        <f>운전실적_원본!O76</f>
        <v>0</v>
      </c>
      <c r="AA76" s="10">
        <f>운전실적_원본!P76</f>
        <v>0</v>
      </c>
      <c r="AB76" s="10">
        <f>운전실적_원본!Q76</f>
        <v>0</v>
      </c>
      <c r="AC76" s="10">
        <f>운전실적_원본!R76</f>
        <v>0</v>
      </c>
      <c r="AD76" s="181">
        <f>운전실적_원본!S76</f>
        <v>14</v>
      </c>
      <c r="AE76" s="181">
        <f>운전실적_원본!T76</f>
        <v>0</v>
      </c>
      <c r="AF76" s="181">
        <f>운전실적_원본!U76</f>
        <v>0</v>
      </c>
      <c r="AG76" s="181">
        <f>운전실적_원본!V76</f>
        <v>0</v>
      </c>
      <c r="AH76" s="106">
        <f>((AM76-AL76)+(AO76-AN76)+(AQ76-AP76))*24</f>
        <v>13.916666666627862</v>
      </c>
      <c r="AI76" s="107">
        <f t="shared" si="470"/>
        <v>0</v>
      </c>
      <c r="AJ76" s="107">
        <f t="shared" si="471"/>
        <v>0</v>
      </c>
      <c r="AK76" s="204">
        <f t="shared" si="472"/>
        <v>0</v>
      </c>
      <c r="AL76" s="103">
        <v>45728.295138888891</v>
      </c>
      <c r="AM76" s="103">
        <v>45728.875</v>
      </c>
      <c r="AN76" s="103"/>
      <c r="AO76" s="103"/>
      <c r="AP76" s="103"/>
      <c r="AQ76" s="105"/>
      <c r="AR76" s="103"/>
      <c r="AS76" s="103"/>
      <c r="AT76" s="101"/>
      <c r="AU76" s="101"/>
      <c r="AV76" s="101"/>
      <c r="AW76" s="101"/>
      <c r="AX76" s="32">
        <f>운전실적_원본!W76</f>
        <v>587</v>
      </c>
      <c r="AY76" s="198">
        <f>운전실적_원본!X76</f>
        <v>0</v>
      </c>
      <c r="AZ76" s="198">
        <f>운전실적_원본!Y76</f>
        <v>0</v>
      </c>
      <c r="BA76" s="198">
        <f>운전실적_원본!Z76</f>
        <v>0</v>
      </c>
      <c r="BB76" s="198">
        <f>운전실적_원본!AA76</f>
        <v>0</v>
      </c>
      <c r="BC76" s="198">
        <f>운전실적_원본!AB76</f>
        <v>587</v>
      </c>
      <c r="BD76" s="32">
        <f t="shared" si="455"/>
        <v>41.928571428571431</v>
      </c>
      <c r="BE76" s="11">
        <f t="shared" si="463"/>
        <v>0.81588969504906461</v>
      </c>
      <c r="BF76" s="11">
        <f>운전실적_원본!AE76</f>
        <v>0</v>
      </c>
      <c r="BG76" s="31">
        <f t="shared" si="456"/>
        <v>0</v>
      </c>
    </row>
    <row r="77" spans="1:59">
      <c r="A77" s="6">
        <f t="shared" si="464"/>
        <v>45729</v>
      </c>
      <c r="B77" s="15">
        <f>운전실적_원본!B77</f>
        <v>5258</v>
      </c>
      <c r="C77" s="16">
        <f t="shared" si="300"/>
        <v>27</v>
      </c>
      <c r="D77" s="9">
        <f>운전실적_원본!C77</f>
        <v>231918</v>
      </c>
      <c r="E77" s="199">
        <f t="shared" si="301"/>
        <v>83</v>
      </c>
      <c r="F77" s="9">
        <f>운전실적_원본!D77</f>
        <v>226439</v>
      </c>
      <c r="G77" s="16">
        <f t="shared" si="302"/>
        <v>106</v>
      </c>
      <c r="H77" s="15">
        <f>운전실적_원본!E77</f>
        <v>14082</v>
      </c>
      <c r="I77" s="16">
        <f t="shared" si="303"/>
        <v>5</v>
      </c>
      <c r="J77" s="15">
        <f>운전실적_원본!E77</f>
        <v>14082</v>
      </c>
      <c r="K77" s="16">
        <f t="shared" si="303"/>
        <v>5</v>
      </c>
      <c r="L77" s="15">
        <f>운전실적_원본!G77</f>
        <v>3803.8</v>
      </c>
      <c r="M77" s="31">
        <f t="shared" ref="M77" si="498">IF(OR(LEN(L77)=0,L77=0),"",L77-L76)</f>
        <v>1.2000000000002728</v>
      </c>
      <c r="N77" s="15">
        <f>운전실적_원본!H77</f>
        <v>9959</v>
      </c>
      <c r="O77" s="16">
        <f t="shared" ref="O77" si="499">IF(OR(LEN(N77)=0,N77=0),"",N77-N76)</f>
        <v>119</v>
      </c>
      <c r="P77" s="15">
        <f>운전실적_원본!I77</f>
        <v>257874</v>
      </c>
      <c r="Q77" s="16">
        <f t="shared" ref="Q77" si="500">IF(OR(LEN(P77)=0,P77=0),"",P77-P76)</f>
        <v>211</v>
      </c>
      <c r="R77" s="18">
        <f>운전실적_원본!J77</f>
        <v>30.55</v>
      </c>
      <c r="S77" s="19">
        <f t="shared" ref="S77" si="501">IF(OR(LEN(R77)=0,R77=0),"",R77-R76)</f>
        <v>0.19999999999999929</v>
      </c>
      <c r="T77" s="18">
        <f>운전실적_원본!K77</f>
        <v>30</v>
      </c>
      <c r="U77" s="19">
        <f t="shared" si="308"/>
        <v>0.12000000000000099</v>
      </c>
      <c r="V77" s="12">
        <f>운전실적_원본!L77</f>
        <v>0</v>
      </c>
      <c r="W77" s="16" t="str">
        <f t="shared" ref="W77" si="502">IF(OR(LEN(V77)=0,V77=0),"",V77-V76)</f>
        <v/>
      </c>
      <c r="X77" s="10">
        <f>운전실적_원본!M77</f>
        <v>0</v>
      </c>
      <c r="Y77" s="10">
        <f>운전실적_원본!N77</f>
        <v>0</v>
      </c>
      <c r="Z77" s="10">
        <f>운전실적_원본!O77</f>
        <v>0</v>
      </c>
      <c r="AA77" s="10">
        <f>운전실적_원본!P77</f>
        <v>0</v>
      </c>
      <c r="AB77" s="10">
        <f>운전실적_원본!Q77</f>
        <v>0</v>
      </c>
      <c r="AC77" s="10">
        <f>운전실적_원본!R77</f>
        <v>0</v>
      </c>
      <c r="AD77" s="181">
        <f>운전실적_원본!S77</f>
        <v>0</v>
      </c>
      <c r="AE77" s="181">
        <f>운전실적_원본!T77</f>
        <v>0</v>
      </c>
      <c r="AF77" s="181">
        <f>운전실적_원본!U77</f>
        <v>0</v>
      </c>
      <c r="AG77" s="181">
        <f>운전실적_원본!V77</f>
        <v>0</v>
      </c>
      <c r="AH77" s="106">
        <f>((AM77-AL77)+(AO77-AN77)+(AQ77-AP77))*24</f>
        <v>0</v>
      </c>
      <c r="AI77" s="107">
        <f t="shared" si="470"/>
        <v>0</v>
      </c>
      <c r="AJ77" s="107">
        <f t="shared" si="471"/>
        <v>0</v>
      </c>
      <c r="AK77" s="204">
        <f t="shared" si="472"/>
        <v>0</v>
      </c>
      <c r="AL77" s="103"/>
      <c r="AM77" s="103"/>
      <c r="AN77" s="103"/>
      <c r="AO77" s="103"/>
      <c r="AP77" s="103"/>
      <c r="AQ77" s="105"/>
      <c r="AR77" s="103"/>
      <c r="AS77" s="103"/>
      <c r="AT77" s="101"/>
      <c r="AU77" s="101"/>
      <c r="AV77" s="101"/>
      <c r="AW77" s="101"/>
      <c r="AX77" s="32">
        <f>운전실적_원본!W77</f>
        <v>0</v>
      </c>
      <c r="AY77" s="198">
        <f>운전실적_원본!X77</f>
        <v>0</v>
      </c>
      <c r="AZ77" s="198">
        <f>운전실적_원본!Y77</f>
        <v>0</v>
      </c>
      <c r="BA77" s="198">
        <f>운전실적_원본!Z77</f>
        <v>0</v>
      </c>
      <c r="BB77" s="198">
        <f>운전실적_원본!AA77</f>
        <v>0</v>
      </c>
      <c r="BC77" s="198">
        <f>운전실적_원본!AB77</f>
        <v>0</v>
      </c>
      <c r="BD77" s="32" t="str">
        <f t="shared" si="455"/>
        <v>-</v>
      </c>
      <c r="BE77" s="11" t="str">
        <f t="shared" si="463"/>
        <v>-</v>
      </c>
      <c r="BF77" s="11">
        <f>운전실적_원본!AE77</f>
        <v>0</v>
      </c>
      <c r="BG77" s="31">
        <f t="shared" si="456"/>
        <v>0</v>
      </c>
    </row>
    <row r="78" spans="1:59">
      <c r="A78" s="6">
        <f t="shared" si="464"/>
        <v>45730</v>
      </c>
      <c r="B78" s="15">
        <f>운전실적_원본!B78</f>
        <v>5277</v>
      </c>
      <c r="C78" s="16">
        <f t="shared" si="300"/>
        <v>19</v>
      </c>
      <c r="D78" s="9">
        <f>운전실적_원본!C78</f>
        <v>232003</v>
      </c>
      <c r="E78" s="199">
        <f t="shared" si="301"/>
        <v>85</v>
      </c>
      <c r="F78" s="9">
        <f>운전실적_원본!D78</f>
        <v>226480</v>
      </c>
      <c r="G78" s="16">
        <f t="shared" si="302"/>
        <v>41</v>
      </c>
      <c r="H78" s="15">
        <f>운전실적_원본!E78</f>
        <v>14088</v>
      </c>
      <c r="I78" s="16">
        <f t="shared" si="303"/>
        <v>6</v>
      </c>
      <c r="J78" s="15">
        <f>운전실적_원본!E78</f>
        <v>14088</v>
      </c>
      <c r="K78" s="16">
        <f t="shared" si="303"/>
        <v>6</v>
      </c>
      <c r="L78" s="15">
        <f>운전실적_원본!G78</f>
        <v>3805.1</v>
      </c>
      <c r="M78" s="31">
        <f t="shared" ref="M78" si="503">IF(OR(LEN(L78)=0,L78=0),"",L78-L77)</f>
        <v>1.2999999999997272</v>
      </c>
      <c r="N78" s="15">
        <f>운전실적_원본!H78</f>
        <v>10075</v>
      </c>
      <c r="O78" s="16">
        <f t="shared" ref="O78" si="504">IF(OR(LEN(N78)=0,N78=0),"",N78-N77)</f>
        <v>116</v>
      </c>
      <c r="P78" s="15">
        <f>운전실적_원본!I78</f>
        <v>258054</v>
      </c>
      <c r="Q78" s="16">
        <f t="shared" ref="Q78" si="505">IF(OR(LEN(P78)=0,P78=0),"",P78-P77)</f>
        <v>180</v>
      </c>
      <c r="R78" s="18">
        <f>운전실적_원본!J78</f>
        <v>30.61</v>
      </c>
      <c r="S78" s="19">
        <f t="shared" ref="S78" si="506">IF(OR(LEN(R78)=0,R78=0),"",R78-R77)</f>
        <v>5.9999999999998721E-2</v>
      </c>
      <c r="T78" s="18">
        <f>운전실적_원본!K78</f>
        <v>29.92</v>
      </c>
      <c r="U78" s="19">
        <f t="shared" si="308"/>
        <v>-7.9999999999998295E-2</v>
      </c>
      <c r="V78" s="12">
        <f>운전실적_원본!L78</f>
        <v>0</v>
      </c>
      <c r="W78" s="16" t="str">
        <f t="shared" ref="W78" si="507">IF(OR(LEN(V78)=0,V78=0),"",V78-V77)</f>
        <v/>
      </c>
      <c r="X78" s="10">
        <f>운전실적_원본!M78</f>
        <v>0</v>
      </c>
      <c r="Y78" s="10">
        <f>운전실적_원본!N78</f>
        <v>0</v>
      </c>
      <c r="Z78" s="10">
        <f>운전실적_원본!O78</f>
        <v>0</v>
      </c>
      <c r="AA78" s="10">
        <f>운전실적_원본!P78</f>
        <v>0</v>
      </c>
      <c r="AB78" s="10">
        <f>운전실적_원본!Q78</f>
        <v>0</v>
      </c>
      <c r="AC78" s="10">
        <f>운전실적_원본!R78</f>
        <v>0</v>
      </c>
      <c r="AD78" s="181">
        <f>운전실적_원본!S78</f>
        <v>0</v>
      </c>
      <c r="AE78" s="181">
        <f>운전실적_원본!T78</f>
        <v>0</v>
      </c>
      <c r="AF78" s="181">
        <f>운전실적_원본!U78</f>
        <v>0</v>
      </c>
      <c r="AG78" s="181">
        <f>운전실적_원본!V78</f>
        <v>0</v>
      </c>
      <c r="AH78" s="106">
        <f t="shared" si="462"/>
        <v>0</v>
      </c>
      <c r="AI78" s="107">
        <f t="shared" si="470"/>
        <v>0</v>
      </c>
      <c r="AJ78" s="107">
        <f t="shared" si="471"/>
        <v>0</v>
      </c>
      <c r="AK78" s="204">
        <f t="shared" si="472"/>
        <v>0</v>
      </c>
      <c r="AL78" s="103"/>
      <c r="AM78" s="103"/>
      <c r="AN78" s="103"/>
      <c r="AO78" s="103"/>
      <c r="AP78" s="103"/>
      <c r="AQ78" s="105"/>
      <c r="AR78" s="103"/>
      <c r="AS78" s="103"/>
      <c r="AT78" s="101"/>
      <c r="AU78" s="101"/>
      <c r="AV78" s="101"/>
      <c r="AW78" s="101"/>
      <c r="AX78" s="32">
        <f>운전실적_원본!W78</f>
        <v>0</v>
      </c>
      <c r="AY78" s="198">
        <f>운전실적_원본!X78</f>
        <v>0</v>
      </c>
      <c r="AZ78" s="198">
        <f>운전실적_원본!Y78</f>
        <v>0</v>
      </c>
      <c r="BA78" s="198">
        <f>운전실적_원본!Z78</f>
        <v>0</v>
      </c>
      <c r="BB78" s="198">
        <f>운전실적_원본!AA78</f>
        <v>0</v>
      </c>
      <c r="BC78" s="198">
        <f>운전실적_원본!AB78</f>
        <v>0</v>
      </c>
      <c r="BD78" s="32" t="str">
        <f t="shared" si="455"/>
        <v>-</v>
      </c>
      <c r="BE78" s="11" t="str">
        <f t="shared" si="463"/>
        <v>-</v>
      </c>
      <c r="BF78" s="11">
        <f>운전실적_원본!AE78</f>
        <v>0</v>
      </c>
      <c r="BG78" s="31">
        <f t="shared" si="456"/>
        <v>0</v>
      </c>
    </row>
    <row r="79" spans="1:59">
      <c r="A79" s="6">
        <f t="shared" si="464"/>
        <v>45731</v>
      </c>
      <c r="B79" s="15">
        <f>운전실적_원본!B79</f>
        <v>5306</v>
      </c>
      <c r="C79" s="16">
        <f t="shared" si="300"/>
        <v>29</v>
      </c>
      <c r="D79" s="9">
        <f>운전실적_원본!C79</f>
        <v>232032</v>
      </c>
      <c r="E79" s="199">
        <f t="shared" si="301"/>
        <v>29</v>
      </c>
      <c r="F79" s="9">
        <f>운전실적_원본!D79</f>
        <v>226600</v>
      </c>
      <c r="G79" s="16">
        <f t="shared" si="302"/>
        <v>120</v>
      </c>
      <c r="H79" s="15">
        <f>운전실적_원본!E79</f>
        <v>14092</v>
      </c>
      <c r="I79" s="16">
        <f t="shared" si="303"/>
        <v>4</v>
      </c>
      <c r="J79" s="15">
        <f>운전실적_원본!E79</f>
        <v>14092</v>
      </c>
      <c r="K79" s="16">
        <f t="shared" si="303"/>
        <v>4</v>
      </c>
      <c r="L79" s="15">
        <f>운전실적_원본!G79</f>
        <v>3805.8</v>
      </c>
      <c r="M79" s="31">
        <f t="shared" ref="M79" si="508">IF(OR(LEN(L79)=0,L79=0),"",L79-L78)</f>
        <v>0.70000000000027285</v>
      </c>
      <c r="N79" s="15">
        <f>운전실적_원본!H79</f>
        <v>10076</v>
      </c>
      <c r="O79" s="16">
        <f t="shared" ref="O79" si="509">IF(OR(LEN(N79)=0,N79=0),"",N79-N78)</f>
        <v>1</v>
      </c>
      <c r="P79" s="15">
        <f>운전실적_원본!I79</f>
        <v>258116</v>
      </c>
      <c r="Q79" s="16">
        <f t="shared" ref="Q79" si="510">IF(OR(LEN(P79)=0,P79=0),"",P79-P78)</f>
        <v>62</v>
      </c>
      <c r="R79" s="18">
        <f>운전실적_원본!J79</f>
        <v>30.51</v>
      </c>
      <c r="S79" s="19">
        <f t="shared" ref="S79" si="511">IF(OR(LEN(R79)=0,R79=0),"",R79-R78)</f>
        <v>-9.9999999999997868E-2</v>
      </c>
      <c r="T79" s="18">
        <f>운전실적_원본!K79</f>
        <v>29.91</v>
      </c>
      <c r="U79" s="19">
        <f t="shared" si="308"/>
        <v>-1.0000000000001563E-2</v>
      </c>
      <c r="V79" s="12">
        <f>운전실적_원본!L79</f>
        <v>0</v>
      </c>
      <c r="W79" s="16" t="str">
        <f t="shared" ref="W79" si="512">IF(OR(LEN(V79)=0,V79=0),"",V79-V78)</f>
        <v/>
      </c>
      <c r="X79" s="10">
        <f>운전실적_원본!M79</f>
        <v>0</v>
      </c>
      <c r="Y79" s="10">
        <f>운전실적_원본!N79</f>
        <v>0</v>
      </c>
      <c r="Z79" s="10">
        <f>운전실적_원본!O79</f>
        <v>0</v>
      </c>
      <c r="AA79" s="10">
        <f>운전실적_원본!P79</f>
        <v>0</v>
      </c>
      <c r="AB79" s="10">
        <f>운전실적_원본!Q79</f>
        <v>0</v>
      </c>
      <c r="AC79" s="10">
        <f>운전실적_원본!R79</f>
        <v>0</v>
      </c>
      <c r="AD79" s="181">
        <f>운전실적_원본!S79</f>
        <v>0</v>
      </c>
      <c r="AE79" s="181">
        <f>운전실적_원본!T79</f>
        <v>0</v>
      </c>
      <c r="AF79" s="181">
        <f>운전실적_원본!U79</f>
        <v>0</v>
      </c>
      <c r="AG79" s="181">
        <f>운전실적_원본!V79</f>
        <v>0</v>
      </c>
      <c r="AH79" s="106">
        <f t="shared" si="462"/>
        <v>0</v>
      </c>
      <c r="AI79" s="107">
        <f t="shared" si="470"/>
        <v>0</v>
      </c>
      <c r="AJ79" s="107">
        <f t="shared" si="471"/>
        <v>0</v>
      </c>
      <c r="AK79" s="204">
        <f t="shared" si="472"/>
        <v>0</v>
      </c>
      <c r="AL79" s="103"/>
      <c r="AM79" s="103"/>
      <c r="AN79" s="103"/>
      <c r="AO79" s="103"/>
      <c r="AP79" s="103"/>
      <c r="AQ79" s="105"/>
      <c r="AR79" s="103"/>
      <c r="AS79" s="103"/>
      <c r="AT79" s="101"/>
      <c r="AU79" s="101"/>
      <c r="AV79" s="101"/>
      <c r="AW79" s="101"/>
      <c r="AX79" s="32">
        <f>운전실적_원본!W79</f>
        <v>0</v>
      </c>
      <c r="AY79" s="198">
        <f>운전실적_원본!X79</f>
        <v>0</v>
      </c>
      <c r="AZ79" s="198">
        <f>운전실적_원본!Y79</f>
        <v>0</v>
      </c>
      <c r="BA79" s="198">
        <f>운전실적_원본!Z79</f>
        <v>0</v>
      </c>
      <c r="BB79" s="198">
        <f>운전실적_원본!AA79</f>
        <v>0</v>
      </c>
      <c r="BC79" s="198">
        <f>운전실적_원본!AB79</f>
        <v>0</v>
      </c>
      <c r="BD79" s="32" t="str">
        <f t="shared" si="455"/>
        <v>-</v>
      </c>
      <c r="BE79" s="11" t="str">
        <f t="shared" si="463"/>
        <v>-</v>
      </c>
      <c r="BF79" s="11">
        <f>운전실적_원본!AE79</f>
        <v>0</v>
      </c>
      <c r="BG79" s="31">
        <f t="shared" si="456"/>
        <v>0</v>
      </c>
    </row>
    <row r="80" spans="1:59">
      <c r="A80" s="6">
        <f t="shared" si="464"/>
        <v>45732</v>
      </c>
      <c r="B80" s="15">
        <f>운전실적_원본!B80</f>
        <v>5339</v>
      </c>
      <c r="C80" s="16">
        <f t="shared" si="300"/>
        <v>33</v>
      </c>
      <c r="D80" s="9">
        <f>운전실적_원본!C80</f>
        <v>232127</v>
      </c>
      <c r="E80" s="199">
        <f t="shared" si="301"/>
        <v>95</v>
      </c>
      <c r="F80" s="9">
        <f>운전실적_원본!D80</f>
        <v>226600</v>
      </c>
      <c r="G80" s="16">
        <f t="shared" si="302"/>
        <v>0</v>
      </c>
      <c r="H80" s="15">
        <f>운전실적_원본!E80</f>
        <v>14105</v>
      </c>
      <c r="I80" s="16">
        <f t="shared" si="303"/>
        <v>13</v>
      </c>
      <c r="J80" s="15">
        <f>운전실적_원본!E80</f>
        <v>14105</v>
      </c>
      <c r="K80" s="16">
        <f t="shared" si="303"/>
        <v>13</v>
      </c>
      <c r="L80" s="15">
        <f>운전실적_원본!G80</f>
        <v>3806.3</v>
      </c>
      <c r="M80" s="31">
        <f t="shared" ref="M80" si="513">IF(OR(LEN(L80)=0,L80=0),"",L80-L79)</f>
        <v>0.5</v>
      </c>
      <c r="N80" s="15">
        <f>운전실적_원본!H80</f>
        <v>10076</v>
      </c>
      <c r="O80" s="16">
        <f t="shared" ref="O80" si="514">IF(OR(LEN(N80)=0,N80=0),"",N80-N79)</f>
        <v>0</v>
      </c>
      <c r="P80" s="15">
        <f>운전실적_원본!I80</f>
        <v>258441</v>
      </c>
      <c r="Q80" s="16">
        <f t="shared" ref="Q80" si="515">IF(OR(LEN(P80)=0,P80=0),"",P80-P79)</f>
        <v>325</v>
      </c>
      <c r="R80" s="18">
        <f>운전실적_원본!J80</f>
        <v>30.38</v>
      </c>
      <c r="S80" s="19">
        <f t="shared" ref="S80" si="516">IF(OR(LEN(R80)=0,R80=0),"",R80-R79)</f>
        <v>-0.13000000000000256</v>
      </c>
      <c r="T80" s="18">
        <f>운전실적_원본!K80</f>
        <v>29.91</v>
      </c>
      <c r="U80" s="19">
        <f t="shared" si="308"/>
        <v>0</v>
      </c>
      <c r="V80" s="12">
        <f>운전실적_원본!L80</f>
        <v>0</v>
      </c>
      <c r="W80" s="16" t="str">
        <f t="shared" ref="W80" si="517">IF(OR(LEN(V80)=0,V80=0),"",V80-V79)</f>
        <v/>
      </c>
      <c r="X80" s="10">
        <f>운전실적_원본!M80</f>
        <v>0</v>
      </c>
      <c r="Y80" s="10">
        <f>운전실적_원본!N80</f>
        <v>0</v>
      </c>
      <c r="Z80" s="10">
        <f>운전실적_원본!O80</f>
        <v>0</v>
      </c>
      <c r="AA80" s="10">
        <f>운전실적_원본!P80</f>
        <v>0</v>
      </c>
      <c r="AB80" s="10">
        <f>운전실적_원본!Q80</f>
        <v>0</v>
      </c>
      <c r="AC80" s="10">
        <f>운전실적_원본!R80</f>
        <v>0</v>
      </c>
      <c r="AD80" s="181">
        <f>운전실적_원본!S80</f>
        <v>0</v>
      </c>
      <c r="AE80" s="181">
        <f>운전실적_원본!T80</f>
        <v>0</v>
      </c>
      <c r="AF80" s="181">
        <f>운전실적_원본!U80</f>
        <v>0</v>
      </c>
      <c r="AG80" s="181">
        <f>운전실적_원본!V80</f>
        <v>0</v>
      </c>
      <c r="AH80" s="106">
        <f t="shared" si="462"/>
        <v>0</v>
      </c>
      <c r="AI80" s="107">
        <f t="shared" si="470"/>
        <v>0</v>
      </c>
      <c r="AJ80" s="107">
        <f t="shared" si="471"/>
        <v>0</v>
      </c>
      <c r="AK80" s="204">
        <f t="shared" si="472"/>
        <v>0</v>
      </c>
      <c r="AL80" s="103"/>
      <c r="AM80" s="103"/>
      <c r="AN80" s="103"/>
      <c r="AO80" s="103"/>
      <c r="AP80" s="103"/>
      <c r="AQ80" s="105"/>
      <c r="AR80" s="103"/>
      <c r="AS80" s="103"/>
      <c r="AT80" s="101"/>
      <c r="AU80" s="101"/>
      <c r="AV80" s="101"/>
      <c r="AW80" s="101"/>
      <c r="AX80" s="32">
        <f>운전실적_원본!W80</f>
        <v>0</v>
      </c>
      <c r="AY80" s="198">
        <f>운전실적_원본!X80</f>
        <v>0</v>
      </c>
      <c r="AZ80" s="198">
        <f>운전실적_원본!Y80</f>
        <v>0</v>
      </c>
      <c r="BA80" s="198">
        <f>운전실적_원본!Z80</f>
        <v>0</v>
      </c>
      <c r="BB80" s="198">
        <f>운전실적_원본!AA80</f>
        <v>0</v>
      </c>
      <c r="BC80" s="198">
        <f>운전실적_원본!AB80</f>
        <v>0</v>
      </c>
      <c r="BD80" s="32" t="str">
        <f t="shared" si="455"/>
        <v>-</v>
      </c>
      <c r="BE80" s="11" t="str">
        <f t="shared" si="463"/>
        <v>-</v>
      </c>
      <c r="BF80" s="11">
        <f>운전실적_원본!AE80</f>
        <v>0</v>
      </c>
      <c r="BG80" s="31">
        <f t="shared" si="456"/>
        <v>0</v>
      </c>
    </row>
    <row r="81" spans="1:59">
      <c r="A81" s="6">
        <f t="shared" si="464"/>
        <v>45733</v>
      </c>
      <c r="B81" s="15">
        <f>운전실적_원본!B81</f>
        <v>5339</v>
      </c>
      <c r="C81" s="16">
        <f t="shared" si="300"/>
        <v>0</v>
      </c>
      <c r="D81" s="9">
        <f>운전실적_원본!C81</f>
        <v>232127</v>
      </c>
      <c r="E81" s="199">
        <f t="shared" si="301"/>
        <v>0</v>
      </c>
      <c r="F81" s="9">
        <f>운전실적_원본!D81</f>
        <v>226684</v>
      </c>
      <c r="G81" s="16">
        <f t="shared" si="302"/>
        <v>84</v>
      </c>
      <c r="H81" s="15">
        <f>운전실적_원본!E81</f>
        <v>14111</v>
      </c>
      <c r="I81" s="16">
        <f t="shared" si="303"/>
        <v>6</v>
      </c>
      <c r="J81" s="15">
        <f>운전실적_원본!E81</f>
        <v>14111</v>
      </c>
      <c r="K81" s="16">
        <f t="shared" si="303"/>
        <v>6</v>
      </c>
      <c r="L81" s="15">
        <f>운전실적_원본!G81</f>
        <v>3807.3</v>
      </c>
      <c r="M81" s="31">
        <f t="shared" ref="M81" si="518">IF(OR(LEN(L81)=0,L81=0),"",L81-L80)</f>
        <v>1</v>
      </c>
      <c r="N81" s="15">
        <f>운전실적_원본!H81</f>
        <v>10200</v>
      </c>
      <c r="O81" s="16">
        <f t="shared" ref="O81" si="519">IF(OR(LEN(N81)=0,N81=0),"",N81-N80)</f>
        <v>124</v>
      </c>
      <c r="P81" s="15">
        <f>운전실적_원본!I81</f>
        <v>258647</v>
      </c>
      <c r="Q81" s="16">
        <f t="shared" ref="Q81" si="520">IF(OR(LEN(P81)=0,P81=0),"",P81-P80)</f>
        <v>206</v>
      </c>
      <c r="R81" s="18">
        <f>운전실적_원본!J81</f>
        <v>30.17</v>
      </c>
      <c r="S81" s="19">
        <f t="shared" ref="S81" si="521">IF(OR(LEN(R81)=0,R81=0),"",R81-R80)</f>
        <v>-0.2099999999999973</v>
      </c>
      <c r="T81" s="18">
        <f>운전실적_원본!K81</f>
        <v>29.75</v>
      </c>
      <c r="U81" s="19">
        <f t="shared" si="308"/>
        <v>-0.16000000000000014</v>
      </c>
      <c r="V81" s="12">
        <f>운전실적_원본!L81</f>
        <v>0</v>
      </c>
      <c r="W81" s="16" t="str">
        <f t="shared" ref="W81" si="522">IF(OR(LEN(V81)=0,V81=0),"",V81-V80)</f>
        <v/>
      </c>
      <c r="X81" s="10">
        <f>운전실적_원본!M81</f>
        <v>90464.3</v>
      </c>
      <c r="Y81" s="10">
        <f>운전실적_원본!N81</f>
        <v>0</v>
      </c>
      <c r="Z81" s="10">
        <f>운전실적_원본!O81</f>
        <v>0</v>
      </c>
      <c r="AA81" s="10">
        <f>운전실적_원본!P81</f>
        <v>0</v>
      </c>
      <c r="AB81" s="10">
        <f>운전실적_원본!Q81</f>
        <v>0</v>
      </c>
      <c r="AC81" s="10">
        <f>운전실적_원본!R81</f>
        <v>0</v>
      </c>
      <c r="AD81" s="181">
        <f>운전실적_원본!S81</f>
        <v>18</v>
      </c>
      <c r="AE81" s="181">
        <f>운전실적_원본!T81</f>
        <v>0</v>
      </c>
      <c r="AF81" s="181">
        <f>운전실적_원본!U81</f>
        <v>0</v>
      </c>
      <c r="AG81" s="181">
        <f>운전실적_원본!V81</f>
        <v>0</v>
      </c>
      <c r="AH81" s="106">
        <f t="shared" si="462"/>
        <v>18</v>
      </c>
      <c r="AI81" s="107">
        <f t="shared" si="470"/>
        <v>0</v>
      </c>
      <c r="AJ81" s="107">
        <f t="shared" si="471"/>
        <v>0</v>
      </c>
      <c r="AK81" s="204">
        <f t="shared" si="472"/>
        <v>0</v>
      </c>
      <c r="AL81" s="103">
        <v>45733.083333333336</v>
      </c>
      <c r="AM81" s="103">
        <v>45733.833333333336</v>
      </c>
      <c r="AN81" s="103"/>
      <c r="AO81" s="103"/>
      <c r="AP81" s="103"/>
      <c r="AQ81" s="105"/>
      <c r="AR81" s="103"/>
      <c r="AS81" s="103"/>
      <c r="AT81" s="101"/>
      <c r="AU81" s="101"/>
      <c r="AV81" s="101"/>
      <c r="AW81" s="101"/>
      <c r="AX81" s="32">
        <f>운전실적_원본!W81</f>
        <v>563</v>
      </c>
      <c r="AY81" s="198">
        <f>운전실적_원본!X81</f>
        <v>0</v>
      </c>
      <c r="AZ81" s="198">
        <f>운전실적_원본!Y81</f>
        <v>0</v>
      </c>
      <c r="BA81" s="198">
        <f>운전실적_원본!Z81</f>
        <v>0</v>
      </c>
      <c r="BB81" s="198">
        <f>운전실적_원본!AA81</f>
        <v>0</v>
      </c>
      <c r="BC81" s="198">
        <f>운전실적_원본!AB81</f>
        <v>563</v>
      </c>
      <c r="BD81" s="32">
        <f t="shared" si="455"/>
        <v>31.277777777777779</v>
      </c>
      <c r="BE81" s="11">
        <f t="shared" si="463"/>
        <v>0.60863548896240083</v>
      </c>
      <c r="BF81" s="11">
        <f>운전실적_원본!AE81</f>
        <v>0</v>
      </c>
      <c r="BG81" s="31">
        <f t="shared" si="456"/>
        <v>0</v>
      </c>
    </row>
    <row r="82" spans="1:59">
      <c r="A82" s="6">
        <f t="shared" si="464"/>
        <v>45734</v>
      </c>
      <c r="B82" s="15">
        <f>운전실적_원본!B82</f>
        <v>5367</v>
      </c>
      <c r="C82" s="16">
        <f t="shared" si="300"/>
        <v>28</v>
      </c>
      <c r="D82" s="9">
        <f>운전실적_원본!C82</f>
        <v>232259</v>
      </c>
      <c r="E82" s="199">
        <f t="shared" si="301"/>
        <v>132</v>
      </c>
      <c r="F82" s="9">
        <f>운전실적_원본!D82</f>
        <v>226745</v>
      </c>
      <c r="G82" s="16">
        <f t="shared" si="302"/>
        <v>61</v>
      </c>
      <c r="H82" s="15">
        <f>운전실적_원본!E82</f>
        <v>14115</v>
      </c>
      <c r="I82" s="16">
        <f t="shared" si="303"/>
        <v>4</v>
      </c>
      <c r="J82" s="15">
        <f>운전실적_원본!E82</f>
        <v>14115</v>
      </c>
      <c r="K82" s="16">
        <f t="shared" si="303"/>
        <v>4</v>
      </c>
      <c r="L82" s="15">
        <f>운전실적_원본!G82</f>
        <v>3808.6</v>
      </c>
      <c r="M82" s="31">
        <f t="shared" ref="M82" si="523">IF(OR(LEN(L82)=0,L82=0),"",L82-L81)</f>
        <v>1.2999999999997272</v>
      </c>
      <c r="N82" s="15">
        <f>운전실적_원본!H82</f>
        <v>10325</v>
      </c>
      <c r="O82" s="16">
        <f t="shared" ref="O82" si="524">IF(OR(LEN(N82)=0,N82=0),"",N82-N81)</f>
        <v>125</v>
      </c>
      <c r="P82" s="15">
        <f>운전실적_원본!I82</f>
        <v>258925</v>
      </c>
      <c r="Q82" s="16">
        <f t="shared" ref="Q82" si="525">IF(OR(LEN(P82)=0,P82=0),"",P82-P81)</f>
        <v>278</v>
      </c>
      <c r="R82" s="18">
        <f>운전실적_원본!J82</f>
        <v>30.13</v>
      </c>
      <c r="S82" s="19">
        <f t="shared" ref="S82" si="526">IF(OR(LEN(R82)=0,R82=0),"",R82-R81)</f>
        <v>-4.00000000000027E-2</v>
      </c>
      <c r="T82" s="18">
        <f>운전실적_원본!K82</f>
        <v>29.74</v>
      </c>
      <c r="U82" s="19">
        <f t="shared" si="308"/>
        <v>-1.0000000000001563E-2</v>
      </c>
      <c r="V82" s="12">
        <f>운전실적_원본!L82</f>
        <v>0</v>
      </c>
      <c r="W82" s="16" t="str">
        <f t="shared" ref="W82" si="527">IF(OR(LEN(V82)=0,V82=0),"",V82-V81)</f>
        <v/>
      </c>
      <c r="X82" s="10">
        <f>운전실적_원본!M82</f>
        <v>128108</v>
      </c>
      <c r="Y82" s="10">
        <f>운전실적_원본!N82</f>
        <v>0</v>
      </c>
      <c r="Z82" s="10">
        <f>운전실적_원본!O82</f>
        <v>0</v>
      </c>
      <c r="AA82" s="10">
        <f>운전실적_원본!P82</f>
        <v>0</v>
      </c>
      <c r="AB82" s="10">
        <f>운전실적_원본!Q82</f>
        <v>0</v>
      </c>
      <c r="AC82" s="10">
        <f>운전실적_원본!R82</f>
        <v>0</v>
      </c>
      <c r="AD82" s="181">
        <f>운전실적_원본!S82</f>
        <v>17</v>
      </c>
      <c r="AE82" s="181">
        <f>운전실적_원본!T82</f>
        <v>0</v>
      </c>
      <c r="AF82" s="181">
        <f>운전실적_원본!U82</f>
        <v>0</v>
      </c>
      <c r="AG82" s="181">
        <f>운전실적_원본!V82</f>
        <v>0</v>
      </c>
      <c r="AH82" s="106">
        <f t="shared" si="462"/>
        <v>17.000000000058208</v>
      </c>
      <c r="AI82" s="107">
        <f t="shared" si="470"/>
        <v>0</v>
      </c>
      <c r="AJ82" s="107">
        <f t="shared" si="471"/>
        <v>0</v>
      </c>
      <c r="AK82" s="204">
        <f t="shared" si="472"/>
        <v>0</v>
      </c>
      <c r="AL82" s="103">
        <v>45734.291666666664</v>
      </c>
      <c r="AM82" s="103">
        <v>45735</v>
      </c>
      <c r="AN82" s="103"/>
      <c r="AO82" s="103"/>
      <c r="AP82" s="103"/>
      <c r="AQ82" s="105"/>
      <c r="AR82" s="103"/>
      <c r="AS82" s="103"/>
      <c r="AT82" s="101"/>
      <c r="AU82" s="101"/>
      <c r="AV82" s="101"/>
      <c r="AW82" s="101"/>
      <c r="AX82" s="32">
        <f>운전실적_원본!W82</f>
        <v>822</v>
      </c>
      <c r="AY82" s="198">
        <f>운전실적_원본!X82</f>
        <v>0</v>
      </c>
      <c r="AZ82" s="198">
        <f>운전실적_원본!Y82</f>
        <v>0</v>
      </c>
      <c r="BA82" s="198">
        <f>운전실적_원본!Z82</f>
        <v>0</v>
      </c>
      <c r="BB82" s="198">
        <f>운전실적_원본!AA82</f>
        <v>0</v>
      </c>
      <c r="BC82" s="198">
        <f>운전실적_원본!AB82</f>
        <v>822</v>
      </c>
      <c r="BD82" s="32">
        <f t="shared" si="455"/>
        <v>48.352941176470587</v>
      </c>
      <c r="BE82" s="11">
        <f t="shared" si="463"/>
        <v>0.94090175474743309</v>
      </c>
      <c r="BF82" s="11">
        <f>운전실적_원본!AE82</f>
        <v>0</v>
      </c>
      <c r="BG82" s="31">
        <f t="shared" si="456"/>
        <v>0</v>
      </c>
    </row>
    <row r="83" spans="1:59">
      <c r="A83" s="6">
        <f t="shared" si="464"/>
        <v>45735</v>
      </c>
      <c r="B83" s="15">
        <f>운전실적_원본!B83</f>
        <v>5401</v>
      </c>
      <c r="C83" s="16">
        <f t="shared" si="300"/>
        <v>34</v>
      </c>
      <c r="D83" s="9">
        <f>운전실적_원본!C83</f>
        <v>232287</v>
      </c>
      <c r="E83" s="199">
        <f t="shared" si="301"/>
        <v>28</v>
      </c>
      <c r="F83" s="9">
        <f>운전실적_원본!D83</f>
        <v>226870</v>
      </c>
      <c r="G83" s="16">
        <f t="shared" si="302"/>
        <v>125</v>
      </c>
      <c r="H83" s="15">
        <f>운전실적_원본!E83</f>
        <v>14120</v>
      </c>
      <c r="I83" s="16">
        <f t="shared" si="303"/>
        <v>5</v>
      </c>
      <c r="J83" s="15">
        <f>운전실적_원본!E83</f>
        <v>14120</v>
      </c>
      <c r="K83" s="16">
        <f t="shared" si="303"/>
        <v>5</v>
      </c>
      <c r="L83" s="15">
        <f>운전실적_원본!G83</f>
        <v>3809.6</v>
      </c>
      <c r="M83" s="31">
        <f t="shared" ref="M83" si="528">IF(OR(LEN(L83)=0,L83=0),"",L83-L82)</f>
        <v>1</v>
      </c>
      <c r="N83" s="15">
        <f>운전실적_원본!H83</f>
        <v>10442</v>
      </c>
      <c r="O83" s="16">
        <f t="shared" ref="O83" si="529">IF(OR(LEN(N83)=0,N83=0),"",N83-N82)</f>
        <v>117</v>
      </c>
      <c r="P83" s="15">
        <f>운전실적_원본!I83</f>
        <v>259280</v>
      </c>
      <c r="Q83" s="16">
        <f t="shared" ref="Q83" si="530">IF(OR(LEN(P83)=0,P83=0),"",P83-P82)</f>
        <v>355</v>
      </c>
      <c r="R83" s="18">
        <f>운전실적_원본!J83</f>
        <v>30.28</v>
      </c>
      <c r="S83" s="19">
        <f t="shared" ref="S83" si="531">IF(OR(LEN(R83)=0,R83=0),"",R83-R82)</f>
        <v>0.15000000000000213</v>
      </c>
      <c r="T83" s="18">
        <f>운전실적_원본!K83</f>
        <v>29.75</v>
      </c>
      <c r="U83" s="19">
        <f t="shared" si="308"/>
        <v>1.0000000000001563E-2</v>
      </c>
      <c r="V83" s="12">
        <f>운전실적_원본!L83</f>
        <v>0</v>
      </c>
      <c r="W83" s="16" t="str">
        <f t="shared" ref="W83" si="532">IF(OR(LEN(V83)=0,V83=0),"",V83-V82)</f>
        <v/>
      </c>
      <c r="X83" s="10">
        <f>운전실적_원본!M83</f>
        <v>126694.9</v>
      </c>
      <c r="Y83" s="10">
        <f>운전실적_원본!N83</f>
        <v>0</v>
      </c>
      <c r="Z83" s="10">
        <f>운전실적_원본!O83</f>
        <v>0</v>
      </c>
      <c r="AA83" s="10">
        <f>운전실적_원본!P83</f>
        <v>0</v>
      </c>
      <c r="AB83" s="10">
        <f>운전실적_원본!Q83</f>
        <v>0</v>
      </c>
      <c r="AC83" s="10">
        <f>운전실적_원본!R83</f>
        <v>0</v>
      </c>
      <c r="AD83" s="181">
        <f>운전실적_원본!S83</f>
        <v>17</v>
      </c>
      <c r="AE83" s="181">
        <f>운전실적_원본!T83</f>
        <v>0</v>
      </c>
      <c r="AF83" s="181">
        <f>운전실적_원본!U83</f>
        <v>0</v>
      </c>
      <c r="AG83" s="181">
        <f>운전실적_원본!V83</f>
        <v>0</v>
      </c>
      <c r="AH83" s="106">
        <f t="shared" si="462"/>
        <v>16.833333333372138</v>
      </c>
      <c r="AI83" s="107">
        <f t="shared" si="470"/>
        <v>0</v>
      </c>
      <c r="AJ83" s="107">
        <f t="shared" si="471"/>
        <v>0</v>
      </c>
      <c r="AK83" s="204">
        <f t="shared" si="472"/>
        <v>0</v>
      </c>
      <c r="AL83" s="103">
        <v>45734.298611111109</v>
      </c>
      <c r="AM83" s="103">
        <v>45735</v>
      </c>
      <c r="AN83" s="103"/>
      <c r="AO83" s="103"/>
      <c r="AP83" s="103"/>
      <c r="AQ83" s="105"/>
      <c r="AR83" s="103"/>
      <c r="AS83" s="103"/>
      <c r="AT83" s="101"/>
      <c r="AU83" s="101"/>
      <c r="AV83" s="101"/>
      <c r="AW83" s="101"/>
      <c r="AX83" s="32">
        <f>운전실적_원본!W83</f>
        <v>805</v>
      </c>
      <c r="AY83" s="198">
        <f>운전실적_원본!X83</f>
        <v>0</v>
      </c>
      <c r="AZ83" s="198">
        <f>운전실적_원본!Y83</f>
        <v>0</v>
      </c>
      <c r="BA83" s="198">
        <f>운전실적_원본!Z83</f>
        <v>0</v>
      </c>
      <c r="BB83" s="198">
        <f>운전실적_원본!AA83</f>
        <v>0</v>
      </c>
      <c r="BC83" s="198">
        <f>운전실적_원본!AB83</f>
        <v>805</v>
      </c>
      <c r="BD83" s="32">
        <f t="shared" si="455"/>
        <v>47.352941176470587</v>
      </c>
      <c r="BE83" s="11">
        <f t="shared" si="463"/>
        <v>0.92144271602394601</v>
      </c>
      <c r="BF83" s="11">
        <f>운전실적_원본!AE83</f>
        <v>0</v>
      </c>
      <c r="BG83" s="31">
        <f t="shared" si="456"/>
        <v>0</v>
      </c>
    </row>
    <row r="84" spans="1:59">
      <c r="A84" s="6">
        <f t="shared" si="464"/>
        <v>45736</v>
      </c>
      <c r="B84" s="15">
        <f>운전실적_원본!B84</f>
        <v>5433</v>
      </c>
      <c r="C84" s="16">
        <f t="shared" si="300"/>
        <v>32</v>
      </c>
      <c r="D84" s="9">
        <f>운전실적_원본!C84</f>
        <v>232388</v>
      </c>
      <c r="E84" s="199">
        <f t="shared" si="301"/>
        <v>101</v>
      </c>
      <c r="F84" s="9">
        <f>운전실적_원본!D84</f>
        <v>226965</v>
      </c>
      <c r="G84" s="16">
        <f t="shared" si="302"/>
        <v>95</v>
      </c>
      <c r="H84" s="15">
        <f>운전실적_원본!E84</f>
        <v>14125</v>
      </c>
      <c r="I84" s="16">
        <f t="shared" si="303"/>
        <v>5</v>
      </c>
      <c r="J84" s="15">
        <f>운전실적_원본!E84</f>
        <v>14125</v>
      </c>
      <c r="K84" s="16">
        <f t="shared" si="303"/>
        <v>5</v>
      </c>
      <c r="L84" s="15">
        <f>운전실적_원본!G84</f>
        <v>3810.5</v>
      </c>
      <c r="M84" s="31">
        <f t="shared" ref="M84" si="533">IF(OR(LEN(L84)=0,L84=0),"",L84-L83)</f>
        <v>0.90000000000009095</v>
      </c>
      <c r="N84" s="15">
        <f>운전실적_원본!H84</f>
        <v>10565</v>
      </c>
      <c r="O84" s="16">
        <f t="shared" ref="O84" si="534">IF(OR(LEN(N84)=0,N84=0),"",N84-N83)</f>
        <v>123</v>
      </c>
      <c r="P84" s="15">
        <f>운전실적_원본!I84</f>
        <v>259568</v>
      </c>
      <c r="Q84" s="16">
        <f t="shared" ref="Q84" si="535">IF(OR(LEN(P84)=0,P84=0),"",P84-P83)</f>
        <v>288</v>
      </c>
      <c r="R84" s="18">
        <f>운전실적_원본!J84</f>
        <v>30.51</v>
      </c>
      <c r="S84" s="19">
        <f t="shared" ref="S84" si="536">IF(OR(LEN(R84)=0,R84=0),"",R84-R83)</f>
        <v>0.23000000000000043</v>
      </c>
      <c r="T84" s="18">
        <f>운전실적_원본!K84</f>
        <v>29.88</v>
      </c>
      <c r="U84" s="19">
        <f t="shared" si="308"/>
        <v>0.12999999999999901</v>
      </c>
      <c r="V84" s="12">
        <f>운전실적_원본!L84</f>
        <v>0</v>
      </c>
      <c r="W84" s="16" t="str">
        <f t="shared" ref="W84" si="537">IF(OR(LEN(V84)=0,V84=0),"",V84-V83)</f>
        <v/>
      </c>
      <c r="X84" s="10">
        <f>운전실적_원본!M84</f>
        <v>127317.5</v>
      </c>
      <c r="Y84" s="10">
        <f>운전실적_원본!N84</f>
        <v>0</v>
      </c>
      <c r="Z84" s="10">
        <f>운전실적_원본!O84</f>
        <v>0</v>
      </c>
      <c r="AA84" s="10">
        <f>운전실적_원본!P84</f>
        <v>0</v>
      </c>
      <c r="AB84" s="10">
        <f>운전실적_원본!Q84</f>
        <v>0</v>
      </c>
      <c r="AC84" s="10">
        <f>운전실적_원본!R84</f>
        <v>0</v>
      </c>
      <c r="AD84" s="181">
        <f>운전실적_원본!S84</f>
        <v>17</v>
      </c>
      <c r="AE84" s="181">
        <f>운전실적_원본!T84</f>
        <v>0</v>
      </c>
      <c r="AF84" s="181">
        <f>운전실적_원본!U84</f>
        <v>0</v>
      </c>
      <c r="AG84" s="181">
        <f>운전실적_원본!V84</f>
        <v>0</v>
      </c>
      <c r="AH84" s="106">
        <f t="shared" si="462"/>
        <v>16.916666666627862</v>
      </c>
      <c r="AI84" s="107">
        <f t="shared" si="470"/>
        <v>0</v>
      </c>
      <c r="AJ84" s="107">
        <f t="shared" si="471"/>
        <v>0</v>
      </c>
      <c r="AK84" s="204">
        <f t="shared" si="472"/>
        <v>0</v>
      </c>
      <c r="AL84" s="103">
        <v>45734.295138888891</v>
      </c>
      <c r="AM84" s="103">
        <v>45735</v>
      </c>
      <c r="AN84" s="103"/>
      <c r="AO84" s="103"/>
      <c r="AP84" s="103"/>
      <c r="AQ84" s="105"/>
      <c r="AR84" s="103"/>
      <c r="AS84" s="103"/>
      <c r="AT84" s="101"/>
      <c r="AU84" s="101"/>
      <c r="AV84" s="101"/>
      <c r="AW84" s="101"/>
      <c r="AX84" s="32">
        <f>운전실적_원본!W84</f>
        <v>811</v>
      </c>
      <c r="AY84" s="198">
        <f>운전실적_원본!X84</f>
        <v>0</v>
      </c>
      <c r="AZ84" s="198">
        <f>운전실적_원본!Y84</f>
        <v>0</v>
      </c>
      <c r="BA84" s="198">
        <f>운전실적_원본!Z84</f>
        <v>0</v>
      </c>
      <c r="BB84" s="198">
        <f>운전실적_원본!AA84</f>
        <v>0</v>
      </c>
      <c r="BC84" s="198">
        <f>운전실적_원본!AB84</f>
        <v>811</v>
      </c>
      <c r="BD84" s="32">
        <f t="shared" si="455"/>
        <v>47.705882352941174</v>
      </c>
      <c r="BE84" s="11">
        <f t="shared" si="463"/>
        <v>0.92831061204400023</v>
      </c>
      <c r="BF84" s="11">
        <f>운전실적_원본!AE84</f>
        <v>0</v>
      </c>
      <c r="BG84" s="31">
        <f t="shared" si="456"/>
        <v>0</v>
      </c>
    </row>
    <row r="85" spans="1:59">
      <c r="A85" s="6">
        <f t="shared" si="464"/>
        <v>45737</v>
      </c>
      <c r="B85" s="15">
        <f>운전실적_원본!B85</f>
        <v>5459</v>
      </c>
      <c r="C85" s="16">
        <f t="shared" si="300"/>
        <v>26</v>
      </c>
      <c r="D85" s="9">
        <f>운전실적_원본!C85</f>
        <v>232453</v>
      </c>
      <c r="E85" s="199">
        <f t="shared" si="301"/>
        <v>65</v>
      </c>
      <c r="F85" s="9">
        <f>운전실적_원본!D85</f>
        <v>227055</v>
      </c>
      <c r="G85" s="16">
        <f t="shared" si="302"/>
        <v>90</v>
      </c>
      <c r="H85" s="15">
        <f>운전실적_원본!E85</f>
        <v>14129</v>
      </c>
      <c r="I85" s="16">
        <f t="shared" si="303"/>
        <v>4</v>
      </c>
      <c r="J85" s="15">
        <f>운전실적_원본!E85</f>
        <v>14129</v>
      </c>
      <c r="K85" s="16">
        <f t="shared" si="303"/>
        <v>4</v>
      </c>
      <c r="L85" s="15">
        <f>운전실적_원본!G85</f>
        <v>3811.3</v>
      </c>
      <c r="M85" s="31">
        <f t="shared" ref="M85" si="538">IF(OR(LEN(L85)=0,L85=0),"",L85-L84)</f>
        <v>0.8000000000001819</v>
      </c>
      <c r="N85" s="15">
        <f>운전실적_원본!H85</f>
        <v>10667</v>
      </c>
      <c r="O85" s="16">
        <f t="shared" ref="O85" si="539">IF(OR(LEN(N85)=0,N85=0),"",N85-N84)</f>
        <v>102</v>
      </c>
      <c r="P85" s="15">
        <f>운전실적_원본!I85</f>
        <v>259885</v>
      </c>
      <c r="Q85" s="16">
        <f t="shared" ref="Q85" si="540">IF(OR(LEN(P85)=0,P85=0),"",P85-P84)</f>
        <v>317</v>
      </c>
      <c r="R85" s="18">
        <f>운전실적_원본!J85</f>
        <v>30.49</v>
      </c>
      <c r="S85" s="19">
        <f t="shared" ref="S85" si="541">IF(OR(LEN(R85)=0,R85=0),"",R85-R84)</f>
        <v>-2.0000000000003126E-2</v>
      </c>
      <c r="T85" s="18">
        <f>운전실적_원본!K85</f>
        <v>29.87</v>
      </c>
      <c r="U85" s="19">
        <f t="shared" si="308"/>
        <v>-9.9999999999980105E-3</v>
      </c>
      <c r="V85" s="12">
        <f>운전실적_원본!L85</f>
        <v>0</v>
      </c>
      <c r="W85" s="16" t="str">
        <f t="shared" ref="W85" si="542">IF(OR(LEN(V85)=0,V85=0),"",V85-V84)</f>
        <v/>
      </c>
      <c r="X85" s="10">
        <f>운전실적_원본!M85</f>
        <v>44985.70000000298</v>
      </c>
      <c r="Y85" s="10">
        <f>운전실적_원본!N85</f>
        <v>0</v>
      </c>
      <c r="Z85" s="10">
        <f>운전실적_원본!O85</f>
        <v>0</v>
      </c>
      <c r="AA85" s="10">
        <f>운전실적_원본!P85</f>
        <v>0</v>
      </c>
      <c r="AB85" s="10">
        <f>운전실적_원본!Q85</f>
        <v>0</v>
      </c>
      <c r="AC85" s="10">
        <f>운전실적_원본!R85</f>
        <v>0</v>
      </c>
      <c r="AD85" s="181">
        <f>운전실적_원본!S85</f>
        <v>9</v>
      </c>
      <c r="AE85" s="181">
        <f>운전실적_원본!T85</f>
        <v>0</v>
      </c>
      <c r="AF85" s="181">
        <f>운전실적_원본!U85</f>
        <v>0</v>
      </c>
      <c r="AG85" s="181">
        <f>운전실적_원본!V85</f>
        <v>0</v>
      </c>
      <c r="AH85" s="106">
        <f t="shared" si="462"/>
        <v>8.9166666665696539</v>
      </c>
      <c r="AI85" s="107">
        <f t="shared" si="470"/>
        <v>0</v>
      </c>
      <c r="AJ85" s="107">
        <f t="shared" si="471"/>
        <v>0</v>
      </c>
      <c r="AK85" s="204">
        <f t="shared" si="472"/>
        <v>0</v>
      </c>
      <c r="AL85" s="103">
        <v>45735.295138888891</v>
      </c>
      <c r="AM85" s="103">
        <v>45735.666666666664</v>
      </c>
      <c r="AN85" s="103"/>
      <c r="AO85" s="103"/>
      <c r="AP85" s="103"/>
      <c r="AQ85" s="105"/>
      <c r="AR85" s="103"/>
      <c r="AS85" s="103"/>
      <c r="AT85" s="101"/>
      <c r="AU85" s="101"/>
      <c r="AV85" s="101"/>
      <c r="AW85" s="101"/>
      <c r="AX85" s="32">
        <f>운전실적_원본!W85</f>
        <v>286</v>
      </c>
      <c r="AY85" s="198">
        <f>운전실적_원본!X85</f>
        <v>0</v>
      </c>
      <c r="AZ85" s="198">
        <f>운전실적_원본!Y85</f>
        <v>0</v>
      </c>
      <c r="BA85" s="198">
        <f>운전실적_원본!Z85</f>
        <v>0</v>
      </c>
      <c r="BB85" s="198">
        <f>운전실적_원본!AA85</f>
        <v>0</v>
      </c>
      <c r="BC85" s="198">
        <f>운전실적_원본!AB85</f>
        <v>286</v>
      </c>
      <c r="BD85" s="32">
        <f t="shared" si="455"/>
        <v>31.777777777777779</v>
      </c>
      <c r="BE85" s="11">
        <f t="shared" si="463"/>
        <v>0.61836500832414432</v>
      </c>
      <c r="BF85" s="11">
        <f>운전실적_원본!AE85</f>
        <v>0</v>
      </c>
      <c r="BG85" s="31">
        <f t="shared" si="456"/>
        <v>0</v>
      </c>
    </row>
    <row r="86" spans="1:59">
      <c r="A86" s="6">
        <f t="shared" si="464"/>
        <v>45738</v>
      </c>
      <c r="B86" s="15">
        <f>운전실적_원본!B86</f>
        <v>5493</v>
      </c>
      <c r="C86" s="16">
        <f t="shared" si="300"/>
        <v>34</v>
      </c>
      <c r="D86" s="9">
        <f>운전실적_원본!C86</f>
        <v>232542</v>
      </c>
      <c r="E86" s="199">
        <f t="shared" si="301"/>
        <v>89</v>
      </c>
      <c r="F86" s="9">
        <f>운전실적_원본!D86</f>
        <v>227134</v>
      </c>
      <c r="G86" s="16">
        <f t="shared" si="302"/>
        <v>79</v>
      </c>
      <c r="H86" s="15">
        <f>운전실적_원본!E86</f>
        <v>14132</v>
      </c>
      <c r="I86" s="16">
        <f t="shared" si="303"/>
        <v>3</v>
      </c>
      <c r="J86" s="15">
        <f>운전실적_원본!E86</f>
        <v>14132</v>
      </c>
      <c r="K86" s="16">
        <f t="shared" si="303"/>
        <v>3</v>
      </c>
      <c r="L86" s="15">
        <f>운전실적_원본!G86</f>
        <v>3812</v>
      </c>
      <c r="M86" s="31">
        <f t="shared" ref="M86" si="543">IF(OR(LEN(L86)=0,L86=0),"",L86-L85)</f>
        <v>0.6999999999998181</v>
      </c>
      <c r="N86" s="15">
        <f>운전실적_원본!H86</f>
        <v>10697</v>
      </c>
      <c r="O86" s="16">
        <f t="shared" ref="O86" si="544">IF(OR(LEN(N86)=0,N86=0),"",N86-N85)</f>
        <v>30</v>
      </c>
      <c r="P86" s="15">
        <f>운전실적_원본!I86</f>
        <v>260096</v>
      </c>
      <c r="Q86" s="16">
        <f t="shared" ref="Q86" si="545">IF(OR(LEN(P86)=0,P86=0),"",P86-P85)</f>
        <v>211</v>
      </c>
      <c r="R86" s="18">
        <f>운전실적_원본!J86</f>
        <v>30.38</v>
      </c>
      <c r="S86" s="19">
        <f t="shared" ref="S86" si="546">IF(OR(LEN(R86)=0,R86=0),"",R86-R85)</f>
        <v>-0.10999999999999943</v>
      </c>
      <c r="T86" s="18">
        <f>운전실적_원본!K86</f>
        <v>29.94</v>
      </c>
      <c r="U86" s="19">
        <f t="shared" si="308"/>
        <v>7.0000000000000284E-2</v>
      </c>
      <c r="V86" s="12">
        <f>운전실적_원본!L86</f>
        <v>0</v>
      </c>
      <c r="W86" s="16" t="str">
        <f t="shared" ref="W86" si="547">IF(OR(LEN(V86)=0,V86=0),"",V86-V85)</f>
        <v/>
      </c>
      <c r="X86" s="10">
        <f>운전실적_원본!M86</f>
        <v>0</v>
      </c>
      <c r="Y86" s="10">
        <f>운전실적_원본!N86</f>
        <v>0</v>
      </c>
      <c r="Z86" s="10">
        <f>운전실적_원본!O86</f>
        <v>0</v>
      </c>
      <c r="AA86" s="10">
        <f>운전실적_원본!P86</f>
        <v>0</v>
      </c>
      <c r="AB86" s="10">
        <f>운전실적_원본!Q86</f>
        <v>0</v>
      </c>
      <c r="AC86" s="10">
        <f>운전실적_원본!R86</f>
        <v>0</v>
      </c>
      <c r="AD86" s="181">
        <f>운전실적_원본!S86</f>
        <v>0</v>
      </c>
      <c r="AE86" s="181">
        <f>운전실적_원본!T86</f>
        <v>0</v>
      </c>
      <c r="AF86" s="181">
        <f>운전실적_원본!U86</f>
        <v>0</v>
      </c>
      <c r="AG86" s="181">
        <f>운전실적_원본!V86</f>
        <v>0</v>
      </c>
      <c r="AH86" s="106">
        <f t="shared" si="462"/>
        <v>0</v>
      </c>
      <c r="AI86" s="107">
        <f t="shared" si="470"/>
        <v>0</v>
      </c>
      <c r="AJ86" s="107">
        <f t="shared" si="471"/>
        <v>0</v>
      </c>
      <c r="AK86" s="204">
        <f t="shared" si="472"/>
        <v>0</v>
      </c>
      <c r="AL86" s="103"/>
      <c r="AM86" s="103"/>
      <c r="AN86" s="103"/>
      <c r="AO86" s="103"/>
      <c r="AP86" s="103"/>
      <c r="AQ86" s="105"/>
      <c r="AR86" s="103"/>
      <c r="AS86" s="103"/>
      <c r="AT86" s="101"/>
      <c r="AU86" s="101"/>
      <c r="AV86" s="101"/>
      <c r="AW86" s="101"/>
      <c r="AX86" s="32">
        <f>운전실적_원본!W86</f>
        <v>0</v>
      </c>
      <c r="AY86" s="198">
        <f>운전실적_원본!X86</f>
        <v>0</v>
      </c>
      <c r="AZ86" s="198">
        <f>운전실적_원본!Y86</f>
        <v>0</v>
      </c>
      <c r="BA86" s="198">
        <f>운전실적_원본!Z86</f>
        <v>0</v>
      </c>
      <c r="BB86" s="198">
        <f>운전실적_원본!AA86</f>
        <v>0</v>
      </c>
      <c r="BC86" s="198">
        <f>운전실적_원본!AB86</f>
        <v>0</v>
      </c>
      <c r="BD86" s="32" t="str">
        <f t="shared" si="455"/>
        <v>-</v>
      </c>
      <c r="BE86" s="11" t="str">
        <f t="shared" si="463"/>
        <v>-</v>
      </c>
      <c r="BF86" s="11">
        <f>운전실적_원본!AE86</f>
        <v>0</v>
      </c>
      <c r="BG86" s="31">
        <f t="shared" si="456"/>
        <v>0</v>
      </c>
    </row>
    <row r="87" spans="1:59">
      <c r="A87" s="6">
        <f t="shared" si="464"/>
        <v>45739</v>
      </c>
      <c r="B87" s="15">
        <f>운전실적_원본!B87</f>
        <v>5522</v>
      </c>
      <c r="C87" s="16">
        <f t="shared" si="300"/>
        <v>29</v>
      </c>
      <c r="D87" s="9">
        <f>운전실적_원본!C87</f>
        <v>232542</v>
      </c>
      <c r="E87" s="199">
        <f t="shared" si="301"/>
        <v>0</v>
      </c>
      <c r="F87" s="9">
        <f>운전실적_원본!D87</f>
        <v>227201</v>
      </c>
      <c r="G87" s="16">
        <f t="shared" si="302"/>
        <v>67</v>
      </c>
      <c r="H87" s="15">
        <f>운전실적_원본!E87</f>
        <v>14135</v>
      </c>
      <c r="I87" s="16">
        <f t="shared" si="303"/>
        <v>3</v>
      </c>
      <c r="J87" s="15">
        <f>운전실적_원본!E87</f>
        <v>14135</v>
      </c>
      <c r="K87" s="16">
        <f t="shared" si="303"/>
        <v>3</v>
      </c>
      <c r="L87" s="15">
        <f>운전실적_원본!G87</f>
        <v>3812.5</v>
      </c>
      <c r="M87" s="31">
        <f t="shared" ref="M87" si="548">IF(OR(LEN(L87)=0,L87=0),"",L87-L86)</f>
        <v>0.5</v>
      </c>
      <c r="N87" s="15">
        <f>운전실적_원본!H87</f>
        <v>10697</v>
      </c>
      <c r="O87" s="16">
        <f t="shared" ref="O87" si="549">IF(OR(LEN(N87)=0,N87=0),"",N87-N86)</f>
        <v>0</v>
      </c>
      <c r="P87" s="15">
        <f>운전실적_원본!I87</f>
        <v>260199</v>
      </c>
      <c r="Q87" s="16">
        <f t="shared" ref="Q87" si="550">IF(OR(LEN(P87)=0,P87=0),"",P87-P86)</f>
        <v>103</v>
      </c>
      <c r="R87" s="18">
        <f>운전실적_원본!J87</f>
        <v>30.4</v>
      </c>
      <c r="S87" s="19">
        <f t="shared" ref="S87" si="551">IF(OR(LEN(R87)=0,R87=0),"",R87-R86)</f>
        <v>1.9999999999999574E-2</v>
      </c>
      <c r="T87" s="18">
        <f>운전실적_원본!K87</f>
        <v>29.98</v>
      </c>
      <c r="U87" s="19">
        <f t="shared" si="308"/>
        <v>3.9999999999999147E-2</v>
      </c>
      <c r="V87" s="12">
        <f>운전실적_원본!L87</f>
        <v>0</v>
      </c>
      <c r="W87" s="16" t="str">
        <f t="shared" ref="W87" si="552">IF(OR(LEN(V87)=0,V87=0),"",V87-V86)</f>
        <v/>
      </c>
      <c r="X87" s="10">
        <f>운전실적_원본!M87</f>
        <v>0</v>
      </c>
      <c r="Y87" s="10">
        <f>운전실적_원본!N87</f>
        <v>0</v>
      </c>
      <c r="Z87" s="10">
        <f>운전실적_원본!O87</f>
        <v>0</v>
      </c>
      <c r="AA87" s="10">
        <f>운전실적_원본!P87</f>
        <v>0</v>
      </c>
      <c r="AB87" s="10">
        <f>운전실적_원본!Q87</f>
        <v>0</v>
      </c>
      <c r="AC87" s="10">
        <f>운전실적_원본!R87</f>
        <v>0</v>
      </c>
      <c r="AD87" s="181">
        <f>운전실적_원본!S87</f>
        <v>0</v>
      </c>
      <c r="AE87" s="181">
        <f>운전실적_원본!T87</f>
        <v>0</v>
      </c>
      <c r="AF87" s="181">
        <f>운전실적_원본!U87</f>
        <v>0</v>
      </c>
      <c r="AG87" s="181">
        <f>운전실적_원본!V87</f>
        <v>0</v>
      </c>
      <c r="AH87" s="106">
        <f t="shared" si="462"/>
        <v>0</v>
      </c>
      <c r="AI87" s="107">
        <f t="shared" si="470"/>
        <v>0</v>
      </c>
      <c r="AJ87" s="107">
        <f t="shared" si="471"/>
        <v>0</v>
      </c>
      <c r="AK87" s="204">
        <f t="shared" si="472"/>
        <v>0</v>
      </c>
      <c r="AL87" s="103"/>
      <c r="AM87" s="103"/>
      <c r="AN87" s="103"/>
      <c r="AO87" s="103"/>
      <c r="AP87" s="103"/>
      <c r="AQ87" s="105"/>
      <c r="AR87" s="103"/>
      <c r="AS87" s="103"/>
      <c r="AT87" s="101"/>
      <c r="AU87" s="101"/>
      <c r="AV87" s="101"/>
      <c r="AW87" s="101"/>
      <c r="AX87" s="32">
        <f>운전실적_원본!W87</f>
        <v>0</v>
      </c>
      <c r="AY87" s="198">
        <f>운전실적_원본!X87</f>
        <v>0</v>
      </c>
      <c r="AZ87" s="198">
        <f>운전실적_원본!Y87</f>
        <v>0</v>
      </c>
      <c r="BA87" s="198">
        <f>운전실적_원본!Z87</f>
        <v>0</v>
      </c>
      <c r="BB87" s="198">
        <f>운전실적_원본!AA87</f>
        <v>0</v>
      </c>
      <c r="BC87" s="198">
        <f>운전실적_원본!AB87</f>
        <v>0</v>
      </c>
      <c r="BD87" s="32" t="str">
        <f t="shared" si="455"/>
        <v>-</v>
      </c>
      <c r="BE87" s="11" t="str">
        <f t="shared" si="463"/>
        <v>-</v>
      </c>
      <c r="BF87" s="11">
        <f>운전실적_원본!AE87</f>
        <v>0</v>
      </c>
      <c r="BG87" s="31">
        <f t="shared" si="456"/>
        <v>0</v>
      </c>
    </row>
    <row r="88" spans="1:59">
      <c r="A88" s="6">
        <f t="shared" si="464"/>
        <v>45740</v>
      </c>
      <c r="B88" s="15">
        <f>운전실적_원본!B88</f>
        <v>5522</v>
      </c>
      <c r="C88" s="16">
        <f t="shared" si="300"/>
        <v>0</v>
      </c>
      <c r="D88" s="9">
        <f>운전실적_원본!C88</f>
        <v>232582</v>
      </c>
      <c r="E88" s="199">
        <f t="shared" si="301"/>
        <v>40</v>
      </c>
      <c r="F88" s="9">
        <f>운전실적_원본!D88</f>
        <v>227201</v>
      </c>
      <c r="G88" s="16">
        <f t="shared" si="302"/>
        <v>0</v>
      </c>
      <c r="H88" s="15">
        <f>운전실적_원본!E88</f>
        <v>14140</v>
      </c>
      <c r="I88" s="16">
        <f t="shared" si="303"/>
        <v>5</v>
      </c>
      <c r="J88" s="15">
        <f>운전실적_원본!E88</f>
        <v>14140</v>
      </c>
      <c r="K88" s="16">
        <f t="shared" si="303"/>
        <v>5</v>
      </c>
      <c r="L88" s="15">
        <f>운전실적_원본!G88</f>
        <v>3813.2</v>
      </c>
      <c r="M88" s="31">
        <f t="shared" ref="M88" si="553">IF(OR(LEN(L88)=0,L88=0),"",L88-L87)</f>
        <v>0.6999999999998181</v>
      </c>
      <c r="N88" s="15">
        <f>운전실적_원본!H88</f>
        <v>10755</v>
      </c>
      <c r="O88" s="16">
        <f t="shared" ref="O88" si="554">IF(OR(LEN(N88)=0,N88=0),"",N88-N87)</f>
        <v>58</v>
      </c>
      <c r="P88" s="15">
        <f>운전실적_원본!I88</f>
        <v>260269</v>
      </c>
      <c r="Q88" s="16">
        <f t="shared" ref="Q88" si="555">IF(OR(LEN(P88)=0,P88=0),"",P88-P87)</f>
        <v>70</v>
      </c>
      <c r="R88" s="18">
        <f>운전실적_원본!J88</f>
        <v>30.38</v>
      </c>
      <c r="S88" s="19">
        <f t="shared" ref="S88" si="556">IF(OR(LEN(R88)=0,R88=0),"",R88-R87)</f>
        <v>-1.9999999999999574E-2</v>
      </c>
      <c r="T88" s="18">
        <f>운전실적_원본!K88</f>
        <v>29.76</v>
      </c>
      <c r="U88" s="19">
        <f t="shared" si="308"/>
        <v>-0.21999999999999886</v>
      </c>
      <c r="V88" s="12">
        <f>운전실적_원본!L88</f>
        <v>0</v>
      </c>
      <c r="W88" s="16" t="str">
        <f t="shared" ref="W88" si="557">IF(OR(LEN(V88)=0,V88=0),"",V88-V87)</f>
        <v/>
      </c>
      <c r="X88" s="10">
        <f>운전실적_원본!M88</f>
        <v>0</v>
      </c>
      <c r="Y88" s="10">
        <f>운전실적_원본!N88</f>
        <v>0</v>
      </c>
      <c r="Z88" s="10">
        <f>운전실적_원본!O88</f>
        <v>0</v>
      </c>
      <c r="AA88" s="10">
        <f>운전실적_원본!P88</f>
        <v>0</v>
      </c>
      <c r="AB88" s="10">
        <f>운전실적_원본!Q88</f>
        <v>0</v>
      </c>
      <c r="AC88" s="10">
        <f>운전실적_원본!R88</f>
        <v>0</v>
      </c>
      <c r="AD88" s="181">
        <f>운전실적_원본!S88</f>
        <v>0</v>
      </c>
      <c r="AE88" s="181">
        <f>운전실적_원본!T88</f>
        <v>0</v>
      </c>
      <c r="AF88" s="181">
        <f>운전실적_원본!U88</f>
        <v>0</v>
      </c>
      <c r="AG88" s="181">
        <f>운전실적_원본!V88</f>
        <v>0</v>
      </c>
      <c r="AH88" s="106">
        <f t="shared" si="462"/>
        <v>0</v>
      </c>
      <c r="AI88" s="107">
        <f t="shared" si="470"/>
        <v>0</v>
      </c>
      <c r="AJ88" s="107">
        <f t="shared" si="471"/>
        <v>0</v>
      </c>
      <c r="AK88" s="204">
        <f t="shared" si="472"/>
        <v>0</v>
      </c>
      <c r="AL88" s="103"/>
      <c r="AM88" s="103"/>
      <c r="AN88" s="103"/>
      <c r="AO88" s="103"/>
      <c r="AP88" s="103"/>
      <c r="AQ88" s="105"/>
      <c r="AR88" s="103"/>
      <c r="AS88" s="103"/>
      <c r="AT88" s="101"/>
      <c r="AU88" s="101"/>
      <c r="AV88" s="101"/>
      <c r="AW88" s="101"/>
      <c r="AX88" s="32">
        <f>운전실적_원본!W88</f>
        <v>0</v>
      </c>
      <c r="AY88" s="198">
        <f>운전실적_원본!X88</f>
        <v>0</v>
      </c>
      <c r="AZ88" s="198">
        <f>운전실적_원본!Y88</f>
        <v>0</v>
      </c>
      <c r="BA88" s="198">
        <f>운전실적_원본!Z88</f>
        <v>0</v>
      </c>
      <c r="BB88" s="198">
        <f>운전실적_원본!AA88</f>
        <v>0</v>
      </c>
      <c r="BC88" s="198">
        <f>운전실적_원본!AB88</f>
        <v>0</v>
      </c>
      <c r="BD88" s="32" t="str">
        <f t="shared" si="455"/>
        <v>-</v>
      </c>
      <c r="BE88" s="11" t="str">
        <f t="shared" si="463"/>
        <v>-</v>
      </c>
      <c r="BF88" s="11">
        <f>운전실적_원본!AE88</f>
        <v>0</v>
      </c>
      <c r="BG88" s="31">
        <f t="shared" si="456"/>
        <v>0</v>
      </c>
    </row>
    <row r="89" spans="1:59">
      <c r="A89" s="6">
        <f t="shared" si="464"/>
        <v>45741</v>
      </c>
      <c r="B89" s="15">
        <f>운전실적_원본!B89</f>
        <v>5531</v>
      </c>
      <c r="C89" s="16">
        <f t="shared" si="300"/>
        <v>9</v>
      </c>
      <c r="D89" s="9">
        <f>운전실적_원본!C89</f>
        <v>232661</v>
      </c>
      <c r="E89" s="199">
        <f t="shared" si="301"/>
        <v>79</v>
      </c>
      <c r="F89" s="9">
        <f>운전실적_원본!D89</f>
        <v>227255</v>
      </c>
      <c r="G89" s="16">
        <f t="shared" si="302"/>
        <v>54</v>
      </c>
      <c r="H89" s="15">
        <f>운전실적_원본!E89</f>
        <v>14145</v>
      </c>
      <c r="I89" s="16">
        <f t="shared" si="303"/>
        <v>5</v>
      </c>
      <c r="J89" s="15">
        <f>운전실적_원본!E89</f>
        <v>14145</v>
      </c>
      <c r="K89" s="16">
        <f t="shared" si="303"/>
        <v>5</v>
      </c>
      <c r="L89" s="15">
        <f>운전실적_원본!G89</f>
        <v>3813.9</v>
      </c>
      <c r="M89" s="31">
        <f t="shared" ref="M89" si="558">IF(OR(LEN(L89)=0,L89=0),"",L89-L88)</f>
        <v>0.70000000000027285</v>
      </c>
      <c r="N89" s="15">
        <f>운전실적_원본!H89</f>
        <v>10812</v>
      </c>
      <c r="O89" s="16">
        <f t="shared" ref="O89" si="559">IF(OR(LEN(N89)=0,N89=0),"",N89-N88)</f>
        <v>57</v>
      </c>
      <c r="P89" s="15">
        <f>운전실적_원본!I89</f>
        <v>260460</v>
      </c>
      <c r="Q89" s="16">
        <f t="shared" ref="Q89" si="560">IF(OR(LEN(P89)=0,P89=0),"",P89-P88)</f>
        <v>191</v>
      </c>
      <c r="R89" s="18">
        <f>운전실적_원본!J89</f>
        <v>30.14</v>
      </c>
      <c r="S89" s="19">
        <f t="shared" ref="S89" si="561">IF(OR(LEN(R89)=0,R89=0),"",R89-R88)</f>
        <v>-0.23999999999999844</v>
      </c>
      <c r="T89" s="18">
        <f>운전실적_원본!K89</f>
        <v>29.69</v>
      </c>
      <c r="U89" s="19">
        <f t="shared" si="308"/>
        <v>-7.0000000000000284E-2</v>
      </c>
      <c r="V89" s="12">
        <f>운전실적_원본!L89</f>
        <v>0</v>
      </c>
      <c r="W89" s="16" t="str">
        <f t="shared" ref="W89" si="562">IF(OR(LEN(V89)=0,V89=0),"",V89-V88)</f>
        <v/>
      </c>
      <c r="X89" s="10">
        <f>운전실적_원본!M89</f>
        <v>0</v>
      </c>
      <c r="Y89" s="10">
        <f>운전실적_원본!N89</f>
        <v>0</v>
      </c>
      <c r="Z89" s="10">
        <f>운전실적_원본!O89</f>
        <v>0</v>
      </c>
      <c r="AA89" s="10">
        <f>운전실적_원본!P89</f>
        <v>0</v>
      </c>
      <c r="AB89" s="10">
        <f>운전실적_원본!Q89</f>
        <v>0</v>
      </c>
      <c r="AC89" s="10">
        <f>운전실적_원본!R89</f>
        <v>0</v>
      </c>
      <c r="AD89" s="181">
        <f>운전실적_원본!S89</f>
        <v>0</v>
      </c>
      <c r="AE89" s="181">
        <f>운전실적_원본!T89</f>
        <v>0</v>
      </c>
      <c r="AF89" s="181">
        <f>운전실적_원본!U89</f>
        <v>0</v>
      </c>
      <c r="AG89" s="181">
        <f>운전실적_원본!V89</f>
        <v>0</v>
      </c>
      <c r="AH89" s="106">
        <f t="shared" si="462"/>
        <v>0</v>
      </c>
      <c r="AI89" s="107">
        <f t="shared" si="470"/>
        <v>0</v>
      </c>
      <c r="AJ89" s="107">
        <f t="shared" si="471"/>
        <v>0</v>
      </c>
      <c r="AK89" s="204">
        <f t="shared" si="472"/>
        <v>0</v>
      </c>
      <c r="AL89" s="103"/>
      <c r="AM89" s="103"/>
      <c r="AN89" s="103"/>
      <c r="AO89" s="103"/>
      <c r="AP89" s="103"/>
      <c r="AQ89" s="105"/>
      <c r="AR89" s="103"/>
      <c r="AS89" s="103"/>
      <c r="AT89" s="101"/>
      <c r="AU89" s="101"/>
      <c r="AV89" s="101"/>
      <c r="AW89" s="101"/>
      <c r="AX89" s="32">
        <f>운전실적_원본!W89</f>
        <v>0</v>
      </c>
      <c r="AY89" s="198">
        <f>운전실적_원본!X89</f>
        <v>0</v>
      </c>
      <c r="AZ89" s="198">
        <f>운전실적_원본!Y89</f>
        <v>0</v>
      </c>
      <c r="BA89" s="198">
        <f>운전실적_원본!Z89</f>
        <v>0</v>
      </c>
      <c r="BB89" s="198">
        <f>운전실적_원본!AA89</f>
        <v>0</v>
      </c>
      <c r="BC89" s="198">
        <f>운전실적_원본!AB89</f>
        <v>0</v>
      </c>
      <c r="BD89" s="32" t="str">
        <f t="shared" si="455"/>
        <v>-</v>
      </c>
      <c r="BE89" s="11" t="str">
        <f t="shared" si="463"/>
        <v>-</v>
      </c>
      <c r="BF89" s="11">
        <f>운전실적_원본!AE89</f>
        <v>0</v>
      </c>
      <c r="BG89" s="31">
        <f t="shared" si="456"/>
        <v>0</v>
      </c>
    </row>
    <row r="90" spans="1:59">
      <c r="A90" s="6">
        <f t="shared" si="464"/>
        <v>45742</v>
      </c>
      <c r="B90" s="15">
        <f>운전실적_원본!B90</f>
        <v>5567</v>
      </c>
      <c r="C90" s="16">
        <f t="shared" si="300"/>
        <v>36</v>
      </c>
      <c r="D90" s="9">
        <f>운전실적_원본!C90</f>
        <v>232772</v>
      </c>
      <c r="E90" s="199">
        <f t="shared" si="301"/>
        <v>111</v>
      </c>
      <c r="F90" s="9">
        <f>운전실적_원본!D90</f>
        <v>227339</v>
      </c>
      <c r="G90" s="16">
        <f t="shared" si="302"/>
        <v>84</v>
      </c>
      <c r="H90" s="15">
        <f>운전실적_원본!E90</f>
        <v>14149</v>
      </c>
      <c r="I90" s="16">
        <f t="shared" si="303"/>
        <v>4</v>
      </c>
      <c r="J90" s="15">
        <f>운전실적_원본!E90</f>
        <v>14149</v>
      </c>
      <c r="K90" s="16">
        <f t="shared" si="303"/>
        <v>4</v>
      </c>
      <c r="L90" s="15">
        <f>운전실적_원본!G90</f>
        <v>3814.6</v>
      </c>
      <c r="M90" s="31">
        <f t="shared" ref="M90" si="563">IF(OR(LEN(L90)=0,L90=0),"",L90-L89)</f>
        <v>0.6999999999998181</v>
      </c>
      <c r="N90" s="15">
        <f>운전실적_원본!H90</f>
        <v>10859</v>
      </c>
      <c r="O90" s="16">
        <f t="shared" ref="O90" si="564">IF(OR(LEN(N90)=0,N90=0),"",N90-N89)</f>
        <v>47</v>
      </c>
      <c r="P90" s="15">
        <f>운전실적_원본!I90</f>
        <v>260784</v>
      </c>
      <c r="Q90" s="16">
        <f t="shared" ref="Q90" si="565">IF(OR(LEN(P90)=0,P90=0),"",P90-P89)</f>
        <v>324</v>
      </c>
      <c r="R90" s="18">
        <f>운전실적_원본!J90</f>
        <v>30.32</v>
      </c>
      <c r="S90" s="19">
        <f t="shared" ref="S90" si="566">IF(OR(LEN(R90)=0,R90=0),"",R90-R89)</f>
        <v>0.17999999999999972</v>
      </c>
      <c r="T90" s="18">
        <f>운전실적_원본!K90</f>
        <v>29.78</v>
      </c>
      <c r="U90" s="19">
        <f t="shared" si="308"/>
        <v>8.9999999999999858E-2</v>
      </c>
      <c r="V90" s="12">
        <f>운전실적_원본!L90</f>
        <v>0</v>
      </c>
      <c r="W90" s="16" t="str">
        <f t="shared" ref="W90" si="567">IF(OR(LEN(V90)=0,V90=0),"",V90-V89)</f>
        <v/>
      </c>
      <c r="X90" s="10">
        <f>운전실적_원본!M90</f>
        <v>0</v>
      </c>
      <c r="Y90" s="10">
        <f>운전실적_원본!N90</f>
        <v>0</v>
      </c>
      <c r="Z90" s="10">
        <f>운전실적_원본!O90</f>
        <v>0</v>
      </c>
      <c r="AA90" s="10">
        <f>운전실적_원본!P90</f>
        <v>0</v>
      </c>
      <c r="AB90" s="10">
        <f>운전실적_원본!Q90</f>
        <v>0</v>
      </c>
      <c r="AC90" s="10">
        <f>운전실적_원본!R90</f>
        <v>0</v>
      </c>
      <c r="AD90" s="181">
        <f>운전실적_원본!S90</f>
        <v>0</v>
      </c>
      <c r="AE90" s="181">
        <f>운전실적_원본!T90</f>
        <v>0</v>
      </c>
      <c r="AF90" s="181">
        <f>운전실적_원본!U90</f>
        <v>0</v>
      </c>
      <c r="AG90" s="181">
        <f>운전실적_원본!V90</f>
        <v>0</v>
      </c>
      <c r="AH90" s="106">
        <f t="shared" si="462"/>
        <v>0</v>
      </c>
      <c r="AI90" s="107">
        <f t="shared" si="470"/>
        <v>0</v>
      </c>
      <c r="AJ90" s="107">
        <f t="shared" si="471"/>
        <v>0</v>
      </c>
      <c r="AK90" s="204">
        <f t="shared" si="472"/>
        <v>0</v>
      </c>
      <c r="AL90" s="103"/>
      <c r="AM90" s="103"/>
      <c r="AN90" s="103"/>
      <c r="AO90" s="103"/>
      <c r="AP90" s="103"/>
      <c r="AQ90" s="105"/>
      <c r="AR90" s="103"/>
      <c r="AS90" s="103"/>
      <c r="AT90" s="101"/>
      <c r="AU90" s="101"/>
      <c r="AV90" s="101"/>
      <c r="AW90" s="101"/>
      <c r="AX90" s="32">
        <f>운전실적_원본!W90</f>
        <v>0</v>
      </c>
      <c r="AY90" s="198">
        <f>운전실적_원본!X90</f>
        <v>0</v>
      </c>
      <c r="AZ90" s="198">
        <f>운전실적_원본!Y90</f>
        <v>0</v>
      </c>
      <c r="BA90" s="198">
        <f>운전실적_원본!Z90</f>
        <v>0</v>
      </c>
      <c r="BB90" s="198">
        <f>운전실적_원본!AA90</f>
        <v>0</v>
      </c>
      <c r="BC90" s="198">
        <f>운전실적_원본!AB90</f>
        <v>0</v>
      </c>
      <c r="BD90" s="32" t="str">
        <f t="shared" si="455"/>
        <v>-</v>
      </c>
      <c r="BE90" s="11" t="str">
        <f t="shared" si="463"/>
        <v>-</v>
      </c>
      <c r="BF90" s="11">
        <f>운전실적_원본!AE90</f>
        <v>0</v>
      </c>
      <c r="BG90" s="31">
        <f t="shared" si="456"/>
        <v>0</v>
      </c>
    </row>
    <row r="91" spans="1:59">
      <c r="A91" s="6">
        <f t="shared" si="464"/>
        <v>45743</v>
      </c>
      <c r="B91" s="15">
        <f>운전실적_원본!B91</f>
        <v>5599</v>
      </c>
      <c r="C91" s="16">
        <f t="shared" si="300"/>
        <v>32</v>
      </c>
      <c r="D91" s="9">
        <f>운전실적_원본!C91</f>
        <v>232829</v>
      </c>
      <c r="E91" s="199">
        <f t="shared" si="301"/>
        <v>57</v>
      </c>
      <c r="F91" s="9">
        <f>운전실적_원본!D91</f>
        <v>227446</v>
      </c>
      <c r="G91" s="16">
        <f t="shared" si="302"/>
        <v>107</v>
      </c>
      <c r="H91" s="15">
        <f>운전실적_원본!E91</f>
        <v>14154</v>
      </c>
      <c r="I91" s="16">
        <f t="shared" si="303"/>
        <v>5</v>
      </c>
      <c r="J91" s="15">
        <f>운전실적_원본!E91</f>
        <v>14154</v>
      </c>
      <c r="K91" s="16">
        <f t="shared" si="303"/>
        <v>5</v>
      </c>
      <c r="L91" s="15">
        <f>운전실적_원본!G91</f>
        <v>3815.5</v>
      </c>
      <c r="M91" s="31">
        <f t="shared" ref="M91" si="568">IF(OR(LEN(L91)=0,L91=0),"",L91-L90)</f>
        <v>0.90000000000009095</v>
      </c>
      <c r="N91" s="15">
        <f>운전실적_원본!H91</f>
        <v>10859</v>
      </c>
      <c r="O91" s="16">
        <f t="shared" ref="O91" si="569">IF(OR(LEN(N91)=0,N91=0),"",N91-N90)</f>
        <v>0</v>
      </c>
      <c r="P91" s="15">
        <f>운전실적_원본!I91</f>
        <v>260999</v>
      </c>
      <c r="Q91" s="16">
        <f t="shared" ref="Q91" si="570">IF(OR(LEN(P91)=0,P91=0),"",P91-P90)</f>
        <v>215</v>
      </c>
      <c r="R91" s="18">
        <f>운전실적_원본!J91</f>
        <v>30.33</v>
      </c>
      <c r="S91" s="19">
        <f t="shared" ref="S91" si="571">IF(OR(LEN(R91)=0,R91=0),"",R91-R90)</f>
        <v>9.9999999999980105E-3</v>
      </c>
      <c r="T91" s="18">
        <f>운전실적_원본!K91</f>
        <v>29.89</v>
      </c>
      <c r="U91" s="19">
        <f t="shared" si="308"/>
        <v>0.10999999999999943</v>
      </c>
      <c r="V91" s="12">
        <f>운전실적_원본!L91</f>
        <v>0</v>
      </c>
      <c r="W91" s="16" t="str">
        <f t="shared" ref="W91" si="572">IF(OR(LEN(V91)=0,V91=0),"",V91-V90)</f>
        <v/>
      </c>
      <c r="X91" s="10">
        <f>운전실적_원본!M91</f>
        <v>0</v>
      </c>
      <c r="Y91" s="10">
        <f>운전실적_원본!N91</f>
        <v>0</v>
      </c>
      <c r="Z91" s="10">
        <f>운전실적_원본!O91</f>
        <v>0</v>
      </c>
      <c r="AA91" s="10">
        <f>운전실적_원본!P91</f>
        <v>0</v>
      </c>
      <c r="AB91" s="10">
        <f>운전실적_원본!Q91</f>
        <v>0</v>
      </c>
      <c r="AC91" s="10">
        <f>운전실적_원본!R91</f>
        <v>0</v>
      </c>
      <c r="AD91" s="181">
        <f>운전실적_원본!S91</f>
        <v>0</v>
      </c>
      <c r="AE91" s="181">
        <f>운전실적_원본!T91</f>
        <v>0</v>
      </c>
      <c r="AF91" s="181">
        <f>운전실적_원본!U91</f>
        <v>0</v>
      </c>
      <c r="AG91" s="181">
        <f>운전실적_원본!V91</f>
        <v>0</v>
      </c>
      <c r="AH91" s="106">
        <f t="shared" si="462"/>
        <v>0</v>
      </c>
      <c r="AI91" s="107">
        <f t="shared" si="470"/>
        <v>0</v>
      </c>
      <c r="AJ91" s="107">
        <f t="shared" si="471"/>
        <v>0</v>
      </c>
      <c r="AK91" s="204">
        <f t="shared" si="472"/>
        <v>0</v>
      </c>
      <c r="AL91" s="103"/>
      <c r="AM91" s="103"/>
      <c r="AN91" s="103"/>
      <c r="AO91" s="103"/>
      <c r="AP91" s="103"/>
      <c r="AQ91" s="105"/>
      <c r="AR91" s="103"/>
      <c r="AS91" s="103"/>
      <c r="AT91" s="101"/>
      <c r="AU91" s="101"/>
      <c r="AV91" s="101"/>
      <c r="AW91" s="101"/>
      <c r="AX91" s="32">
        <f>운전실적_원본!W91</f>
        <v>0</v>
      </c>
      <c r="AY91" s="198">
        <f>운전실적_원본!X91</f>
        <v>0</v>
      </c>
      <c r="AZ91" s="198">
        <f>운전실적_원본!Y91</f>
        <v>0</v>
      </c>
      <c r="BA91" s="198">
        <f>운전실적_원본!Z91</f>
        <v>0</v>
      </c>
      <c r="BB91" s="198">
        <f>운전실적_원본!AA91</f>
        <v>0</v>
      </c>
      <c r="BC91" s="198">
        <f>운전실적_원본!AB91</f>
        <v>0</v>
      </c>
      <c r="BD91" s="32" t="str">
        <f t="shared" si="455"/>
        <v>-</v>
      </c>
      <c r="BE91" s="11" t="str">
        <f t="shared" si="463"/>
        <v>-</v>
      </c>
      <c r="BF91" s="11">
        <f>운전실적_원본!AE91</f>
        <v>0</v>
      </c>
      <c r="BG91" s="31">
        <f t="shared" si="456"/>
        <v>0</v>
      </c>
    </row>
    <row r="92" spans="1:59">
      <c r="A92" s="6">
        <f t="shared" si="464"/>
        <v>45744</v>
      </c>
      <c r="B92" s="15">
        <f>운전실적_원본!B92</f>
        <v>5628</v>
      </c>
      <c r="C92" s="16">
        <f t="shared" si="300"/>
        <v>29</v>
      </c>
      <c r="D92" s="9">
        <f>운전실적_원본!C92</f>
        <v>233003</v>
      </c>
      <c r="E92" s="199">
        <f t="shared" si="301"/>
        <v>174</v>
      </c>
      <c r="F92" s="9">
        <f>운전실적_원본!D92</f>
        <v>227467</v>
      </c>
      <c r="G92" s="16">
        <f t="shared" si="302"/>
        <v>21</v>
      </c>
      <c r="H92" s="15">
        <f>운전실적_원본!E92</f>
        <v>14159</v>
      </c>
      <c r="I92" s="16">
        <f t="shared" si="303"/>
        <v>5</v>
      </c>
      <c r="J92" s="15">
        <f>운전실적_원본!E92</f>
        <v>14159</v>
      </c>
      <c r="K92" s="16">
        <f t="shared" si="303"/>
        <v>5</v>
      </c>
      <c r="L92" s="15">
        <f>운전실적_원본!G92</f>
        <v>3816.6</v>
      </c>
      <c r="M92" s="31">
        <f t="shared" ref="M92" si="573">IF(OR(LEN(L92)=0,L92=0),"",L92-L91)</f>
        <v>1.0999999999999091</v>
      </c>
      <c r="N92" s="15">
        <f>운전실적_원본!H92</f>
        <v>10978</v>
      </c>
      <c r="O92" s="16">
        <f t="shared" ref="O92" si="574">IF(OR(LEN(N92)=0,N92=0),"",N92-N91)</f>
        <v>119</v>
      </c>
      <c r="P92" s="15">
        <f>운전실적_원본!I92</f>
        <v>261199</v>
      </c>
      <c r="Q92" s="16">
        <f t="shared" ref="Q92" si="575">IF(OR(LEN(P92)=0,P92=0),"",P92-P91)</f>
        <v>200</v>
      </c>
      <c r="R92" s="18">
        <f>운전실적_원본!J92</f>
        <v>30.67</v>
      </c>
      <c r="S92" s="19">
        <f t="shared" ref="S92" si="576">IF(OR(LEN(R92)=0,R92=0),"",R92-R91)</f>
        <v>0.34000000000000341</v>
      </c>
      <c r="T92" s="18">
        <f>운전실적_원본!K92</f>
        <v>30.04</v>
      </c>
      <c r="U92" s="19">
        <f t="shared" si="308"/>
        <v>0.14999999999999858</v>
      </c>
      <c r="V92" s="12">
        <f>운전실적_원본!L92</f>
        <v>0</v>
      </c>
      <c r="W92" s="16" t="str">
        <f t="shared" ref="W92" si="577">IF(OR(LEN(V92)=0,V92=0),"",V92-V91)</f>
        <v/>
      </c>
      <c r="X92" s="10">
        <f>운전실적_원본!M92</f>
        <v>87925.3</v>
      </c>
      <c r="Y92" s="10">
        <f>운전실적_원본!N92</f>
        <v>0</v>
      </c>
      <c r="Z92" s="10">
        <f>운전실적_원본!O92</f>
        <v>0</v>
      </c>
      <c r="AA92" s="10">
        <f>운전실적_원본!P92</f>
        <v>0</v>
      </c>
      <c r="AB92" s="10">
        <f>운전실적_원본!Q92</f>
        <v>0</v>
      </c>
      <c r="AC92" s="10">
        <f>운전실적_원본!R92</f>
        <v>0</v>
      </c>
      <c r="AD92" s="181">
        <f>운전실적_원본!S92</f>
        <v>21</v>
      </c>
      <c r="AE92" s="181">
        <f>운전실적_원본!T92</f>
        <v>0</v>
      </c>
      <c r="AF92" s="181">
        <f>운전실적_원본!U92</f>
        <v>0</v>
      </c>
      <c r="AG92" s="181">
        <f>운전실적_원본!V92</f>
        <v>0</v>
      </c>
      <c r="AH92" s="106">
        <f t="shared" si="462"/>
        <v>20.499999999941792</v>
      </c>
      <c r="AI92" s="107">
        <f t="shared" si="470"/>
        <v>0</v>
      </c>
      <c r="AJ92" s="107">
        <f t="shared" si="471"/>
        <v>0</v>
      </c>
      <c r="AK92" s="204">
        <f t="shared" si="472"/>
        <v>0</v>
      </c>
      <c r="AL92" s="103">
        <v>45744.145833333336</v>
      </c>
      <c r="AM92" s="103">
        <v>45745</v>
      </c>
      <c r="AN92" s="103"/>
      <c r="AO92" s="103"/>
      <c r="AP92" s="103"/>
      <c r="AQ92" s="105"/>
      <c r="AR92" s="103"/>
      <c r="AS92" s="103"/>
      <c r="AT92" s="101"/>
      <c r="AU92" s="101"/>
      <c r="AV92" s="101"/>
      <c r="AW92" s="101"/>
      <c r="AX92" s="32">
        <f>운전실적_원본!W92</f>
        <v>545</v>
      </c>
      <c r="AY92" s="198">
        <f>운전실적_원본!X92</f>
        <v>0</v>
      </c>
      <c r="AZ92" s="198">
        <f>운전실적_원본!Y92</f>
        <v>0</v>
      </c>
      <c r="BA92" s="198">
        <f>운전실적_원본!Z92</f>
        <v>0</v>
      </c>
      <c r="BB92" s="198">
        <f>운전실적_원본!AA92</f>
        <v>0</v>
      </c>
      <c r="BC92" s="198">
        <f>운전실적_원본!AB92</f>
        <v>545</v>
      </c>
      <c r="BD92" s="32">
        <f t="shared" si="455"/>
        <v>25.952380952380953</v>
      </c>
      <c r="BE92" s="11">
        <f t="shared" si="463"/>
        <v>0.50500838591906894</v>
      </c>
      <c r="BF92" s="11">
        <f>운전실적_원본!AE92</f>
        <v>0</v>
      </c>
      <c r="BG92" s="31">
        <f t="shared" si="456"/>
        <v>0</v>
      </c>
    </row>
    <row r="93" spans="1:59">
      <c r="A93" s="6">
        <f t="shared" si="464"/>
        <v>45745</v>
      </c>
      <c r="B93" s="15">
        <f>운전실적_원본!B93</f>
        <v>5645</v>
      </c>
      <c r="C93" s="16">
        <f t="shared" si="300"/>
        <v>17</v>
      </c>
      <c r="D93" s="9">
        <f>운전실적_원본!C93</f>
        <v>233070</v>
      </c>
      <c r="E93" s="199">
        <f t="shared" si="301"/>
        <v>67</v>
      </c>
      <c r="F93" s="9">
        <f>운전실적_원본!D93</f>
        <v>227517</v>
      </c>
      <c r="G93" s="16">
        <f t="shared" si="302"/>
        <v>50</v>
      </c>
      <c r="H93" s="15">
        <f>운전실적_원본!E93</f>
        <v>14162</v>
      </c>
      <c r="I93" s="16">
        <f t="shared" si="303"/>
        <v>3</v>
      </c>
      <c r="J93" s="15">
        <f>운전실적_원본!E93</f>
        <v>14162</v>
      </c>
      <c r="K93" s="16">
        <f t="shared" si="303"/>
        <v>3</v>
      </c>
      <c r="L93" s="15">
        <f>운전실적_원본!G93</f>
        <v>3817.9</v>
      </c>
      <c r="M93" s="31">
        <f t="shared" ref="M93" si="578">IF(OR(LEN(L93)=0,L93=0),"",L93-L92)</f>
        <v>1.3000000000001819</v>
      </c>
      <c r="N93" s="15">
        <f>운전실적_원본!H93</f>
        <v>11097</v>
      </c>
      <c r="O93" s="16">
        <f t="shared" ref="O93" si="579">IF(OR(LEN(N93)=0,N93=0),"",N93-N92)</f>
        <v>119</v>
      </c>
      <c r="P93" s="15">
        <f>운전실적_원본!I93</f>
        <v>261405</v>
      </c>
      <c r="Q93" s="16">
        <f t="shared" ref="Q93" si="580">IF(OR(LEN(P93)=0,P93=0),"",P93-P92)</f>
        <v>206</v>
      </c>
      <c r="R93" s="18">
        <f>운전실적_원본!J93</f>
        <v>30.23</v>
      </c>
      <c r="S93" s="19">
        <f t="shared" ref="S93" si="581">IF(OR(LEN(R93)=0,R93=0),"",R93-R92)</f>
        <v>-0.44000000000000128</v>
      </c>
      <c r="T93" s="18">
        <f>운전실적_원본!K93</f>
        <v>29.97</v>
      </c>
      <c r="U93" s="19">
        <f t="shared" si="308"/>
        <v>-7.0000000000000284E-2</v>
      </c>
      <c r="V93" s="12">
        <f>운전실적_원본!L93</f>
        <v>0</v>
      </c>
      <c r="W93" s="16" t="str">
        <f t="shared" ref="W93" si="582">IF(OR(LEN(V93)=0,V93=0),"",V93-V92)</f>
        <v/>
      </c>
      <c r="X93" s="10">
        <f>운전실적_원본!M93</f>
        <v>41914</v>
      </c>
      <c r="Y93" s="10">
        <f>운전실적_원본!N93</f>
        <v>0</v>
      </c>
      <c r="Z93" s="10">
        <f>운전실적_원본!O93</f>
        <v>0</v>
      </c>
      <c r="AA93" s="10">
        <f>운전실적_원본!P93</f>
        <v>0</v>
      </c>
      <c r="AB93" s="10">
        <f>운전실적_원본!Q93</f>
        <v>0</v>
      </c>
      <c r="AC93" s="10">
        <f>운전실적_원본!R93</f>
        <v>0</v>
      </c>
      <c r="AD93" s="181">
        <f>운전실적_원본!S93</f>
        <v>7</v>
      </c>
      <c r="AE93" s="181">
        <f>운전실적_원본!T93</f>
        <v>0</v>
      </c>
      <c r="AF93" s="181">
        <f>운전실적_원본!U93</f>
        <v>0</v>
      </c>
      <c r="AG93" s="181">
        <f>운전실적_원본!V93</f>
        <v>0</v>
      </c>
      <c r="AH93" s="106">
        <f t="shared" si="462"/>
        <v>6.5000000000582077</v>
      </c>
      <c r="AI93" s="107">
        <f t="shared" si="470"/>
        <v>0</v>
      </c>
      <c r="AJ93" s="107">
        <f t="shared" si="471"/>
        <v>0</v>
      </c>
      <c r="AK93" s="204">
        <f t="shared" si="472"/>
        <v>0</v>
      </c>
      <c r="AL93" s="103">
        <v>45745.729166666664</v>
      </c>
      <c r="AM93" s="103">
        <f>AL94</f>
        <v>45746</v>
      </c>
      <c r="AN93" s="103"/>
      <c r="AO93" s="103"/>
      <c r="AP93" s="103"/>
      <c r="AQ93" s="105"/>
      <c r="AR93" s="103"/>
      <c r="AS93" s="103"/>
      <c r="AT93" s="101"/>
      <c r="AU93" s="101"/>
      <c r="AV93" s="101"/>
      <c r="AW93" s="101"/>
      <c r="AX93" s="32">
        <f>운전실적_원본!W93</f>
        <v>264</v>
      </c>
      <c r="AY93" s="198">
        <f>운전실적_원본!X93</f>
        <v>0</v>
      </c>
      <c r="AZ93" s="198">
        <f>운전실적_원본!Y93</f>
        <v>0</v>
      </c>
      <c r="BA93" s="198">
        <f>운전실적_원본!Z93</f>
        <v>0</v>
      </c>
      <c r="BB93" s="198">
        <f>운전실적_원본!AA93</f>
        <v>0</v>
      </c>
      <c r="BC93" s="198">
        <f>운전실적_원본!AB93</f>
        <v>264</v>
      </c>
      <c r="BD93" s="32">
        <f t="shared" si="455"/>
        <v>37.714285714285715</v>
      </c>
      <c r="BE93" s="11">
        <f t="shared" si="463"/>
        <v>0.7338837461429405</v>
      </c>
      <c r="BF93" s="11">
        <f>운전실적_원본!AE93</f>
        <v>0</v>
      </c>
      <c r="BG93" s="31">
        <f t="shared" si="456"/>
        <v>0</v>
      </c>
    </row>
    <row r="94" spans="1:59">
      <c r="A94" s="6">
        <f t="shared" si="464"/>
        <v>45746</v>
      </c>
      <c r="B94" s="15">
        <f>운전실적_원본!B94</f>
        <v>5660</v>
      </c>
      <c r="C94" s="16">
        <f t="shared" si="300"/>
        <v>15</v>
      </c>
      <c r="D94" s="9">
        <f>운전실적_원본!C94</f>
        <v>233108</v>
      </c>
      <c r="E94" s="199">
        <f t="shared" si="301"/>
        <v>38</v>
      </c>
      <c r="F94" s="9">
        <f>운전실적_원본!D94</f>
        <v>227528</v>
      </c>
      <c r="G94" s="16">
        <f t="shared" si="302"/>
        <v>11</v>
      </c>
      <c r="H94" s="15">
        <f>운전실적_원본!E94</f>
        <v>14166</v>
      </c>
      <c r="I94" s="16">
        <f t="shared" si="303"/>
        <v>4</v>
      </c>
      <c r="J94" s="15">
        <f>운전실적_원본!E94</f>
        <v>14166</v>
      </c>
      <c r="K94" s="16">
        <f t="shared" si="303"/>
        <v>4</v>
      </c>
      <c r="L94" s="15">
        <f>운전실적_원본!G94</f>
        <v>3818.6</v>
      </c>
      <c r="M94" s="31">
        <f t="shared" ref="M94" si="583">IF(OR(LEN(L94)=0,L94=0),"",L94-L93)</f>
        <v>0.6999999999998181</v>
      </c>
      <c r="N94" s="15">
        <f>운전실적_원본!H94</f>
        <v>11217</v>
      </c>
      <c r="O94" s="16">
        <f t="shared" ref="O94" si="584">IF(OR(LEN(N94)=0,N94=0),"",N94-N93)</f>
        <v>120</v>
      </c>
      <c r="P94" s="15">
        <f>운전실적_원본!I94</f>
        <v>261548</v>
      </c>
      <c r="Q94" s="16">
        <f t="shared" ref="Q94" si="585">IF(OR(LEN(P94)=0,P94=0),"",P94-P93)</f>
        <v>143</v>
      </c>
      <c r="R94" s="18">
        <f>운전실적_원본!J94</f>
        <v>30.21</v>
      </c>
      <c r="S94" s="19">
        <f t="shared" ref="S94" si="586">IF(OR(LEN(R94)=0,R94=0),"",R94-R93)</f>
        <v>-1.9999999999999574E-2</v>
      </c>
      <c r="T94" s="18">
        <f>운전실적_원본!K94</f>
        <v>29.86</v>
      </c>
      <c r="U94" s="19">
        <f t="shared" si="308"/>
        <v>-0.10999999999999943</v>
      </c>
      <c r="V94" s="12">
        <f>운전실적_원본!L94</f>
        <v>0</v>
      </c>
      <c r="W94" s="16" t="str">
        <f t="shared" ref="W94" si="587">IF(OR(LEN(V94)=0,V94=0),"",V94-V93)</f>
        <v/>
      </c>
      <c r="X94" s="10">
        <f>운전실적_원본!M94</f>
        <v>62345.9</v>
      </c>
      <c r="Y94" s="10">
        <f>운전실적_원본!N94</f>
        <v>0</v>
      </c>
      <c r="Z94" s="10">
        <f>운전실적_원본!O94</f>
        <v>0</v>
      </c>
      <c r="AA94" s="10">
        <f>운전실적_원본!P94</f>
        <v>0</v>
      </c>
      <c r="AB94" s="10">
        <f>운전실적_원본!Q94</f>
        <v>0</v>
      </c>
      <c r="AC94" s="10">
        <f>운전실적_원본!R94</f>
        <v>0</v>
      </c>
      <c r="AD94" s="181">
        <f>운전실적_원본!S94</f>
        <v>8</v>
      </c>
      <c r="AE94" s="181">
        <f>운전실적_원본!T94</f>
        <v>0</v>
      </c>
      <c r="AF94" s="181">
        <f>운전실적_원본!U94</f>
        <v>0</v>
      </c>
      <c r="AG94" s="181">
        <f>운전실적_원본!V94</f>
        <v>0</v>
      </c>
      <c r="AH94" s="106">
        <f t="shared" si="462"/>
        <v>9</v>
      </c>
      <c r="AI94" s="107">
        <f t="shared" si="470"/>
        <v>0</v>
      </c>
      <c r="AJ94" s="107">
        <f t="shared" si="471"/>
        <v>0</v>
      </c>
      <c r="AK94" s="204">
        <f t="shared" si="472"/>
        <v>0</v>
      </c>
      <c r="AL94" s="103">
        <v>45746</v>
      </c>
      <c r="AM94" s="103">
        <v>45746.041666666664</v>
      </c>
      <c r="AN94" s="103">
        <v>45746.666666666664</v>
      </c>
      <c r="AO94" s="103">
        <v>45747</v>
      </c>
      <c r="AP94" s="103"/>
      <c r="AQ94" s="105"/>
      <c r="AR94" s="103"/>
      <c r="AS94" s="103"/>
      <c r="AT94" s="101"/>
      <c r="AU94" s="101"/>
      <c r="AV94" s="101"/>
      <c r="AW94" s="101"/>
      <c r="AX94" s="32">
        <f>운전실적_원본!W94</f>
        <v>387</v>
      </c>
      <c r="AY94" s="198">
        <f>운전실적_원본!X94</f>
        <v>0</v>
      </c>
      <c r="AZ94" s="198">
        <f>운전실적_원본!Y94</f>
        <v>0</v>
      </c>
      <c r="BA94" s="198">
        <f>운전실적_원본!Z94</f>
        <v>0</v>
      </c>
      <c r="BB94" s="198">
        <f>운전실적_원본!AA94</f>
        <v>0</v>
      </c>
      <c r="BC94" s="198">
        <f>운전실적_원본!AB94</f>
        <v>387</v>
      </c>
      <c r="BD94" s="32">
        <f t="shared" si="455"/>
        <v>48.375</v>
      </c>
      <c r="BE94" s="11">
        <f t="shared" si="463"/>
        <v>0.94133099824868649</v>
      </c>
      <c r="BF94" s="11">
        <f>운전실적_원본!AE94</f>
        <v>0</v>
      </c>
      <c r="BG94" s="31">
        <f t="shared" si="456"/>
        <v>0</v>
      </c>
    </row>
    <row r="95" spans="1:59" s="197" customFormat="1">
      <c r="A95" s="205">
        <f t="shared" si="464"/>
        <v>45747</v>
      </c>
      <c r="B95" s="182">
        <f>운전실적_원본!B95</f>
        <v>5675</v>
      </c>
      <c r="C95" s="183">
        <f t="shared" si="300"/>
        <v>15</v>
      </c>
      <c r="D95" s="184">
        <f>운전실적_원본!C95</f>
        <v>233185</v>
      </c>
      <c r="E95" s="202">
        <f t="shared" si="301"/>
        <v>77</v>
      </c>
      <c r="F95" s="184">
        <f>운전실적_원본!D95</f>
        <v>227565</v>
      </c>
      <c r="G95" s="183">
        <f t="shared" si="302"/>
        <v>37</v>
      </c>
      <c r="H95" s="182">
        <f>운전실적_원본!E95</f>
        <v>14168</v>
      </c>
      <c r="I95" s="183">
        <f t="shared" si="303"/>
        <v>2</v>
      </c>
      <c r="J95" s="182">
        <f>운전실적_원본!E95</f>
        <v>14168</v>
      </c>
      <c r="K95" s="183">
        <f t="shared" si="303"/>
        <v>2</v>
      </c>
      <c r="L95" s="182">
        <f>운전실적_원본!G95</f>
        <v>3819.5</v>
      </c>
      <c r="M95" s="185">
        <f t="shared" ref="M95" si="588">IF(OR(LEN(L95)=0,L95=0),"",L95-L94)</f>
        <v>0.90000000000009095</v>
      </c>
      <c r="N95" s="182">
        <f>운전실적_원본!H95</f>
        <v>11322</v>
      </c>
      <c r="O95" s="183">
        <f t="shared" ref="O95" si="589">IF(OR(LEN(N95)=0,N95=0),"",N95-N94)</f>
        <v>105</v>
      </c>
      <c r="P95" s="182">
        <f>운전실적_원본!I95</f>
        <v>261942</v>
      </c>
      <c r="Q95" s="183">
        <f t="shared" ref="Q95" si="590">IF(OR(LEN(P95)=0,P95=0),"",P95-P94)</f>
        <v>394</v>
      </c>
      <c r="R95" s="186">
        <f>운전실적_원본!J95</f>
        <v>30.37</v>
      </c>
      <c r="S95" s="187">
        <f t="shared" ref="S95" si="591">IF(OR(LEN(R95)=0,R95=0),"",R95-R94)</f>
        <v>0.16000000000000014</v>
      </c>
      <c r="T95" s="186">
        <f>운전실적_원본!K95</f>
        <v>29.85</v>
      </c>
      <c r="U95" s="187">
        <f t="shared" si="308"/>
        <v>-9.9999999999980105E-3</v>
      </c>
      <c r="V95" s="184">
        <f>운전실적_원본!L95</f>
        <v>0</v>
      </c>
      <c r="W95" s="183" t="str">
        <f t="shared" ref="W95" si="592">IF(OR(LEN(V95)=0,V95=0),"",V95-V94)</f>
        <v/>
      </c>
      <c r="X95" s="188">
        <f>운전실적_원본!M95</f>
        <v>122980.100000006</v>
      </c>
      <c r="Y95" s="188">
        <f>운전실적_원본!N95</f>
        <v>403</v>
      </c>
      <c r="Z95" s="188">
        <f>운전실적_원본!O95</f>
        <v>0</v>
      </c>
      <c r="AA95" s="188">
        <f>운전실적_원본!P95</f>
        <v>0</v>
      </c>
      <c r="AB95" s="188">
        <f>운전실적_원본!Q95</f>
        <v>0</v>
      </c>
      <c r="AC95" s="188">
        <f>운전실적_원본!R95</f>
        <v>403</v>
      </c>
      <c r="AD95" s="189">
        <f>운전실적_원본!S95</f>
        <v>16</v>
      </c>
      <c r="AE95" s="189">
        <f>운전실적_원본!T95</f>
        <v>0</v>
      </c>
      <c r="AF95" s="189">
        <f>운전실적_원본!U95</f>
        <v>0</v>
      </c>
      <c r="AG95" s="189">
        <f>운전실적_원본!V95</f>
        <v>0</v>
      </c>
      <c r="AH95" s="190">
        <f t="shared" si="462"/>
        <v>15.833333333430346</v>
      </c>
      <c r="AI95" s="191">
        <f t="shared" si="470"/>
        <v>0</v>
      </c>
      <c r="AJ95" s="191">
        <f t="shared" si="471"/>
        <v>0</v>
      </c>
      <c r="AK95" s="206">
        <f t="shared" si="472"/>
        <v>0</v>
      </c>
      <c r="AL95" s="192">
        <v>45747.298611111109</v>
      </c>
      <c r="AM95" s="192">
        <v>45747.958333333336</v>
      </c>
      <c r="AN95" s="192"/>
      <c r="AO95" s="192"/>
      <c r="AP95" s="192"/>
      <c r="AQ95" s="193"/>
      <c r="AR95" s="192"/>
      <c r="AS95" s="192"/>
      <c r="AT95" s="194"/>
      <c r="AU95" s="194"/>
      <c r="AV95" s="194"/>
      <c r="AW95" s="194"/>
      <c r="AX95" s="195">
        <f>운전실적_원본!W95</f>
        <v>779</v>
      </c>
      <c r="AY95" s="196">
        <f>운전실적_원본!X95</f>
        <v>0</v>
      </c>
      <c r="AZ95" s="196">
        <f>운전실적_원본!Y95</f>
        <v>0</v>
      </c>
      <c r="BA95" s="196">
        <f>운전실적_원본!Z95</f>
        <v>0</v>
      </c>
      <c r="BB95" s="196">
        <f>운전실적_원본!AA95</f>
        <v>0</v>
      </c>
      <c r="BC95" s="185">
        <f>운전실적_원본!AB95</f>
        <v>779</v>
      </c>
      <c r="BD95" s="195">
        <f t="shared" si="455"/>
        <v>48.6875</v>
      </c>
      <c r="BE95" s="196">
        <f t="shared" si="463"/>
        <v>0.94741194784977623</v>
      </c>
      <c r="BF95" s="196">
        <f>운전실적_원본!AE95</f>
        <v>0</v>
      </c>
      <c r="BG95" s="185">
        <f t="shared" si="456"/>
        <v>0</v>
      </c>
    </row>
    <row r="96" spans="1:59">
      <c r="A96" s="6">
        <f t="shared" si="464"/>
        <v>45748</v>
      </c>
      <c r="B96" s="15">
        <f>운전실적_원본!B96</f>
        <v>5685</v>
      </c>
      <c r="C96" s="16">
        <f t="shared" si="300"/>
        <v>10</v>
      </c>
      <c r="D96" s="9">
        <f>운전실적_원본!C96</f>
        <v>233275</v>
      </c>
      <c r="E96" s="199">
        <f t="shared" si="301"/>
        <v>90</v>
      </c>
      <c r="F96" s="9">
        <f>운전실적_원본!D96</f>
        <v>227601</v>
      </c>
      <c r="G96" s="16">
        <f t="shared" si="302"/>
        <v>36</v>
      </c>
      <c r="H96" s="15">
        <f>운전실적_원본!E96</f>
        <v>14174</v>
      </c>
      <c r="I96" s="16">
        <f t="shared" si="303"/>
        <v>6</v>
      </c>
      <c r="J96" s="15">
        <f>운전실적_원본!E96</f>
        <v>14174</v>
      </c>
      <c r="K96" s="16">
        <f t="shared" si="303"/>
        <v>6</v>
      </c>
      <c r="L96" s="15">
        <f>운전실적_원본!G96</f>
        <v>3820.4</v>
      </c>
      <c r="M96" s="31">
        <f t="shared" ref="M96" si="593">IF(OR(LEN(L96)=0,L96=0),"",L96-L95)</f>
        <v>0.90000000000009095</v>
      </c>
      <c r="N96" s="15">
        <f>운전실적_원본!H96</f>
        <v>11422</v>
      </c>
      <c r="O96" s="16">
        <f t="shared" ref="O96" si="594">IF(OR(LEN(N96)=0,N96=0),"",N96-N95)</f>
        <v>100</v>
      </c>
      <c r="P96" s="15">
        <f>운전실적_원본!I96</f>
        <v>262075</v>
      </c>
      <c r="Q96" s="16">
        <f t="shared" ref="Q96" si="595">IF(OR(LEN(P96)=0,P96=0),"",P96-P95)</f>
        <v>133</v>
      </c>
      <c r="R96" s="18">
        <f>운전실적_원본!J96</f>
        <v>30.38</v>
      </c>
      <c r="S96" s="19">
        <f t="shared" ref="S96" si="596">IF(OR(LEN(R96)=0,R96=0),"",R96-R95)</f>
        <v>9.9999999999980105E-3</v>
      </c>
      <c r="T96" s="18">
        <f>운전실적_원본!K96</f>
        <v>29.72</v>
      </c>
      <c r="U96" s="19">
        <f t="shared" si="308"/>
        <v>-0.13000000000000256</v>
      </c>
      <c r="V96" s="12">
        <f>운전실적_원본!L96</f>
        <v>0</v>
      </c>
      <c r="W96" s="16" t="str">
        <f t="shared" ref="W96" si="597">IF(OR(LEN(V96)=0,V96=0),"",V96-V95)</f>
        <v/>
      </c>
      <c r="X96" s="10">
        <f>운전실적_원본!M96</f>
        <v>106486</v>
      </c>
      <c r="Y96" s="10">
        <f>운전실적_원본!N96</f>
        <v>0</v>
      </c>
      <c r="Z96" s="10">
        <f>운전실적_원본!O96</f>
        <v>0</v>
      </c>
      <c r="AA96" s="10">
        <f>운전실적_원본!P96</f>
        <v>0</v>
      </c>
      <c r="AB96" s="10">
        <f>운전실적_원본!Q96</f>
        <v>0</v>
      </c>
      <c r="AC96" s="10">
        <f>운전실적_원본!R96</f>
        <v>0</v>
      </c>
      <c r="AD96" s="181">
        <f>운전실적_원본!S96</f>
        <v>14</v>
      </c>
      <c r="AE96" s="181">
        <f>운전실적_원본!T96</f>
        <v>0</v>
      </c>
      <c r="AF96" s="181">
        <f>운전실적_원본!U96</f>
        <v>0</v>
      </c>
      <c r="AG96" s="181">
        <f>운전실적_원본!V96</f>
        <v>0</v>
      </c>
      <c r="AH96" s="106">
        <f t="shared" si="462"/>
        <v>14.000000000058208</v>
      </c>
      <c r="AI96" s="107">
        <f t="shared" si="470"/>
        <v>0</v>
      </c>
      <c r="AJ96" s="107">
        <f t="shared" si="471"/>
        <v>0</v>
      </c>
      <c r="AK96" s="204">
        <f t="shared" si="472"/>
        <v>0</v>
      </c>
      <c r="AL96" s="103">
        <v>45748.291666666664</v>
      </c>
      <c r="AM96" s="103">
        <v>45748.875</v>
      </c>
      <c r="AN96" s="103"/>
      <c r="AO96" s="103"/>
      <c r="AP96" s="103"/>
      <c r="AQ96" s="105"/>
      <c r="AR96" s="103"/>
      <c r="AS96" s="103"/>
      <c r="AT96" s="101"/>
      <c r="AU96" s="101"/>
      <c r="AV96" s="101"/>
      <c r="AW96" s="101"/>
      <c r="AX96" s="32">
        <f>운전실적_원본!W96</f>
        <v>670</v>
      </c>
      <c r="AY96" s="198">
        <f>운전실적_원본!X96</f>
        <v>0</v>
      </c>
      <c r="AZ96" s="198">
        <f>운전실적_원본!Y96</f>
        <v>0</v>
      </c>
      <c r="BA96" s="198">
        <f>운전실적_원본!Z96</f>
        <v>0</v>
      </c>
      <c r="BB96" s="198">
        <f>운전실적_원본!AA96</f>
        <v>0</v>
      </c>
      <c r="BC96" s="198">
        <f>운전실적_원본!AB96</f>
        <v>670</v>
      </c>
      <c r="BD96" s="32">
        <f t="shared" si="455"/>
        <v>47.857142857142854</v>
      </c>
      <c r="BE96" s="11">
        <f t="shared" si="463"/>
        <v>0.93125399605259496</v>
      </c>
      <c r="BF96" s="11">
        <f>운전실적_원본!AE96</f>
        <v>0</v>
      </c>
      <c r="BG96" s="31">
        <f t="shared" si="456"/>
        <v>0</v>
      </c>
    </row>
    <row r="97" spans="1:59">
      <c r="A97" s="6">
        <f t="shared" si="464"/>
        <v>45749</v>
      </c>
      <c r="B97" s="15">
        <f>운전실적_원본!B97</f>
        <v>5704</v>
      </c>
      <c r="C97" s="16">
        <f t="shared" si="300"/>
        <v>19</v>
      </c>
      <c r="D97" s="9">
        <f>운전실적_원본!C97</f>
        <v>233355</v>
      </c>
      <c r="E97" s="199">
        <f t="shared" si="301"/>
        <v>80</v>
      </c>
      <c r="F97" s="9">
        <f>운전실적_원본!D97</f>
        <v>227641</v>
      </c>
      <c r="G97" s="16">
        <f t="shared" si="302"/>
        <v>40</v>
      </c>
      <c r="H97" s="15">
        <f>운전실적_원본!E97</f>
        <v>14179</v>
      </c>
      <c r="I97" s="16">
        <f t="shared" si="303"/>
        <v>5</v>
      </c>
      <c r="J97" s="15">
        <f>운전실적_원본!E97</f>
        <v>14179</v>
      </c>
      <c r="K97" s="16">
        <f t="shared" si="303"/>
        <v>5</v>
      </c>
      <c r="L97" s="15">
        <f>운전실적_원본!G97</f>
        <v>3821.2</v>
      </c>
      <c r="M97" s="31">
        <f t="shared" ref="M97" si="598">IF(OR(LEN(L97)=0,L97=0),"",L97-L96)</f>
        <v>0.79999999999972715</v>
      </c>
      <c r="N97" s="15">
        <f>운전실적_원본!H97</f>
        <v>11523</v>
      </c>
      <c r="O97" s="16">
        <f t="shared" ref="O97" si="599">IF(OR(LEN(N97)=0,N97=0),"",N97-N96)</f>
        <v>101</v>
      </c>
      <c r="P97" s="15">
        <f>운전실적_원본!I97</f>
        <v>262249</v>
      </c>
      <c r="Q97" s="16">
        <f t="shared" ref="Q97" si="600">IF(OR(LEN(P97)=0,P97=0),"",P97-P96)</f>
        <v>174</v>
      </c>
      <c r="R97" s="18">
        <f>운전실적_원본!J97</f>
        <v>30.08</v>
      </c>
      <c r="S97" s="19">
        <f t="shared" ref="S97" si="601">IF(OR(LEN(R97)=0,R97=0),"",R97-R96)</f>
        <v>-0.30000000000000071</v>
      </c>
      <c r="T97" s="18">
        <f>운전실적_원본!K97</f>
        <v>29.84</v>
      </c>
      <c r="U97" s="19">
        <f t="shared" si="308"/>
        <v>0.12000000000000099</v>
      </c>
      <c r="V97" s="12">
        <f>운전실적_원본!L97</f>
        <v>0</v>
      </c>
      <c r="W97" s="16" t="str">
        <f t="shared" ref="W97" si="602">IF(OR(LEN(V97)=0,V97=0),"",V97-V96)</f>
        <v/>
      </c>
      <c r="X97" s="10">
        <f>운전실적_원본!M97</f>
        <v>0</v>
      </c>
      <c r="Y97" s="10">
        <f>운전실적_원본!N97</f>
        <v>0</v>
      </c>
      <c r="Z97" s="10">
        <f>운전실적_원본!O97</f>
        <v>0</v>
      </c>
      <c r="AA97" s="10">
        <f>운전실적_원본!P97</f>
        <v>0</v>
      </c>
      <c r="AB97" s="10">
        <f>운전실적_원본!Q97</f>
        <v>0</v>
      </c>
      <c r="AC97" s="10">
        <f>운전실적_원본!R97</f>
        <v>0</v>
      </c>
      <c r="AD97" s="181">
        <f>운전실적_원본!S97</f>
        <v>0</v>
      </c>
      <c r="AE97" s="181">
        <f>운전실적_원본!T97</f>
        <v>0</v>
      </c>
      <c r="AF97" s="181">
        <f>운전실적_원본!U97</f>
        <v>0</v>
      </c>
      <c r="AG97" s="181">
        <f>운전실적_원본!V97</f>
        <v>0</v>
      </c>
      <c r="AH97" s="106">
        <f t="shared" si="462"/>
        <v>0</v>
      </c>
      <c r="AI97" s="107">
        <f t="shared" si="470"/>
        <v>0</v>
      </c>
      <c r="AJ97" s="107">
        <f t="shared" si="471"/>
        <v>0</v>
      </c>
      <c r="AK97" s="204">
        <f t="shared" si="472"/>
        <v>0</v>
      </c>
      <c r="AL97" s="103"/>
      <c r="AM97" s="103"/>
      <c r="AN97" s="103"/>
      <c r="AO97" s="103"/>
      <c r="AP97" s="103"/>
      <c r="AQ97" s="105"/>
      <c r="AR97" s="103"/>
      <c r="AS97" s="103"/>
      <c r="AT97" s="101"/>
      <c r="AU97" s="101"/>
      <c r="AV97" s="101"/>
      <c r="AW97" s="101"/>
      <c r="AX97" s="32">
        <f>운전실적_원본!W97</f>
        <v>0</v>
      </c>
      <c r="AY97" s="198">
        <f>운전실적_원본!X97</f>
        <v>0</v>
      </c>
      <c r="AZ97" s="198">
        <f>운전실적_원본!Y97</f>
        <v>0</v>
      </c>
      <c r="BA97" s="198">
        <f>운전실적_원본!Z97</f>
        <v>0</v>
      </c>
      <c r="BB97" s="198">
        <f>운전실적_원본!AA97</f>
        <v>0</v>
      </c>
      <c r="BC97" s="198">
        <f>운전실적_원본!AB97</f>
        <v>0</v>
      </c>
      <c r="BD97" s="32" t="str">
        <f t="shared" si="455"/>
        <v>-</v>
      </c>
      <c r="BE97" s="11" t="str">
        <f t="shared" si="463"/>
        <v>-</v>
      </c>
      <c r="BF97" s="11">
        <f>운전실적_원본!AE97</f>
        <v>0</v>
      </c>
      <c r="BG97" s="31">
        <f t="shared" si="456"/>
        <v>0</v>
      </c>
    </row>
    <row r="98" spans="1:59">
      <c r="A98" s="6">
        <f t="shared" si="464"/>
        <v>45750</v>
      </c>
      <c r="B98" s="15">
        <f>운전실적_원본!B98</f>
        <v>5733</v>
      </c>
      <c r="C98" s="16">
        <f t="shared" si="300"/>
        <v>29</v>
      </c>
      <c r="D98" s="9">
        <f>운전실적_원본!C98</f>
        <v>233440</v>
      </c>
      <c r="E98" s="199">
        <f t="shared" si="301"/>
        <v>85</v>
      </c>
      <c r="F98" s="9">
        <f>운전실적_원본!D98</f>
        <v>227811</v>
      </c>
      <c r="G98" s="16">
        <f t="shared" si="302"/>
        <v>170</v>
      </c>
      <c r="H98" s="15">
        <f>운전실적_원본!E98</f>
        <v>14184</v>
      </c>
      <c r="I98" s="16">
        <f t="shared" si="303"/>
        <v>5</v>
      </c>
      <c r="J98" s="15">
        <f>운전실적_원본!E98</f>
        <v>14184</v>
      </c>
      <c r="K98" s="16">
        <f t="shared" si="303"/>
        <v>5</v>
      </c>
      <c r="L98" s="15">
        <f>운전실적_원본!G98</f>
        <v>3822.4</v>
      </c>
      <c r="M98" s="31">
        <f t="shared" ref="M98" si="603">IF(OR(LEN(L98)=0,L98=0),"",L98-L97)</f>
        <v>1.2000000000002728</v>
      </c>
      <c r="N98" s="15">
        <f>운전실적_원본!H98</f>
        <v>11604</v>
      </c>
      <c r="O98" s="16">
        <f t="shared" ref="O98" si="604">IF(OR(LEN(N98)=0,N98=0),"",N98-N97)</f>
        <v>81</v>
      </c>
      <c r="P98" s="15">
        <f>운전실적_원본!I98</f>
        <v>262639</v>
      </c>
      <c r="Q98" s="16">
        <f t="shared" ref="Q98" si="605">IF(OR(LEN(P98)=0,P98=0),"",P98-P97)</f>
        <v>390</v>
      </c>
      <c r="R98" s="18">
        <f>운전실적_원본!J98</f>
        <v>30.48</v>
      </c>
      <c r="S98" s="19">
        <f t="shared" ref="S98" si="606">IF(OR(LEN(R98)=0,R98=0),"",R98-R97)</f>
        <v>0.40000000000000213</v>
      </c>
      <c r="T98" s="18">
        <f>운전실적_원본!K98</f>
        <v>29.83</v>
      </c>
      <c r="U98" s="19">
        <f t="shared" si="308"/>
        <v>-1.0000000000001563E-2</v>
      </c>
      <c r="V98" s="12">
        <f>운전실적_원본!L98</f>
        <v>0</v>
      </c>
      <c r="W98" s="16" t="str">
        <f t="shared" ref="W98" si="607">IF(OR(LEN(V98)=0,V98=0),"",V98-V97)</f>
        <v/>
      </c>
      <c r="X98" s="10">
        <f>운전실적_원본!M98</f>
        <v>100816.7</v>
      </c>
      <c r="Y98" s="10">
        <f>운전실적_원본!N98</f>
        <v>0</v>
      </c>
      <c r="Z98" s="10">
        <f>운전실적_원본!O98</f>
        <v>0</v>
      </c>
      <c r="AA98" s="10">
        <f>운전실적_원본!P98</f>
        <v>0</v>
      </c>
      <c r="AB98" s="10">
        <f>운전실적_원본!Q98</f>
        <v>0</v>
      </c>
      <c r="AC98" s="10">
        <f>운전실적_원본!R98</f>
        <v>0</v>
      </c>
      <c r="AD98" s="181">
        <f>운전실적_원본!S98</f>
        <v>15</v>
      </c>
      <c r="AE98" s="181">
        <f>운전실적_원본!T98</f>
        <v>0</v>
      </c>
      <c r="AF98" s="181">
        <f>운전실적_원본!U98</f>
        <v>0</v>
      </c>
      <c r="AG98" s="181">
        <f>운전실적_원본!V98</f>
        <v>0</v>
      </c>
      <c r="AH98" s="106">
        <f t="shared" si="462"/>
        <v>15.249999999941792</v>
      </c>
      <c r="AI98" s="107">
        <f t="shared" si="470"/>
        <v>0</v>
      </c>
      <c r="AJ98" s="107">
        <f t="shared" si="471"/>
        <v>0</v>
      </c>
      <c r="AK98" s="204">
        <f t="shared" si="472"/>
        <v>0</v>
      </c>
      <c r="AL98" s="103">
        <v>45750.364583333336</v>
      </c>
      <c r="AM98" s="103">
        <v>45751</v>
      </c>
      <c r="AN98" s="103"/>
      <c r="AO98" s="103"/>
      <c r="AP98" s="103"/>
      <c r="AQ98" s="105"/>
      <c r="AR98" s="103"/>
      <c r="AS98" s="103"/>
      <c r="AT98" s="101"/>
      <c r="AU98" s="101"/>
      <c r="AV98" s="101"/>
      <c r="AW98" s="101"/>
      <c r="AX98" s="32">
        <f>운전실적_원본!W98</f>
        <v>633</v>
      </c>
      <c r="AY98" s="198">
        <f>운전실적_원본!X98</f>
        <v>0</v>
      </c>
      <c r="AZ98" s="198">
        <f>운전실적_원본!Y98</f>
        <v>0</v>
      </c>
      <c r="BA98" s="198">
        <f>운전실적_원본!Z98</f>
        <v>0</v>
      </c>
      <c r="BB98" s="198">
        <f>운전실적_원본!AA98</f>
        <v>0</v>
      </c>
      <c r="BC98" s="198">
        <f>운전실적_원본!AB98</f>
        <v>633</v>
      </c>
      <c r="BD98" s="32">
        <f t="shared" si="455"/>
        <v>42.2</v>
      </c>
      <c r="BE98" s="11">
        <f t="shared" si="463"/>
        <v>0.82117143413115401</v>
      </c>
      <c r="BF98" s="11">
        <f>운전실적_원본!AE98</f>
        <v>0</v>
      </c>
      <c r="BG98" s="31">
        <f t="shared" si="456"/>
        <v>0</v>
      </c>
    </row>
    <row r="99" spans="1:59">
      <c r="A99" s="6">
        <f t="shared" si="464"/>
        <v>45751</v>
      </c>
      <c r="B99" s="15">
        <f>운전실적_원본!B99</f>
        <v>5752</v>
      </c>
      <c r="C99" s="16">
        <f t="shared" si="300"/>
        <v>19</v>
      </c>
      <c r="D99" s="9">
        <f>운전실적_원본!C99</f>
        <v>233600</v>
      </c>
      <c r="E99" s="199">
        <f t="shared" si="301"/>
        <v>160</v>
      </c>
      <c r="F99" s="9">
        <f>운전실적_원본!D99</f>
        <v>227988</v>
      </c>
      <c r="G99" s="16">
        <f t="shared" si="302"/>
        <v>177</v>
      </c>
      <c r="H99" s="15">
        <f>운전실적_원본!E99</f>
        <v>14189</v>
      </c>
      <c r="I99" s="16">
        <f t="shared" si="303"/>
        <v>5</v>
      </c>
      <c r="J99" s="15">
        <f>운전실적_원본!E99</f>
        <v>14189</v>
      </c>
      <c r="K99" s="16">
        <f t="shared" si="303"/>
        <v>5</v>
      </c>
      <c r="L99" s="15">
        <f>운전실적_원본!G99</f>
        <v>3823.7</v>
      </c>
      <c r="M99" s="31">
        <f t="shared" ref="M99" si="608">IF(OR(LEN(L99)=0,L99=0),"",L99-L98)</f>
        <v>1.2999999999997272</v>
      </c>
      <c r="N99" s="15">
        <f>운전실적_원본!H99</f>
        <v>11712</v>
      </c>
      <c r="O99" s="16">
        <f t="shared" ref="O99" si="609">IF(OR(LEN(N99)=0,N99=0),"",N99-N98)</f>
        <v>108</v>
      </c>
      <c r="P99" s="15">
        <f>운전실적_원본!I99</f>
        <v>263089</v>
      </c>
      <c r="Q99" s="16">
        <f t="shared" ref="Q99" si="610">IF(OR(LEN(P99)=0,P99=0),"",P99-P98)</f>
        <v>450</v>
      </c>
      <c r="R99" s="18">
        <f>운전실적_원본!J99</f>
        <v>30.88</v>
      </c>
      <c r="S99" s="19">
        <f t="shared" ref="S99" si="611">IF(OR(LEN(R99)=0,R99=0),"",R99-R98)</f>
        <v>0.39999999999999858</v>
      </c>
      <c r="T99" s="18">
        <f>운전실적_원본!K99</f>
        <v>30.16</v>
      </c>
      <c r="U99" s="19">
        <f t="shared" si="308"/>
        <v>0.33000000000000185</v>
      </c>
      <c r="V99" s="12">
        <f>운전실적_원본!L99</f>
        <v>0</v>
      </c>
      <c r="W99" s="16" t="str">
        <f t="shared" ref="W99" si="612">IF(OR(LEN(V99)=0,V99=0),"",V99-V98)</f>
        <v/>
      </c>
      <c r="X99" s="10">
        <f>운전실적_원본!M99</f>
        <v>62704.6</v>
      </c>
      <c r="Y99" s="10">
        <f>운전실적_원본!N99</f>
        <v>0</v>
      </c>
      <c r="Z99" s="10">
        <f>운전실적_원본!O99</f>
        <v>0</v>
      </c>
      <c r="AA99" s="10">
        <f>운전실적_원본!P99</f>
        <v>0</v>
      </c>
      <c r="AB99" s="10">
        <f>운전실적_원본!Q99</f>
        <v>0</v>
      </c>
      <c r="AC99" s="10">
        <f>운전실적_원본!R99</f>
        <v>0</v>
      </c>
      <c r="AD99" s="181">
        <f>운전실적_원본!S99</f>
        <v>8</v>
      </c>
      <c r="AE99" s="181">
        <f>운전실적_원본!T99</f>
        <v>0</v>
      </c>
      <c r="AF99" s="181">
        <f>운전실적_원본!U99</f>
        <v>0</v>
      </c>
      <c r="AG99" s="181">
        <f>운전실적_원본!V99</f>
        <v>0</v>
      </c>
      <c r="AH99" s="106">
        <f t="shared" si="462"/>
        <v>9.8333333332557231</v>
      </c>
      <c r="AI99" s="107">
        <f t="shared" si="470"/>
        <v>0</v>
      </c>
      <c r="AJ99" s="107">
        <f t="shared" si="471"/>
        <v>0</v>
      </c>
      <c r="AK99" s="204">
        <f t="shared" si="472"/>
        <v>0</v>
      </c>
      <c r="AL99" s="103">
        <v>45751.583333333336</v>
      </c>
      <c r="AM99" s="103">
        <v>45751.993055555555</v>
      </c>
      <c r="AN99" s="103"/>
      <c r="AO99" s="103"/>
      <c r="AP99" s="103"/>
      <c r="AQ99" s="105"/>
      <c r="AR99" s="103"/>
      <c r="AS99" s="103"/>
      <c r="AT99" s="101"/>
      <c r="AU99" s="101"/>
      <c r="AV99" s="101"/>
      <c r="AW99" s="101"/>
      <c r="AX99" s="32">
        <f>운전실적_원본!W99</f>
        <v>397</v>
      </c>
      <c r="AY99" s="198">
        <f>운전실적_원본!X99</f>
        <v>0</v>
      </c>
      <c r="AZ99" s="198">
        <f>운전실적_원본!Y99</f>
        <v>0</v>
      </c>
      <c r="BA99" s="198">
        <f>운전실적_원본!Z99</f>
        <v>0</v>
      </c>
      <c r="BB99" s="198">
        <f>운전실적_원본!AA99</f>
        <v>0</v>
      </c>
      <c r="BC99" s="198">
        <f>운전실적_원본!AB99</f>
        <v>397</v>
      </c>
      <c r="BD99" s="32">
        <f t="shared" si="455"/>
        <v>49.625</v>
      </c>
      <c r="BE99" s="11">
        <f t="shared" si="463"/>
        <v>0.96565479665304532</v>
      </c>
      <c r="BF99" s="11">
        <f>운전실적_원본!AE99</f>
        <v>0</v>
      </c>
      <c r="BG99" s="31">
        <f t="shared" si="456"/>
        <v>0</v>
      </c>
    </row>
    <row r="100" spans="1:59">
      <c r="A100" s="6">
        <f t="shared" si="464"/>
        <v>45752</v>
      </c>
      <c r="B100" s="15">
        <f>운전실적_원본!B100</f>
        <v>5777</v>
      </c>
      <c r="C100" s="16">
        <f t="shared" si="300"/>
        <v>25</v>
      </c>
      <c r="D100" s="9">
        <f>운전실적_원본!C100</f>
        <v>233731</v>
      </c>
      <c r="E100" s="199">
        <f t="shared" si="301"/>
        <v>131</v>
      </c>
      <c r="F100" s="9">
        <f>운전실적_원본!D100</f>
        <v>228114</v>
      </c>
      <c r="G100" s="16">
        <f t="shared" si="302"/>
        <v>126</v>
      </c>
      <c r="H100" s="15">
        <f>운전실적_원본!E100</f>
        <v>14192</v>
      </c>
      <c r="I100" s="16">
        <f t="shared" si="303"/>
        <v>3</v>
      </c>
      <c r="J100" s="15">
        <f>운전실적_원본!E100</f>
        <v>14192</v>
      </c>
      <c r="K100" s="16">
        <f t="shared" si="303"/>
        <v>3</v>
      </c>
      <c r="L100" s="15">
        <f>운전실적_원본!G100</f>
        <v>3824.7</v>
      </c>
      <c r="M100" s="31">
        <f t="shared" ref="M100" si="613">IF(OR(LEN(L100)=0,L100=0),"",L100-L99)</f>
        <v>1</v>
      </c>
      <c r="N100" s="15">
        <f>운전실적_원본!H100</f>
        <v>11828</v>
      </c>
      <c r="O100" s="16">
        <f t="shared" ref="O100" si="614">IF(OR(LEN(N100)=0,N100=0),"",N100-N99)</f>
        <v>116</v>
      </c>
      <c r="P100" s="15">
        <f>운전실적_원본!I100</f>
        <v>263493</v>
      </c>
      <c r="Q100" s="16">
        <f t="shared" ref="Q100" si="615">IF(OR(LEN(P100)=0,P100=0),"",P100-P99)</f>
        <v>404</v>
      </c>
      <c r="R100" s="18">
        <f>운전실적_원본!J100</f>
        <v>30.73</v>
      </c>
      <c r="S100" s="19">
        <f t="shared" ref="S100" si="616">IF(OR(LEN(R100)=0,R100=0),"",R100-R99)</f>
        <v>-0.14999999999999858</v>
      </c>
      <c r="T100" s="18">
        <f>운전실적_원본!K100</f>
        <v>30.42</v>
      </c>
      <c r="U100" s="19">
        <f t="shared" si="308"/>
        <v>0.26000000000000156</v>
      </c>
      <c r="V100" s="12">
        <f>운전실적_원본!L100</f>
        <v>0</v>
      </c>
      <c r="W100" s="16" t="str">
        <f t="shared" ref="W100" si="617">IF(OR(LEN(V100)=0,V100=0),"",V100-V99)</f>
        <v/>
      </c>
      <c r="X100" s="10">
        <f>운전실적_원본!M100</f>
        <v>0</v>
      </c>
      <c r="Y100" s="10">
        <f>운전실적_원본!N100</f>
        <v>0</v>
      </c>
      <c r="Z100" s="10">
        <f>운전실적_원본!O100</f>
        <v>0</v>
      </c>
      <c r="AA100" s="10">
        <f>운전실적_원본!P100</f>
        <v>0</v>
      </c>
      <c r="AB100" s="10">
        <f>운전실적_원본!Q100</f>
        <v>0</v>
      </c>
      <c r="AC100" s="10">
        <f>운전실적_원본!R100</f>
        <v>0</v>
      </c>
      <c r="AD100" s="181">
        <f>운전실적_원본!S100</f>
        <v>0</v>
      </c>
      <c r="AE100" s="181">
        <f>운전실적_원본!T100</f>
        <v>0</v>
      </c>
      <c r="AF100" s="181">
        <f>운전실적_원본!U100</f>
        <v>0</v>
      </c>
      <c r="AG100" s="181">
        <f>운전실적_원본!V100</f>
        <v>0</v>
      </c>
      <c r="AH100" s="106">
        <f t="shared" si="462"/>
        <v>0</v>
      </c>
      <c r="AI100" s="107">
        <f t="shared" si="470"/>
        <v>0</v>
      </c>
      <c r="AJ100" s="107">
        <f t="shared" si="471"/>
        <v>0</v>
      </c>
      <c r="AK100" s="204">
        <f t="shared" si="472"/>
        <v>0</v>
      </c>
      <c r="AL100" s="103"/>
      <c r="AM100" s="103"/>
      <c r="AN100" s="103"/>
      <c r="AO100" s="103"/>
      <c r="AP100" s="103"/>
      <c r="AQ100" s="105"/>
      <c r="AR100" s="103"/>
      <c r="AS100" s="103"/>
      <c r="AT100" s="101"/>
      <c r="AU100" s="101"/>
      <c r="AV100" s="101"/>
      <c r="AW100" s="101"/>
      <c r="AX100" s="32">
        <f>운전실적_원본!W100</f>
        <v>0</v>
      </c>
      <c r="AY100" s="198">
        <f>운전실적_원본!X100</f>
        <v>0</v>
      </c>
      <c r="AZ100" s="198">
        <f>운전실적_원본!Y100</f>
        <v>0</v>
      </c>
      <c r="BA100" s="198">
        <f>운전실적_원본!Z100</f>
        <v>0</v>
      </c>
      <c r="BB100" s="198">
        <f>운전실적_원본!AA100</f>
        <v>0</v>
      </c>
      <c r="BC100" s="198">
        <f>운전실적_원본!AB100</f>
        <v>0</v>
      </c>
      <c r="BD100" s="32" t="str">
        <f t="shared" si="455"/>
        <v>-</v>
      </c>
      <c r="BE100" s="11" t="str">
        <f t="shared" si="463"/>
        <v>-</v>
      </c>
      <c r="BF100" s="11">
        <f>운전실적_원본!AE100</f>
        <v>0</v>
      </c>
      <c r="BG100" s="31">
        <f t="shared" si="456"/>
        <v>0</v>
      </c>
    </row>
    <row r="101" spans="1:59">
      <c r="A101" s="6">
        <f t="shared" si="464"/>
        <v>45753</v>
      </c>
      <c r="B101" s="15">
        <f>운전실적_원본!B101</f>
        <v>5803</v>
      </c>
      <c r="C101" s="16">
        <f t="shared" si="300"/>
        <v>26</v>
      </c>
      <c r="D101" s="9">
        <f>운전실적_원본!C101</f>
        <v>233850</v>
      </c>
      <c r="E101" s="199">
        <f t="shared" si="301"/>
        <v>119</v>
      </c>
      <c r="F101" s="9">
        <f>운전실적_원본!D101</f>
        <v>228198</v>
      </c>
      <c r="G101" s="16">
        <f t="shared" si="302"/>
        <v>84</v>
      </c>
      <c r="H101" s="15">
        <f>운전실적_원본!E101</f>
        <v>14196</v>
      </c>
      <c r="I101" s="16">
        <f t="shared" si="303"/>
        <v>4</v>
      </c>
      <c r="J101" s="15">
        <f>운전실적_원본!E101</f>
        <v>14196</v>
      </c>
      <c r="K101" s="16">
        <f t="shared" si="303"/>
        <v>4</v>
      </c>
      <c r="L101" s="15">
        <f>운전실적_원본!G101</f>
        <v>3825</v>
      </c>
      <c r="M101" s="31">
        <f t="shared" ref="M101" si="618">IF(OR(LEN(L101)=0,L101=0),"",L101-L100)</f>
        <v>0.3000000000001819</v>
      </c>
      <c r="N101" s="15">
        <f>운전실적_원본!H101</f>
        <v>11918</v>
      </c>
      <c r="O101" s="16">
        <f t="shared" ref="O101" si="619">IF(OR(LEN(N101)=0,N101=0),"",N101-N100)</f>
        <v>90</v>
      </c>
      <c r="P101" s="15">
        <f>운전실적_원본!I101</f>
        <v>263854</v>
      </c>
      <c r="Q101" s="16">
        <f t="shared" ref="Q101" si="620">IF(OR(LEN(P101)=0,P101=0),"",P101-P100)</f>
        <v>361</v>
      </c>
      <c r="R101" s="18">
        <f>운전실적_원본!J101</f>
        <v>30.8</v>
      </c>
      <c r="S101" s="19">
        <f t="shared" ref="S101" si="621">IF(OR(LEN(R101)=0,R101=0),"",R101-R100)</f>
        <v>7.0000000000000284E-2</v>
      </c>
      <c r="T101" s="18">
        <f>운전실적_원본!K101</f>
        <v>30.53</v>
      </c>
      <c r="U101" s="19">
        <f t="shared" si="308"/>
        <v>0.10999999999999943</v>
      </c>
      <c r="V101" s="12">
        <f>운전실적_원본!L101</f>
        <v>0</v>
      </c>
      <c r="W101" s="16" t="str">
        <f t="shared" ref="W101" si="622">IF(OR(LEN(V101)=0,V101=0),"",V101-V100)</f>
        <v/>
      </c>
      <c r="X101" s="10">
        <f>운전실적_원본!M101</f>
        <v>0</v>
      </c>
      <c r="Y101" s="10">
        <f>운전실적_원본!N101</f>
        <v>0</v>
      </c>
      <c r="Z101" s="10">
        <f>운전실적_원본!O101</f>
        <v>0</v>
      </c>
      <c r="AA101" s="10">
        <f>운전실적_원본!P101</f>
        <v>0</v>
      </c>
      <c r="AB101" s="10">
        <f>운전실적_원본!Q101</f>
        <v>0</v>
      </c>
      <c r="AC101" s="10">
        <f>운전실적_원본!R101</f>
        <v>0</v>
      </c>
      <c r="AD101" s="181">
        <f>운전실적_원본!S101</f>
        <v>0</v>
      </c>
      <c r="AE101" s="181">
        <f>운전실적_원본!T101</f>
        <v>0</v>
      </c>
      <c r="AF101" s="181">
        <f>운전실적_원본!U101</f>
        <v>0</v>
      </c>
      <c r="AG101" s="181">
        <f>운전실적_원본!V101</f>
        <v>0</v>
      </c>
      <c r="AH101" s="106">
        <f t="shared" si="462"/>
        <v>0</v>
      </c>
      <c r="AI101" s="107">
        <f t="shared" si="470"/>
        <v>0</v>
      </c>
      <c r="AJ101" s="107">
        <f t="shared" si="471"/>
        <v>0</v>
      </c>
      <c r="AK101" s="204">
        <f t="shared" si="472"/>
        <v>0</v>
      </c>
      <c r="AL101" s="103"/>
      <c r="AM101" s="103"/>
      <c r="AN101" s="103"/>
      <c r="AO101" s="103"/>
      <c r="AP101" s="103"/>
      <c r="AQ101" s="105"/>
      <c r="AR101" s="103"/>
      <c r="AS101" s="103"/>
      <c r="AT101" s="101"/>
      <c r="AU101" s="101"/>
      <c r="AV101" s="101"/>
      <c r="AW101" s="101"/>
      <c r="AX101" s="32">
        <f>운전실적_원본!W101</f>
        <v>0</v>
      </c>
      <c r="AY101" s="198">
        <f>운전실적_원본!X101</f>
        <v>0</v>
      </c>
      <c r="AZ101" s="198">
        <f>운전실적_원본!Y101</f>
        <v>0</v>
      </c>
      <c r="BA101" s="198">
        <f>운전실적_원본!Z101</f>
        <v>0</v>
      </c>
      <c r="BB101" s="198">
        <f>운전실적_원본!AA101</f>
        <v>0</v>
      </c>
      <c r="BC101" s="198">
        <f>운전실적_원본!AB101</f>
        <v>0</v>
      </c>
      <c r="BD101" s="32" t="str">
        <f t="shared" si="455"/>
        <v>-</v>
      </c>
      <c r="BE101" s="11" t="str">
        <f t="shared" si="463"/>
        <v>-</v>
      </c>
      <c r="BF101" s="11">
        <f>운전실적_원본!AE101</f>
        <v>0</v>
      </c>
      <c r="BG101" s="31">
        <f t="shared" si="456"/>
        <v>0</v>
      </c>
    </row>
    <row r="102" spans="1:59">
      <c r="A102" s="6">
        <f t="shared" si="464"/>
        <v>45754</v>
      </c>
      <c r="B102" s="15">
        <f>운전실적_원본!B102</f>
        <v>5817</v>
      </c>
      <c r="C102" s="16">
        <f t="shared" si="300"/>
        <v>14</v>
      </c>
      <c r="D102" s="9">
        <f>운전실적_원본!C102</f>
        <v>233910</v>
      </c>
      <c r="E102" s="199">
        <f t="shared" si="301"/>
        <v>60</v>
      </c>
      <c r="F102" s="9">
        <f>운전실적_원본!D102</f>
        <v>228283</v>
      </c>
      <c r="G102" s="16">
        <f t="shared" si="302"/>
        <v>85</v>
      </c>
      <c r="H102" s="15">
        <f>운전실적_원본!E102</f>
        <v>14202</v>
      </c>
      <c r="I102" s="16">
        <f t="shared" si="303"/>
        <v>6</v>
      </c>
      <c r="J102" s="15">
        <f>운전실적_원본!E102</f>
        <v>14202</v>
      </c>
      <c r="K102" s="16">
        <f t="shared" si="303"/>
        <v>6</v>
      </c>
      <c r="L102" s="15">
        <f>운전실적_원본!G102</f>
        <v>3826.2</v>
      </c>
      <c r="M102" s="31">
        <f t="shared" ref="M102" si="623">IF(OR(LEN(L102)=0,L102=0),"",L102-L101)</f>
        <v>1.1999999999998181</v>
      </c>
      <c r="N102" s="15">
        <f>운전실적_원본!H102</f>
        <v>12030</v>
      </c>
      <c r="O102" s="16">
        <f t="shared" ref="O102" si="624">IF(OR(LEN(N102)=0,N102=0),"",N102-N101)</f>
        <v>112</v>
      </c>
      <c r="P102" s="15">
        <f>운전실적_원본!I102</f>
        <v>263975</v>
      </c>
      <c r="Q102" s="16">
        <f t="shared" ref="Q102" si="625">IF(OR(LEN(P102)=0,P102=0),"",P102-P101)</f>
        <v>121</v>
      </c>
      <c r="R102" s="18">
        <f>운전실적_원본!J102</f>
        <v>30.89</v>
      </c>
      <c r="S102" s="19">
        <f t="shared" ref="S102" si="626">IF(OR(LEN(R102)=0,R102=0),"",R102-R101)</f>
        <v>8.9999999999999858E-2</v>
      </c>
      <c r="T102" s="18">
        <f>운전실적_원본!K102</f>
        <v>30.56</v>
      </c>
      <c r="U102" s="19">
        <f t="shared" si="308"/>
        <v>2.9999999999997584E-2</v>
      </c>
      <c r="V102" s="12">
        <f>운전실적_원본!L102</f>
        <v>0</v>
      </c>
      <c r="W102" s="16" t="str">
        <f t="shared" ref="W102" si="627">IF(OR(LEN(V102)=0,V102=0),"",V102-V101)</f>
        <v/>
      </c>
      <c r="X102" s="10">
        <f>운전실적_원본!M102</f>
        <v>67258.100000000006</v>
      </c>
      <c r="Y102" s="10">
        <f>운전실적_원본!N102</f>
        <v>0</v>
      </c>
      <c r="Z102" s="10">
        <f>운전실적_원본!O102</f>
        <v>0</v>
      </c>
      <c r="AA102" s="10">
        <f>운전실적_원본!P102</f>
        <v>0</v>
      </c>
      <c r="AB102" s="10">
        <f>운전실적_원본!Q102</f>
        <v>0</v>
      </c>
      <c r="AC102" s="10">
        <f>운전실적_원본!R102</f>
        <v>0</v>
      </c>
      <c r="AD102" s="181">
        <f>운전실적_원본!S102</f>
        <v>12</v>
      </c>
      <c r="AE102" s="181">
        <f>운전실적_원본!T102</f>
        <v>0</v>
      </c>
      <c r="AF102" s="181">
        <f>운전실적_원본!U102</f>
        <v>0</v>
      </c>
      <c r="AG102" s="181">
        <f>운전실적_원본!V102</f>
        <v>0</v>
      </c>
      <c r="AH102" s="106">
        <f t="shared" si="462"/>
        <v>12</v>
      </c>
      <c r="AI102" s="107">
        <f t="shared" si="470"/>
        <v>0</v>
      </c>
      <c r="AJ102" s="107">
        <f t="shared" si="471"/>
        <v>0</v>
      </c>
      <c r="AK102" s="204">
        <f t="shared" si="472"/>
        <v>0</v>
      </c>
      <c r="AL102" s="103">
        <v>45754.5</v>
      </c>
      <c r="AM102" s="103">
        <v>45755</v>
      </c>
      <c r="AN102" s="103"/>
      <c r="AO102" s="103"/>
      <c r="AP102" s="103"/>
      <c r="AQ102" s="105"/>
      <c r="AR102" s="103"/>
      <c r="AS102" s="103"/>
      <c r="AT102" s="101"/>
      <c r="AU102" s="101"/>
      <c r="AV102" s="101"/>
      <c r="AW102" s="101"/>
      <c r="AX102" s="32">
        <f>운전실적_원본!W102</f>
        <v>415</v>
      </c>
      <c r="AY102" s="198">
        <f>운전실적_원본!X102</f>
        <v>0</v>
      </c>
      <c r="AZ102" s="198">
        <f>운전실적_원본!Y102</f>
        <v>0</v>
      </c>
      <c r="BA102" s="198">
        <f>운전실적_원본!Z102</f>
        <v>0</v>
      </c>
      <c r="BB102" s="198">
        <f>운전실적_원본!AA102</f>
        <v>0</v>
      </c>
      <c r="BC102" s="198">
        <f>운전실적_원본!AB102</f>
        <v>415</v>
      </c>
      <c r="BD102" s="32">
        <f t="shared" si="455"/>
        <v>34.583333333333336</v>
      </c>
      <c r="BE102" s="11">
        <f t="shared" si="463"/>
        <v>0.67295842252059423</v>
      </c>
      <c r="BF102" s="11">
        <f>운전실적_원본!AE102</f>
        <v>0</v>
      </c>
      <c r="BG102" s="31">
        <f t="shared" si="456"/>
        <v>0</v>
      </c>
    </row>
    <row r="103" spans="1:59">
      <c r="A103" s="6">
        <f t="shared" si="464"/>
        <v>45755</v>
      </c>
      <c r="B103" s="15">
        <f>운전실적_원본!B103</f>
        <v>5834</v>
      </c>
      <c r="C103" s="16">
        <f t="shared" si="300"/>
        <v>17</v>
      </c>
      <c r="D103" s="9">
        <f>운전실적_원본!C103</f>
        <v>234024</v>
      </c>
      <c r="E103" s="199">
        <f t="shared" si="301"/>
        <v>114</v>
      </c>
      <c r="F103" s="9">
        <f>운전실적_원본!D103</f>
        <v>228379</v>
      </c>
      <c r="G103" s="16">
        <f t="shared" si="302"/>
        <v>96</v>
      </c>
      <c r="H103" s="15">
        <f>운전실적_원본!E103</f>
        <v>14207</v>
      </c>
      <c r="I103" s="16">
        <f t="shared" si="303"/>
        <v>5</v>
      </c>
      <c r="J103" s="15">
        <f>운전실적_원본!E103</f>
        <v>14207</v>
      </c>
      <c r="K103" s="16">
        <f t="shared" si="303"/>
        <v>5</v>
      </c>
      <c r="L103" s="15">
        <f>운전실적_원본!G103</f>
        <v>3827.5</v>
      </c>
      <c r="M103" s="31">
        <f t="shared" ref="M103" si="628">IF(OR(LEN(L103)=0,L103=0),"",L103-L102)</f>
        <v>1.3000000000001819</v>
      </c>
      <c r="N103" s="15">
        <f>운전실적_원본!H103</f>
        <v>12149</v>
      </c>
      <c r="O103" s="16">
        <f t="shared" ref="O103" si="629">IF(OR(LEN(N103)=0,N103=0),"",N103-N102)</f>
        <v>119</v>
      </c>
      <c r="P103" s="15">
        <f>운전실적_원본!I103</f>
        <v>264532</v>
      </c>
      <c r="Q103" s="16">
        <f t="shared" ref="Q103" si="630">IF(OR(LEN(P103)=0,P103=0),"",P103-P102)</f>
        <v>557</v>
      </c>
      <c r="R103" s="18">
        <f>운전실적_원본!J103</f>
        <v>31.12</v>
      </c>
      <c r="S103" s="19">
        <f t="shared" ref="S103" si="631">IF(OR(LEN(R103)=0,R103=0),"",R103-R102)</f>
        <v>0.23000000000000043</v>
      </c>
      <c r="T103" s="18">
        <f>운전실적_원본!K103</f>
        <v>30.59</v>
      </c>
      <c r="U103" s="19">
        <f t="shared" si="308"/>
        <v>3.0000000000001137E-2</v>
      </c>
      <c r="V103" s="12">
        <f>운전실적_원본!L103</f>
        <v>0</v>
      </c>
      <c r="W103" s="16" t="str">
        <f t="shared" ref="W103" si="632">IF(OR(LEN(V103)=0,V103=0),"",V103-V102)</f>
        <v/>
      </c>
      <c r="X103" s="10">
        <f>운전실적_원본!M103</f>
        <v>63527.4</v>
      </c>
      <c r="Y103" s="10">
        <f>운전실적_원본!N103</f>
        <v>0</v>
      </c>
      <c r="Z103" s="10">
        <f>운전실적_원본!O103</f>
        <v>0</v>
      </c>
      <c r="AA103" s="10">
        <f>운전실적_원본!P103</f>
        <v>0</v>
      </c>
      <c r="AB103" s="10">
        <f>운전실적_원본!Q103</f>
        <v>0</v>
      </c>
      <c r="AC103" s="10">
        <f>운전실적_원본!R103</f>
        <v>0</v>
      </c>
      <c r="AD103" s="181">
        <f>운전실적_원본!S103</f>
        <v>10</v>
      </c>
      <c r="AE103" s="181">
        <f>운전실적_원본!T103</f>
        <v>0</v>
      </c>
      <c r="AF103" s="181">
        <f>운전실적_원본!U103</f>
        <v>0</v>
      </c>
      <c r="AG103" s="181">
        <f>운전실적_원본!V103</f>
        <v>0</v>
      </c>
      <c r="AH103" s="106">
        <f t="shared" si="462"/>
        <v>9.8333333332557231</v>
      </c>
      <c r="AI103" s="107">
        <f t="shared" si="470"/>
        <v>0</v>
      </c>
      <c r="AJ103" s="107">
        <f t="shared" si="471"/>
        <v>0</v>
      </c>
      <c r="AK103" s="204">
        <f t="shared" si="472"/>
        <v>0</v>
      </c>
      <c r="AL103" s="103">
        <v>45755.590277777781</v>
      </c>
      <c r="AM103" s="103">
        <v>45756</v>
      </c>
      <c r="AN103" s="103"/>
      <c r="AO103" s="103"/>
      <c r="AP103" s="103"/>
      <c r="AQ103" s="105"/>
      <c r="AR103" s="103"/>
      <c r="AS103" s="103"/>
      <c r="AT103" s="101"/>
      <c r="AU103" s="101"/>
      <c r="AV103" s="101"/>
      <c r="AW103" s="101"/>
      <c r="AX103" s="32">
        <f>운전실적_원본!W103</f>
        <v>399</v>
      </c>
      <c r="AY103" s="198">
        <f>운전실적_원본!X103</f>
        <v>0</v>
      </c>
      <c r="AZ103" s="198">
        <f>운전실적_원본!Y103</f>
        <v>0</v>
      </c>
      <c r="BA103" s="198">
        <f>운전실적_원본!Z103</f>
        <v>0</v>
      </c>
      <c r="BB103" s="198">
        <f>운전실적_원본!AA103</f>
        <v>0</v>
      </c>
      <c r="BC103" s="198">
        <f>운전실적_원본!AB103</f>
        <v>399</v>
      </c>
      <c r="BD103" s="32">
        <f t="shared" si="455"/>
        <v>39.9</v>
      </c>
      <c r="BE103" s="11">
        <f t="shared" si="463"/>
        <v>0.77641564506713368</v>
      </c>
      <c r="BF103" s="11">
        <f>운전실적_원본!AE103</f>
        <v>0</v>
      </c>
      <c r="BG103" s="31">
        <f t="shared" si="456"/>
        <v>0</v>
      </c>
    </row>
    <row r="104" spans="1:59">
      <c r="A104" s="6">
        <f t="shared" si="464"/>
        <v>45756</v>
      </c>
      <c r="B104" s="15">
        <f>운전실적_원본!B104</f>
        <v>5847</v>
      </c>
      <c r="C104" s="16">
        <f t="shared" ref="C104:C167" si="633">IF(OR(LEN(B104)=0,B104=0),"",B104-B103)</f>
        <v>13</v>
      </c>
      <c r="D104" s="9">
        <f>운전실적_원본!C104</f>
        <v>234181</v>
      </c>
      <c r="E104" s="199">
        <f t="shared" ref="E104:E167" si="634">IF(OR(LEN(D104)=0,D104=0),"",D104-D103)</f>
        <v>157</v>
      </c>
      <c r="F104" s="9">
        <f>운전실적_원본!D104</f>
        <v>228440</v>
      </c>
      <c r="G104" s="16">
        <f t="shared" ref="G104:G167" si="635">IF(OR(LEN(F104)=0,F104=0),"",F104-F103)</f>
        <v>61</v>
      </c>
      <c r="H104" s="15">
        <f>운전실적_원본!E104</f>
        <v>14212</v>
      </c>
      <c r="I104" s="16">
        <f t="shared" ref="I104:K167" si="636">IF(OR(LEN(H104)=0,H104=0),"",H104-H103)</f>
        <v>5</v>
      </c>
      <c r="J104" s="15">
        <f>운전실적_원본!E104</f>
        <v>14212</v>
      </c>
      <c r="K104" s="16">
        <f t="shared" si="636"/>
        <v>5</v>
      </c>
      <c r="L104" s="15">
        <f>운전실적_원본!G104</f>
        <v>3828.6</v>
      </c>
      <c r="M104" s="31">
        <f t="shared" ref="M104" si="637">IF(OR(LEN(L104)=0,L104=0),"",L104-L103)</f>
        <v>1.0999999999999091</v>
      </c>
      <c r="N104" s="15">
        <f>운전실적_원본!H104</f>
        <v>12272</v>
      </c>
      <c r="O104" s="16">
        <f t="shared" ref="O104" si="638">IF(OR(LEN(N104)=0,N104=0),"",N104-N103)</f>
        <v>123</v>
      </c>
      <c r="P104" s="15">
        <f>운전실적_원본!I104</f>
        <v>264805</v>
      </c>
      <c r="Q104" s="16">
        <f t="shared" ref="Q104" si="639">IF(OR(LEN(P104)=0,P104=0),"",P104-P103)</f>
        <v>273</v>
      </c>
      <c r="R104" s="18">
        <f>운전실적_원본!J104</f>
        <v>31.38</v>
      </c>
      <c r="S104" s="19">
        <f t="shared" ref="S104" si="640">IF(OR(LEN(R104)=0,R104=0),"",R104-R103)</f>
        <v>0.25999999999999801</v>
      </c>
      <c r="T104" s="18">
        <f>운전실적_원본!K104</f>
        <v>30.84</v>
      </c>
      <c r="U104" s="19">
        <f t="shared" ref="U104:U167" si="641">IF(OR(LEN(T104)=0,T104=0),"",T104-T103)</f>
        <v>0.25</v>
      </c>
      <c r="V104" s="12">
        <f>운전실적_원본!L104</f>
        <v>0</v>
      </c>
      <c r="W104" s="16" t="str">
        <f t="shared" ref="W104" si="642">IF(OR(LEN(V104)=0,V104=0),"",V104-V103)</f>
        <v/>
      </c>
      <c r="X104" s="10">
        <f>운전실적_원본!M104</f>
        <v>63922</v>
      </c>
      <c r="Y104" s="10">
        <f>운전실적_원본!N104</f>
        <v>0</v>
      </c>
      <c r="Z104" s="10">
        <f>운전실적_원본!O104</f>
        <v>0</v>
      </c>
      <c r="AA104" s="10">
        <f>운전실적_원본!P104</f>
        <v>0</v>
      </c>
      <c r="AB104" s="10">
        <f>운전실적_원본!Q104</f>
        <v>0</v>
      </c>
      <c r="AC104" s="10">
        <f>운전실적_원본!R104</f>
        <v>0</v>
      </c>
      <c r="AD104" s="181">
        <f>운전실적_원본!S104</f>
        <v>10</v>
      </c>
      <c r="AE104" s="181">
        <f>운전실적_원본!T104</f>
        <v>0</v>
      </c>
      <c r="AF104" s="181">
        <f>운전실적_원본!U104</f>
        <v>0</v>
      </c>
      <c r="AG104" s="181">
        <f>운전실적_원본!V104</f>
        <v>0</v>
      </c>
      <c r="AH104" s="106">
        <f t="shared" si="462"/>
        <v>9.5000000000582077</v>
      </c>
      <c r="AI104" s="107">
        <f t="shared" si="470"/>
        <v>0</v>
      </c>
      <c r="AJ104" s="107">
        <f t="shared" si="471"/>
        <v>0</v>
      </c>
      <c r="AK104" s="204">
        <f t="shared" si="472"/>
        <v>0</v>
      </c>
      <c r="AL104" s="103">
        <v>45756.604166666664</v>
      </c>
      <c r="AM104" s="103">
        <v>45757</v>
      </c>
      <c r="AN104" s="103"/>
      <c r="AO104" s="103"/>
      <c r="AP104" s="103"/>
      <c r="AQ104" s="105"/>
      <c r="AR104" s="103"/>
      <c r="AS104" s="103"/>
      <c r="AT104" s="101"/>
      <c r="AU104" s="101"/>
      <c r="AV104" s="101"/>
      <c r="AW104" s="101"/>
      <c r="AX104" s="32">
        <f>운전실적_원본!W104</f>
        <v>406</v>
      </c>
      <c r="AY104" s="198">
        <f>운전실적_원본!X104</f>
        <v>0</v>
      </c>
      <c r="AZ104" s="198">
        <f>운전실적_원본!Y104</f>
        <v>0</v>
      </c>
      <c r="BA104" s="198">
        <f>운전실적_원본!Z104</f>
        <v>0</v>
      </c>
      <c r="BB104" s="198">
        <f>운전실적_원본!AA104</f>
        <v>0</v>
      </c>
      <c r="BC104" s="198">
        <f>운전실적_원본!AB104</f>
        <v>406</v>
      </c>
      <c r="BD104" s="32">
        <f t="shared" si="455"/>
        <v>40.6</v>
      </c>
      <c r="BE104" s="11">
        <f t="shared" si="463"/>
        <v>0.7900369721735746</v>
      </c>
      <c r="BF104" s="11">
        <f>운전실적_원본!AE104</f>
        <v>0</v>
      </c>
      <c r="BG104" s="31">
        <f t="shared" si="456"/>
        <v>0</v>
      </c>
    </row>
    <row r="105" spans="1:59">
      <c r="A105" s="6">
        <f t="shared" si="464"/>
        <v>45757</v>
      </c>
      <c r="B105" s="15">
        <f>운전실적_원본!B105</f>
        <v>5871</v>
      </c>
      <c r="C105" s="16">
        <f t="shared" si="633"/>
        <v>24</v>
      </c>
      <c r="D105" s="9">
        <f>운전실적_원본!C105</f>
        <v>234283</v>
      </c>
      <c r="E105" s="199">
        <f t="shared" si="634"/>
        <v>102</v>
      </c>
      <c r="F105" s="9">
        <f>운전실적_원본!D105</f>
        <v>228561</v>
      </c>
      <c r="G105" s="16">
        <f t="shared" si="635"/>
        <v>121</v>
      </c>
      <c r="H105" s="15">
        <f>운전실적_원본!E105</f>
        <v>14217</v>
      </c>
      <c r="I105" s="16">
        <f t="shared" si="636"/>
        <v>5</v>
      </c>
      <c r="J105" s="15">
        <f>운전실적_원본!E105</f>
        <v>14217</v>
      </c>
      <c r="K105" s="16">
        <f t="shared" si="636"/>
        <v>5</v>
      </c>
      <c r="L105" s="15">
        <f>운전실적_원본!G105</f>
        <v>3829.5</v>
      </c>
      <c r="M105" s="31">
        <f t="shared" ref="M105" si="643">IF(OR(LEN(L105)=0,L105=0),"",L105-L104)</f>
        <v>0.90000000000009095</v>
      </c>
      <c r="N105" s="15">
        <f>운전실적_원본!H105</f>
        <v>12393</v>
      </c>
      <c r="O105" s="16">
        <f t="shared" ref="O105" si="644">IF(OR(LEN(N105)=0,N105=0),"",N105-N104)</f>
        <v>121</v>
      </c>
      <c r="P105" s="15">
        <f>운전실적_원본!I105</f>
        <v>265158</v>
      </c>
      <c r="Q105" s="16">
        <f t="shared" ref="Q105" si="645">IF(OR(LEN(P105)=0,P105=0),"",P105-P104)</f>
        <v>353</v>
      </c>
      <c r="R105" s="18">
        <f>운전실적_원본!J105</f>
        <v>31.33</v>
      </c>
      <c r="S105" s="19">
        <f t="shared" ref="S105" si="646">IF(OR(LEN(R105)=0,R105=0),"",R105-R104)</f>
        <v>-5.0000000000000711E-2</v>
      </c>
      <c r="T105" s="18">
        <f>운전실적_원본!K105</f>
        <v>30.81</v>
      </c>
      <c r="U105" s="19">
        <f t="shared" si="641"/>
        <v>-3.0000000000001137E-2</v>
      </c>
      <c r="V105" s="12">
        <f>운전실적_원본!L105</f>
        <v>0</v>
      </c>
      <c r="W105" s="16" t="str">
        <f t="shared" ref="W105" si="647">IF(OR(LEN(V105)=0,V105=0),"",V105-V104)</f>
        <v/>
      </c>
      <c r="X105" s="10">
        <f>운전실적_원본!M105</f>
        <v>0</v>
      </c>
      <c r="Y105" s="10">
        <f>운전실적_원본!N105</f>
        <v>0</v>
      </c>
      <c r="Z105" s="10">
        <f>운전실적_원본!O105</f>
        <v>0</v>
      </c>
      <c r="AA105" s="10">
        <f>운전실적_원본!P105</f>
        <v>0</v>
      </c>
      <c r="AB105" s="10">
        <f>운전실적_원본!Q105</f>
        <v>0</v>
      </c>
      <c r="AC105" s="10">
        <f>운전실적_원본!R105</f>
        <v>0</v>
      </c>
      <c r="AD105" s="181">
        <f>운전실적_원본!S105</f>
        <v>0</v>
      </c>
      <c r="AE105" s="181">
        <f>운전실적_원본!T105</f>
        <v>0</v>
      </c>
      <c r="AF105" s="181">
        <f>운전실적_원본!U105</f>
        <v>0</v>
      </c>
      <c r="AG105" s="181">
        <f>운전실적_원본!V105</f>
        <v>0</v>
      </c>
      <c r="AH105" s="106">
        <f t="shared" si="462"/>
        <v>0</v>
      </c>
      <c r="AI105" s="107">
        <f t="shared" si="470"/>
        <v>0</v>
      </c>
      <c r="AJ105" s="107">
        <f t="shared" si="471"/>
        <v>0</v>
      </c>
      <c r="AK105" s="204">
        <f t="shared" si="472"/>
        <v>0</v>
      </c>
      <c r="AL105" s="103"/>
      <c r="AM105" s="103"/>
      <c r="AN105" s="103"/>
      <c r="AO105" s="103"/>
      <c r="AP105" s="103"/>
      <c r="AQ105" s="105"/>
      <c r="AR105" s="103"/>
      <c r="AS105" s="103"/>
      <c r="AT105" s="101"/>
      <c r="AU105" s="101"/>
      <c r="AV105" s="101"/>
      <c r="AW105" s="101"/>
      <c r="AX105" s="32">
        <f>운전실적_원본!W105</f>
        <v>0</v>
      </c>
      <c r="AY105" s="198">
        <f>운전실적_원본!X105</f>
        <v>0</v>
      </c>
      <c r="AZ105" s="198">
        <f>운전실적_원본!Y105</f>
        <v>0</v>
      </c>
      <c r="BA105" s="198">
        <f>운전실적_원본!Z105</f>
        <v>0</v>
      </c>
      <c r="BB105" s="198">
        <f>운전실적_원본!AA105</f>
        <v>0</v>
      </c>
      <c r="BC105" s="198">
        <f>운전실적_원본!AB105</f>
        <v>0</v>
      </c>
      <c r="BD105" s="32" t="str">
        <f t="shared" si="455"/>
        <v>-</v>
      </c>
      <c r="BE105" s="11" t="str">
        <f t="shared" si="463"/>
        <v>-</v>
      </c>
      <c r="BF105" s="11">
        <f>운전실적_원본!AE105</f>
        <v>0</v>
      </c>
      <c r="BG105" s="31">
        <f t="shared" si="456"/>
        <v>0</v>
      </c>
    </row>
    <row r="106" spans="1:59">
      <c r="A106" s="6">
        <f t="shared" si="464"/>
        <v>45758</v>
      </c>
      <c r="B106" s="15">
        <f>운전실적_원본!B106</f>
        <v>5903</v>
      </c>
      <c r="C106" s="16">
        <f t="shared" si="633"/>
        <v>32</v>
      </c>
      <c r="D106" s="9">
        <f>운전실적_원본!C106</f>
        <v>234361</v>
      </c>
      <c r="E106" s="199">
        <f t="shared" si="634"/>
        <v>78</v>
      </c>
      <c r="F106" s="9">
        <f>운전실적_원본!D106</f>
        <v>228690</v>
      </c>
      <c r="G106" s="16">
        <f t="shared" si="635"/>
        <v>129</v>
      </c>
      <c r="H106" s="15">
        <f>운전실적_원본!E106</f>
        <v>14221</v>
      </c>
      <c r="I106" s="16">
        <f t="shared" si="636"/>
        <v>4</v>
      </c>
      <c r="J106" s="15">
        <f>운전실적_원본!E106</f>
        <v>14221</v>
      </c>
      <c r="K106" s="16">
        <f t="shared" si="636"/>
        <v>4</v>
      </c>
      <c r="L106" s="15">
        <f>운전실적_원본!G106</f>
        <v>3830.4</v>
      </c>
      <c r="M106" s="31">
        <f t="shared" ref="M106" si="648">IF(OR(LEN(L106)=0,L106=0),"",L106-L105)</f>
        <v>0.90000000000009095</v>
      </c>
      <c r="N106" s="15">
        <f>운전실적_원본!H106</f>
        <v>12497</v>
      </c>
      <c r="O106" s="16">
        <f t="shared" ref="O106" si="649">IF(OR(LEN(N106)=0,N106=0),"",N106-N105)</f>
        <v>104</v>
      </c>
      <c r="P106" s="15">
        <f>운전실적_원본!I106</f>
        <v>265452</v>
      </c>
      <c r="Q106" s="16">
        <f t="shared" ref="Q106" si="650">IF(OR(LEN(P106)=0,P106=0),"",P106-P105)</f>
        <v>294</v>
      </c>
      <c r="R106" s="18">
        <f>운전실적_원본!J106</f>
        <v>31.71</v>
      </c>
      <c r="S106" s="19">
        <f t="shared" ref="S106" si="651">IF(OR(LEN(R106)=0,R106=0),"",R106-R105)</f>
        <v>0.38000000000000256</v>
      </c>
      <c r="T106" s="18">
        <f>운전실적_원본!K106</f>
        <v>30.94</v>
      </c>
      <c r="U106" s="19">
        <f t="shared" si="641"/>
        <v>0.13000000000000256</v>
      </c>
      <c r="V106" s="12">
        <f>운전실적_원본!L106</f>
        <v>0</v>
      </c>
      <c r="W106" s="16" t="str">
        <f t="shared" ref="W106" si="652">IF(OR(LEN(V106)=0,V106=0),"",V106-V105)</f>
        <v/>
      </c>
      <c r="X106" s="10">
        <f>운전실적_원본!M106</f>
        <v>50080.7</v>
      </c>
      <c r="Y106" s="10">
        <f>운전실적_원본!N106</f>
        <v>0</v>
      </c>
      <c r="Z106" s="10">
        <f>운전실적_원본!O106</f>
        <v>0</v>
      </c>
      <c r="AA106" s="10">
        <f>운전실적_원본!P106</f>
        <v>0</v>
      </c>
      <c r="AB106" s="10">
        <f>운전실적_원본!Q106</f>
        <v>0</v>
      </c>
      <c r="AC106" s="10">
        <f>운전실적_원본!R106</f>
        <v>0</v>
      </c>
      <c r="AD106" s="181">
        <f>운전실적_원본!S106</f>
        <v>10</v>
      </c>
      <c r="AE106" s="181">
        <f>운전실적_원본!T106</f>
        <v>0</v>
      </c>
      <c r="AF106" s="181">
        <f>운전실적_원본!U106</f>
        <v>0</v>
      </c>
      <c r="AG106" s="181">
        <f>운전실적_원본!V106</f>
        <v>0</v>
      </c>
      <c r="AH106" s="106">
        <f t="shared" si="462"/>
        <v>9.9999999999417923</v>
      </c>
      <c r="AI106" s="107">
        <f t="shared" si="470"/>
        <v>0</v>
      </c>
      <c r="AJ106" s="107">
        <f t="shared" si="471"/>
        <v>0</v>
      </c>
      <c r="AK106" s="204">
        <f t="shared" si="472"/>
        <v>0</v>
      </c>
      <c r="AL106" s="103">
        <v>45758.5</v>
      </c>
      <c r="AM106" s="103">
        <v>45758.916666666664</v>
      </c>
      <c r="AN106" s="103"/>
      <c r="AO106" s="103"/>
      <c r="AP106" s="103"/>
      <c r="AQ106" s="105"/>
      <c r="AR106" s="103"/>
      <c r="AS106" s="103"/>
      <c r="AT106" s="101"/>
      <c r="AU106" s="101"/>
      <c r="AV106" s="101"/>
      <c r="AW106" s="101"/>
      <c r="AX106" s="32">
        <f>운전실적_원본!W106</f>
        <v>311</v>
      </c>
      <c r="AY106" s="198">
        <f>운전실적_원본!X106</f>
        <v>0</v>
      </c>
      <c r="AZ106" s="198">
        <f>운전실적_원본!Y106</f>
        <v>0</v>
      </c>
      <c r="BA106" s="198">
        <f>운전실적_원본!Z106</f>
        <v>0</v>
      </c>
      <c r="BB106" s="198">
        <f>운전실적_원본!AA106</f>
        <v>0</v>
      </c>
      <c r="BC106" s="198">
        <f>운전실적_원본!AB106</f>
        <v>311</v>
      </c>
      <c r="BD106" s="32">
        <f t="shared" si="455"/>
        <v>31.1</v>
      </c>
      <c r="BE106" s="11">
        <f t="shared" si="463"/>
        <v>0.60517610430044755</v>
      </c>
      <c r="BF106" s="11">
        <f>운전실적_원본!AE106</f>
        <v>0</v>
      </c>
      <c r="BG106" s="31">
        <f t="shared" si="456"/>
        <v>0</v>
      </c>
    </row>
    <row r="107" spans="1:59">
      <c r="A107" s="6">
        <f t="shared" si="464"/>
        <v>45759</v>
      </c>
      <c r="B107" s="15">
        <f>운전실적_원본!B107</f>
        <v>5935</v>
      </c>
      <c r="C107" s="16">
        <f t="shared" si="633"/>
        <v>32</v>
      </c>
      <c r="D107" s="9">
        <f>운전실적_원본!C107</f>
        <v>234481</v>
      </c>
      <c r="E107" s="199">
        <f t="shared" si="634"/>
        <v>120</v>
      </c>
      <c r="F107" s="9">
        <f>운전실적_원본!D107</f>
        <v>228767</v>
      </c>
      <c r="G107" s="16">
        <f t="shared" si="635"/>
        <v>77</v>
      </c>
      <c r="H107" s="15">
        <f>운전실적_원본!E107</f>
        <v>14223</v>
      </c>
      <c r="I107" s="16">
        <f t="shared" si="636"/>
        <v>2</v>
      </c>
      <c r="J107" s="15">
        <f>운전실적_원본!E107</f>
        <v>14223</v>
      </c>
      <c r="K107" s="16">
        <f t="shared" si="636"/>
        <v>2</v>
      </c>
      <c r="L107" s="15">
        <f>운전실적_원본!G107</f>
        <v>3830.9</v>
      </c>
      <c r="M107" s="31">
        <f t="shared" ref="M107" si="653">IF(OR(LEN(L107)=0,L107=0),"",L107-L106)</f>
        <v>0.5</v>
      </c>
      <c r="N107" s="15">
        <f>운전실적_원본!H107</f>
        <v>12560</v>
      </c>
      <c r="O107" s="16">
        <f t="shared" ref="O107" si="654">IF(OR(LEN(N107)=0,N107=0),"",N107-N106)</f>
        <v>63</v>
      </c>
      <c r="P107" s="15">
        <f>운전실적_원본!I107</f>
        <v>265723</v>
      </c>
      <c r="Q107" s="16">
        <f t="shared" ref="Q107" si="655">IF(OR(LEN(P107)=0,P107=0),"",P107-P106)</f>
        <v>271</v>
      </c>
      <c r="R107" s="18">
        <f>운전실적_원본!J107</f>
        <v>31.57</v>
      </c>
      <c r="S107" s="19">
        <f t="shared" ref="S107" si="656">IF(OR(LEN(R107)=0,R107=0),"",R107-R106)</f>
        <v>-0.14000000000000057</v>
      </c>
      <c r="T107" s="18">
        <f>운전실적_원본!K107</f>
        <v>31.01</v>
      </c>
      <c r="U107" s="19">
        <f t="shared" si="641"/>
        <v>7.0000000000000284E-2</v>
      </c>
      <c r="V107" s="12">
        <f>운전실적_원본!L107</f>
        <v>0</v>
      </c>
      <c r="W107" s="16" t="str">
        <f t="shared" ref="W107" si="657">IF(OR(LEN(V107)=0,V107=0),"",V107-V106)</f>
        <v/>
      </c>
      <c r="X107" s="10">
        <f>운전실적_원본!M107</f>
        <v>0</v>
      </c>
      <c r="Y107" s="10">
        <f>운전실적_원본!N107</f>
        <v>0</v>
      </c>
      <c r="Z107" s="10">
        <f>운전실적_원본!O107</f>
        <v>0</v>
      </c>
      <c r="AA107" s="10">
        <f>운전실적_원본!P107</f>
        <v>0</v>
      </c>
      <c r="AB107" s="10">
        <f>운전실적_원본!Q107</f>
        <v>0</v>
      </c>
      <c r="AC107" s="10">
        <f>운전실적_원본!R107</f>
        <v>0</v>
      </c>
      <c r="AD107" s="181">
        <f>운전실적_원본!S107</f>
        <v>0</v>
      </c>
      <c r="AE107" s="181">
        <f>운전실적_원본!T107</f>
        <v>0</v>
      </c>
      <c r="AF107" s="181">
        <f>운전실적_원본!U107</f>
        <v>0</v>
      </c>
      <c r="AG107" s="181">
        <f>운전실적_원본!V107</f>
        <v>0</v>
      </c>
      <c r="AH107" s="106">
        <f t="shared" si="462"/>
        <v>0</v>
      </c>
      <c r="AI107" s="107">
        <f t="shared" si="470"/>
        <v>0</v>
      </c>
      <c r="AJ107" s="107">
        <f t="shared" si="471"/>
        <v>0</v>
      </c>
      <c r="AK107" s="204">
        <f t="shared" si="472"/>
        <v>0</v>
      </c>
      <c r="AL107" s="103"/>
      <c r="AM107" s="103"/>
      <c r="AN107" s="103"/>
      <c r="AO107" s="103"/>
      <c r="AP107" s="103"/>
      <c r="AQ107" s="105"/>
      <c r="AR107" s="103"/>
      <c r="AS107" s="103"/>
      <c r="AT107" s="101"/>
      <c r="AU107" s="101"/>
      <c r="AV107" s="101"/>
      <c r="AW107" s="101"/>
      <c r="AX107" s="32">
        <f>운전실적_원본!W107</f>
        <v>0</v>
      </c>
      <c r="AY107" s="198">
        <f>운전실적_원본!X107</f>
        <v>0</v>
      </c>
      <c r="AZ107" s="198">
        <f>운전실적_원본!Y107</f>
        <v>0</v>
      </c>
      <c r="BA107" s="198">
        <f>운전실적_원본!Z107</f>
        <v>0</v>
      </c>
      <c r="BB107" s="198">
        <f>운전실적_원본!AA107</f>
        <v>0</v>
      </c>
      <c r="BC107" s="198">
        <f>운전실적_원본!AB107</f>
        <v>0</v>
      </c>
      <c r="BD107" s="32" t="str">
        <f t="shared" si="455"/>
        <v>-</v>
      </c>
      <c r="BE107" s="11" t="str">
        <f t="shared" si="463"/>
        <v>-</v>
      </c>
      <c r="BF107" s="11">
        <f>운전실적_원본!AE107</f>
        <v>0</v>
      </c>
      <c r="BG107" s="31">
        <f t="shared" si="456"/>
        <v>0</v>
      </c>
    </row>
    <row r="108" spans="1:59">
      <c r="A108" s="6">
        <f t="shared" si="464"/>
        <v>45760</v>
      </c>
      <c r="B108" s="15">
        <f>운전실적_원본!B108</f>
        <v>5948</v>
      </c>
      <c r="C108" s="16">
        <f t="shared" si="633"/>
        <v>13</v>
      </c>
      <c r="D108" s="9">
        <f>운전실적_원본!C108</f>
        <v>234495</v>
      </c>
      <c r="E108" s="199">
        <f t="shared" si="634"/>
        <v>14</v>
      </c>
      <c r="F108" s="9">
        <f>운전실적_원본!D108</f>
        <v>228767</v>
      </c>
      <c r="G108" s="16">
        <f t="shared" si="635"/>
        <v>0</v>
      </c>
      <c r="H108" s="15">
        <f>운전실적_원본!E108</f>
        <v>14226</v>
      </c>
      <c r="I108" s="16">
        <f t="shared" si="636"/>
        <v>3</v>
      </c>
      <c r="J108" s="15">
        <f>운전실적_원본!E108</f>
        <v>14226</v>
      </c>
      <c r="K108" s="16">
        <f t="shared" si="636"/>
        <v>3</v>
      </c>
      <c r="L108" s="15">
        <f>운전실적_원본!G108</f>
        <v>3831.5</v>
      </c>
      <c r="M108" s="31">
        <f t="shared" ref="M108" si="658">IF(OR(LEN(L108)=0,L108=0),"",L108-L107)</f>
        <v>0.59999999999990905</v>
      </c>
      <c r="N108" s="15">
        <f>운전실적_원본!H108</f>
        <v>12610</v>
      </c>
      <c r="O108" s="16">
        <f t="shared" ref="O108" si="659">IF(OR(LEN(N108)=0,N108=0),"",N108-N107)</f>
        <v>50</v>
      </c>
      <c r="P108" s="15">
        <f>운전실적_원본!I108</f>
        <v>265745</v>
      </c>
      <c r="Q108" s="16">
        <f t="shared" ref="Q108" si="660">IF(OR(LEN(P108)=0,P108=0),"",P108-P107)</f>
        <v>22</v>
      </c>
      <c r="R108" s="18">
        <f>운전실적_원본!J108</f>
        <v>31.15</v>
      </c>
      <c r="S108" s="19">
        <f t="shared" ref="S108" si="661">IF(OR(LEN(R108)=0,R108=0),"",R108-R107)</f>
        <v>-0.42000000000000171</v>
      </c>
      <c r="T108" s="18">
        <f>운전실적_원본!K108</f>
        <v>30.93</v>
      </c>
      <c r="U108" s="19">
        <f t="shared" si="641"/>
        <v>-8.0000000000001847E-2</v>
      </c>
      <c r="V108" s="12">
        <f>운전실적_원본!L108</f>
        <v>0</v>
      </c>
      <c r="W108" s="16" t="str">
        <f t="shared" ref="W108" si="662">IF(OR(LEN(V108)=0,V108=0),"",V108-V107)</f>
        <v/>
      </c>
      <c r="X108" s="10">
        <f>운전실적_원본!M108</f>
        <v>0</v>
      </c>
      <c r="Y108" s="10">
        <f>운전실적_원본!N108</f>
        <v>0</v>
      </c>
      <c r="Z108" s="10">
        <f>운전실적_원본!O108</f>
        <v>0</v>
      </c>
      <c r="AA108" s="10">
        <f>운전실적_원본!P108</f>
        <v>0</v>
      </c>
      <c r="AB108" s="10">
        <f>운전실적_원본!Q108</f>
        <v>0</v>
      </c>
      <c r="AC108" s="10">
        <f>운전실적_원본!R108</f>
        <v>0</v>
      </c>
      <c r="AD108" s="181">
        <f>운전실적_원본!S108</f>
        <v>0</v>
      </c>
      <c r="AE108" s="181">
        <f>운전실적_원본!T108</f>
        <v>0</v>
      </c>
      <c r="AF108" s="181">
        <f>운전실적_원본!U108</f>
        <v>0</v>
      </c>
      <c r="AG108" s="181">
        <f>운전실적_원본!V108</f>
        <v>0</v>
      </c>
      <c r="AH108" s="106">
        <f t="shared" si="462"/>
        <v>0</v>
      </c>
      <c r="AI108" s="107">
        <f t="shared" si="470"/>
        <v>0</v>
      </c>
      <c r="AJ108" s="107">
        <f t="shared" si="471"/>
        <v>0</v>
      </c>
      <c r="AK108" s="204">
        <f t="shared" si="472"/>
        <v>0</v>
      </c>
      <c r="AL108" s="103"/>
      <c r="AM108" s="103"/>
      <c r="AN108" s="103"/>
      <c r="AO108" s="103"/>
      <c r="AP108" s="103"/>
      <c r="AQ108" s="105"/>
      <c r="AR108" s="103"/>
      <c r="AS108" s="103"/>
      <c r="AT108" s="101"/>
      <c r="AU108" s="101"/>
      <c r="AV108" s="101"/>
      <c r="AW108" s="101"/>
      <c r="AX108" s="32">
        <f>운전실적_원본!W108</f>
        <v>0</v>
      </c>
      <c r="AY108" s="198">
        <f>운전실적_원본!X108</f>
        <v>0</v>
      </c>
      <c r="AZ108" s="198">
        <f>운전실적_원본!Y108</f>
        <v>0</v>
      </c>
      <c r="BA108" s="198">
        <f>운전실적_원본!Z108</f>
        <v>0</v>
      </c>
      <c r="BB108" s="198">
        <f>운전실적_원본!AA108</f>
        <v>0</v>
      </c>
      <c r="BC108" s="198">
        <f>운전실적_원본!AB108</f>
        <v>0</v>
      </c>
      <c r="BD108" s="32" t="str">
        <f t="shared" si="455"/>
        <v>-</v>
      </c>
      <c r="BE108" s="11" t="str">
        <f t="shared" si="463"/>
        <v>-</v>
      </c>
      <c r="BF108" s="11">
        <f>운전실적_원본!AE108</f>
        <v>0</v>
      </c>
      <c r="BG108" s="31">
        <f t="shared" si="456"/>
        <v>0</v>
      </c>
    </row>
    <row r="109" spans="1:59">
      <c r="A109" s="6">
        <f t="shared" si="464"/>
        <v>45761</v>
      </c>
      <c r="B109" s="15">
        <f>운전실적_원본!B109</f>
        <v>5951</v>
      </c>
      <c r="C109" s="16">
        <f t="shared" si="633"/>
        <v>3</v>
      </c>
      <c r="D109" s="9">
        <f>운전실적_원본!C109</f>
        <v>234569</v>
      </c>
      <c r="E109" s="199">
        <f t="shared" si="634"/>
        <v>74</v>
      </c>
      <c r="F109" s="9">
        <f>운전실적_원본!D109</f>
        <v>228767</v>
      </c>
      <c r="G109" s="16">
        <f t="shared" si="635"/>
        <v>0</v>
      </c>
      <c r="H109" s="15">
        <f>운전실적_원본!E109</f>
        <v>14231</v>
      </c>
      <c r="I109" s="16">
        <f t="shared" si="636"/>
        <v>5</v>
      </c>
      <c r="J109" s="15">
        <f>운전실적_원본!E109</f>
        <v>14231</v>
      </c>
      <c r="K109" s="16">
        <f t="shared" si="636"/>
        <v>5</v>
      </c>
      <c r="L109" s="15">
        <f>운전실적_원본!G109</f>
        <v>3832.4</v>
      </c>
      <c r="M109" s="31">
        <f t="shared" ref="M109" si="663">IF(OR(LEN(L109)=0,L109=0),"",L109-L108)</f>
        <v>0.90000000000009095</v>
      </c>
      <c r="N109" s="15">
        <f>운전실적_원본!H109</f>
        <v>12708</v>
      </c>
      <c r="O109" s="16">
        <f t="shared" ref="O109" si="664">IF(OR(LEN(N109)=0,N109=0),"",N109-N108)</f>
        <v>98</v>
      </c>
      <c r="P109" s="15">
        <f>운전실적_원본!I109</f>
        <v>265942</v>
      </c>
      <c r="Q109" s="16">
        <f t="shared" ref="Q109" si="665">IF(OR(LEN(P109)=0,P109=0),"",P109-P108)</f>
        <v>197</v>
      </c>
      <c r="R109" s="18">
        <f>운전실적_원본!J109</f>
        <v>31.18</v>
      </c>
      <c r="S109" s="19">
        <f t="shared" ref="S109" si="666">IF(OR(LEN(R109)=0,R109=0),"",R109-R108)</f>
        <v>3.0000000000001137E-2</v>
      </c>
      <c r="T109" s="18">
        <f>운전실적_원본!K109</f>
        <v>30.84</v>
      </c>
      <c r="U109" s="19">
        <f t="shared" si="641"/>
        <v>-8.9999999999999858E-2</v>
      </c>
      <c r="V109" s="12">
        <f>운전실적_원본!L109</f>
        <v>0</v>
      </c>
      <c r="W109" s="16" t="str">
        <f t="shared" ref="W109" si="667">IF(OR(LEN(V109)=0,V109=0),"",V109-V108)</f>
        <v/>
      </c>
      <c r="X109" s="10">
        <f>운전실적_원본!M109</f>
        <v>134488.79999999999</v>
      </c>
      <c r="Y109" s="10">
        <f>운전실적_원본!N109</f>
        <v>0</v>
      </c>
      <c r="Z109" s="10">
        <f>운전실적_원본!O109</f>
        <v>0</v>
      </c>
      <c r="AA109" s="10">
        <f>운전실적_원본!P109</f>
        <v>0</v>
      </c>
      <c r="AB109" s="10">
        <f>운전실적_원본!Q109</f>
        <v>0</v>
      </c>
      <c r="AC109" s="10">
        <f>운전실적_원본!R109</f>
        <v>0</v>
      </c>
      <c r="AD109" s="181">
        <f>운전실적_원본!S109</f>
        <v>20</v>
      </c>
      <c r="AE109" s="181">
        <f>운전실적_원본!T109</f>
        <v>0</v>
      </c>
      <c r="AF109" s="181">
        <f>운전실적_원본!U109</f>
        <v>0</v>
      </c>
      <c r="AG109" s="181">
        <f>운전실적_원본!V109</f>
        <v>0</v>
      </c>
      <c r="AH109" s="106">
        <f t="shared" si="462"/>
        <v>20.000000000058208</v>
      </c>
      <c r="AI109" s="107">
        <f t="shared" si="470"/>
        <v>0</v>
      </c>
      <c r="AJ109" s="107">
        <f t="shared" si="471"/>
        <v>0</v>
      </c>
      <c r="AK109" s="204">
        <f t="shared" si="472"/>
        <v>0</v>
      </c>
      <c r="AL109" s="103">
        <v>45761.166666666664</v>
      </c>
      <c r="AM109" s="103">
        <v>45762</v>
      </c>
      <c r="AN109" s="103"/>
      <c r="AO109" s="103"/>
      <c r="AP109" s="103"/>
      <c r="AQ109" s="105"/>
      <c r="AR109" s="103"/>
      <c r="AS109" s="103"/>
      <c r="AT109" s="101"/>
      <c r="AU109" s="101"/>
      <c r="AV109" s="101"/>
      <c r="AW109" s="101"/>
      <c r="AX109" s="32">
        <f>운전실적_원본!W109</f>
        <v>839</v>
      </c>
      <c r="AY109" s="198">
        <f>운전실적_원본!X109</f>
        <v>0</v>
      </c>
      <c r="AZ109" s="198">
        <f>운전실적_원본!Y109</f>
        <v>0</v>
      </c>
      <c r="BA109" s="198">
        <f>운전실적_원본!Z109</f>
        <v>0</v>
      </c>
      <c r="BB109" s="198">
        <f>운전실적_원본!AA109</f>
        <v>0</v>
      </c>
      <c r="BC109" s="198">
        <f>운전실적_원본!AB109</f>
        <v>839</v>
      </c>
      <c r="BD109" s="32">
        <f t="shared" si="455"/>
        <v>41.95</v>
      </c>
      <c r="BE109" s="11">
        <f t="shared" si="463"/>
        <v>0.81630667445028215</v>
      </c>
      <c r="BF109" s="11">
        <f>운전실적_원본!AE109</f>
        <v>0</v>
      </c>
      <c r="BG109" s="31">
        <f t="shared" si="456"/>
        <v>0</v>
      </c>
    </row>
    <row r="110" spans="1:59">
      <c r="A110" s="6">
        <f t="shared" si="464"/>
        <v>45762</v>
      </c>
      <c r="B110" s="15">
        <f>운전실적_원본!B110</f>
        <v>5978</v>
      </c>
      <c r="C110" s="16">
        <f t="shared" si="633"/>
        <v>27</v>
      </c>
      <c r="D110" s="9">
        <f>운전실적_원본!C110</f>
        <v>234695</v>
      </c>
      <c r="E110" s="199">
        <f t="shared" si="634"/>
        <v>126</v>
      </c>
      <c r="F110" s="9">
        <f>운전실적_원본!D110</f>
        <v>228877</v>
      </c>
      <c r="G110" s="16">
        <f t="shared" si="635"/>
        <v>110</v>
      </c>
      <c r="H110" s="15">
        <f>운전실적_원본!E110</f>
        <v>14236</v>
      </c>
      <c r="I110" s="16">
        <f t="shared" si="636"/>
        <v>5</v>
      </c>
      <c r="J110" s="15">
        <f>운전실적_원본!E110</f>
        <v>14236</v>
      </c>
      <c r="K110" s="16">
        <f t="shared" si="636"/>
        <v>5</v>
      </c>
      <c r="L110" s="15">
        <f>운전실적_원본!G110</f>
        <v>3833.4</v>
      </c>
      <c r="M110" s="31">
        <f t="shared" ref="M110" si="668">IF(OR(LEN(L110)=0,L110=0),"",L110-L109)</f>
        <v>1</v>
      </c>
      <c r="N110" s="15">
        <f>운전실적_원본!H110</f>
        <v>12833</v>
      </c>
      <c r="O110" s="16">
        <f t="shared" ref="O110" si="669">IF(OR(LEN(N110)=0,N110=0),"",N110-N109)</f>
        <v>125</v>
      </c>
      <c r="P110" s="15">
        <f>운전실적_원본!I110</f>
        <v>266213</v>
      </c>
      <c r="Q110" s="16">
        <f t="shared" ref="Q110" si="670">IF(OR(LEN(P110)=0,P110=0),"",P110-P109)</f>
        <v>271</v>
      </c>
      <c r="R110" s="18">
        <f>운전실적_원본!J110</f>
        <v>31.47</v>
      </c>
      <c r="S110" s="19">
        <f t="shared" ref="S110" si="671">IF(OR(LEN(R110)=0,R110=0),"",R110-R109)</f>
        <v>0.28999999999999915</v>
      </c>
      <c r="T110" s="18">
        <f>운전실적_원본!K110</f>
        <v>31.08</v>
      </c>
      <c r="U110" s="19">
        <f t="shared" si="641"/>
        <v>0.23999999999999844</v>
      </c>
      <c r="V110" s="12">
        <f>운전실적_원본!L110</f>
        <v>0</v>
      </c>
      <c r="W110" s="16" t="str">
        <f t="shared" ref="W110" si="672">IF(OR(LEN(V110)=0,V110=0),"",V110-V109)</f>
        <v/>
      </c>
      <c r="X110" s="10">
        <f>운전실적_원본!M110</f>
        <v>130276</v>
      </c>
      <c r="Y110" s="10">
        <f>운전실적_원본!N110</f>
        <v>0</v>
      </c>
      <c r="Z110" s="10">
        <f>운전실적_원본!O110</f>
        <v>0</v>
      </c>
      <c r="AA110" s="10">
        <f>운전실적_원본!P110</f>
        <v>0</v>
      </c>
      <c r="AB110" s="10">
        <f>운전실적_원본!Q110</f>
        <v>0</v>
      </c>
      <c r="AC110" s="10">
        <f>운전실적_원본!R110</f>
        <v>0</v>
      </c>
      <c r="AD110" s="181">
        <f>운전실적_원본!S110</f>
        <v>17</v>
      </c>
      <c r="AE110" s="181">
        <f>운전실적_원본!T110</f>
        <v>0</v>
      </c>
      <c r="AF110" s="181">
        <f>운전실적_원본!U110</f>
        <v>0</v>
      </c>
      <c r="AG110" s="181">
        <f>운전실적_원본!V110</f>
        <v>0</v>
      </c>
      <c r="AH110" s="106">
        <f t="shared" si="462"/>
        <v>17.000000000058208</v>
      </c>
      <c r="AI110" s="107">
        <f t="shared" si="470"/>
        <v>0</v>
      </c>
      <c r="AJ110" s="107">
        <f t="shared" si="471"/>
        <v>0</v>
      </c>
      <c r="AK110" s="204">
        <f t="shared" si="472"/>
        <v>0</v>
      </c>
      <c r="AL110" s="103">
        <v>45762.291666666664</v>
      </c>
      <c r="AM110" s="103">
        <v>45763</v>
      </c>
      <c r="AN110" s="103"/>
      <c r="AO110" s="103"/>
      <c r="AP110" s="103"/>
      <c r="AQ110" s="105"/>
      <c r="AR110" s="103"/>
      <c r="AS110" s="103"/>
      <c r="AT110" s="101"/>
      <c r="AU110" s="101"/>
      <c r="AV110" s="101"/>
      <c r="AW110" s="101"/>
      <c r="AX110" s="32">
        <f>운전실적_원본!W110</f>
        <v>830</v>
      </c>
      <c r="AY110" s="198">
        <f>운전실적_원본!X110</f>
        <v>0</v>
      </c>
      <c r="AZ110" s="198">
        <f>운전실적_원본!Y110</f>
        <v>0</v>
      </c>
      <c r="BA110" s="198">
        <f>운전실적_원본!Z110</f>
        <v>0</v>
      </c>
      <c r="BB110" s="198">
        <f>운전실적_원본!AA110</f>
        <v>0</v>
      </c>
      <c r="BC110" s="198">
        <f>운전실적_원본!AB110</f>
        <v>830</v>
      </c>
      <c r="BD110" s="32">
        <f t="shared" si="455"/>
        <v>48.823529411764703</v>
      </c>
      <c r="BE110" s="11">
        <f t="shared" si="463"/>
        <v>0.95005894944083868</v>
      </c>
      <c r="BF110" s="11">
        <f>운전실적_원본!AE110</f>
        <v>0</v>
      </c>
      <c r="BG110" s="31">
        <f t="shared" si="456"/>
        <v>0</v>
      </c>
    </row>
    <row r="111" spans="1:59">
      <c r="A111" s="6">
        <f t="shared" si="464"/>
        <v>45763</v>
      </c>
      <c r="B111" s="15">
        <f>운전실적_원본!B111</f>
        <v>5978</v>
      </c>
      <c r="C111" s="16">
        <f t="shared" si="633"/>
        <v>0</v>
      </c>
      <c r="D111" s="9">
        <f>운전실적_원본!C111</f>
        <v>234792</v>
      </c>
      <c r="E111" s="199">
        <f t="shared" si="634"/>
        <v>97</v>
      </c>
      <c r="F111" s="9">
        <f>운전실적_원본!D111</f>
        <v>229007</v>
      </c>
      <c r="G111" s="16">
        <f t="shared" si="635"/>
        <v>130</v>
      </c>
      <c r="H111" s="15">
        <f>운전실적_원본!E111</f>
        <v>14241</v>
      </c>
      <c r="I111" s="16">
        <f t="shared" si="636"/>
        <v>5</v>
      </c>
      <c r="J111" s="15">
        <f>운전실적_원본!E111</f>
        <v>14241</v>
      </c>
      <c r="K111" s="16">
        <f t="shared" si="636"/>
        <v>5</v>
      </c>
      <c r="L111" s="15">
        <f>운전실적_원본!G111</f>
        <v>3834.7</v>
      </c>
      <c r="M111" s="31">
        <f t="shared" ref="M111" si="673">IF(OR(LEN(L111)=0,L111=0),"",L111-L110)</f>
        <v>1.2999999999997272</v>
      </c>
      <c r="N111" s="15">
        <f>운전실적_원본!H111</f>
        <v>12933</v>
      </c>
      <c r="O111" s="16">
        <f t="shared" ref="O111" si="674">IF(OR(LEN(N111)=0,N111=0),"",N111-N110)</f>
        <v>100</v>
      </c>
      <c r="P111" s="15">
        <f>운전실적_원본!I111</f>
        <v>266611</v>
      </c>
      <c r="Q111" s="16">
        <f t="shared" ref="Q111" si="675">IF(OR(LEN(P111)=0,P111=0),"",P111-P110)</f>
        <v>398</v>
      </c>
      <c r="R111" s="18">
        <f>운전실적_원본!J111</f>
        <v>31.45</v>
      </c>
      <c r="S111" s="19">
        <f t="shared" ref="S111" si="676">IF(OR(LEN(R111)=0,R111=0),"",R111-R110)</f>
        <v>-1.9999999999999574E-2</v>
      </c>
      <c r="T111" s="18">
        <f>운전실적_원본!K111</f>
        <v>31</v>
      </c>
      <c r="U111" s="19">
        <f t="shared" si="641"/>
        <v>-7.9999999999998295E-2</v>
      </c>
      <c r="V111" s="12">
        <f>운전실적_원본!L111</f>
        <v>0</v>
      </c>
      <c r="W111" s="16" t="str">
        <f t="shared" ref="W111" si="677">IF(OR(LEN(V111)=0,V111=0),"",V111-V110)</f>
        <v/>
      </c>
      <c r="X111" s="10">
        <f>운전실적_원본!M111</f>
        <v>102348.3</v>
      </c>
      <c r="Y111" s="10">
        <f>운전실적_원본!N111</f>
        <v>0</v>
      </c>
      <c r="Z111" s="10">
        <f>운전실적_원본!O111</f>
        <v>0</v>
      </c>
      <c r="AA111" s="10">
        <f>운전실적_원본!P111</f>
        <v>0</v>
      </c>
      <c r="AB111" s="10">
        <f>운전실적_원본!Q111</f>
        <v>0</v>
      </c>
      <c r="AC111" s="10">
        <f>운전실적_원본!R111</f>
        <v>0</v>
      </c>
      <c r="AD111" s="181">
        <f>운전실적_원본!S111</f>
        <v>15</v>
      </c>
      <c r="AE111" s="181">
        <f>운전실적_원본!T111</f>
        <v>0</v>
      </c>
      <c r="AF111" s="181">
        <f>운전실적_원본!U111</f>
        <v>0</v>
      </c>
      <c r="AG111" s="181">
        <f>운전실적_원본!V111</f>
        <v>0</v>
      </c>
      <c r="AH111" s="106">
        <f t="shared" si="462"/>
        <v>15.999999999941792</v>
      </c>
      <c r="AI111" s="107">
        <f t="shared" si="470"/>
        <v>0</v>
      </c>
      <c r="AJ111" s="107">
        <f t="shared" si="471"/>
        <v>0</v>
      </c>
      <c r="AK111" s="204">
        <f t="shared" si="472"/>
        <v>0</v>
      </c>
      <c r="AL111" s="103">
        <v>45763.333333333336</v>
      </c>
      <c r="AM111" s="103">
        <v>45764</v>
      </c>
      <c r="AN111" s="103"/>
      <c r="AO111" s="103"/>
      <c r="AP111" s="103"/>
      <c r="AQ111" s="105"/>
      <c r="AR111" s="103"/>
      <c r="AS111" s="103"/>
      <c r="AT111" s="101"/>
      <c r="AU111" s="101"/>
      <c r="AV111" s="101"/>
      <c r="AW111" s="101"/>
      <c r="AX111" s="32">
        <f>운전실적_원본!W111</f>
        <v>651</v>
      </c>
      <c r="AY111" s="198">
        <f>운전실적_원본!X111</f>
        <v>0</v>
      </c>
      <c r="AZ111" s="198">
        <f>운전실적_원본!Y111</f>
        <v>0</v>
      </c>
      <c r="BA111" s="198">
        <f>운전실적_원본!Z111</f>
        <v>0</v>
      </c>
      <c r="BB111" s="198">
        <f>운전실적_원본!AA111</f>
        <v>0</v>
      </c>
      <c r="BC111" s="198">
        <f>운전실적_원본!AB111</f>
        <v>651</v>
      </c>
      <c r="BD111" s="32">
        <f t="shared" si="455"/>
        <v>43.4</v>
      </c>
      <c r="BE111" s="11">
        <f t="shared" si="463"/>
        <v>0.84452228059933832</v>
      </c>
      <c r="BF111" s="11">
        <f>운전실적_원본!AE111</f>
        <v>0</v>
      </c>
      <c r="BG111" s="31">
        <f t="shared" si="456"/>
        <v>0</v>
      </c>
    </row>
    <row r="112" spans="1:59">
      <c r="A112" s="6">
        <f t="shared" si="464"/>
        <v>45764</v>
      </c>
      <c r="B112" s="15">
        <f>운전실적_원본!B112</f>
        <v>5978</v>
      </c>
      <c r="C112" s="16">
        <f t="shared" si="633"/>
        <v>0</v>
      </c>
      <c r="D112" s="9">
        <f>운전실적_원본!C112</f>
        <v>234820</v>
      </c>
      <c r="E112" s="199">
        <f t="shared" si="634"/>
        <v>28</v>
      </c>
      <c r="F112" s="9">
        <f>운전실적_원본!D112</f>
        <v>229034</v>
      </c>
      <c r="G112" s="16">
        <f t="shared" si="635"/>
        <v>27</v>
      </c>
      <c r="H112" s="15">
        <f>운전실적_원본!E112</f>
        <v>14246</v>
      </c>
      <c r="I112" s="16">
        <f t="shared" si="636"/>
        <v>5</v>
      </c>
      <c r="J112" s="15">
        <f>운전실적_원본!E112</f>
        <v>14246</v>
      </c>
      <c r="K112" s="16">
        <f t="shared" si="636"/>
        <v>5</v>
      </c>
      <c r="L112" s="15">
        <f>운전실적_원본!G112</f>
        <v>3835.5</v>
      </c>
      <c r="M112" s="31">
        <f t="shared" ref="M112" si="678">IF(OR(LEN(L112)=0,L112=0),"",L112-L111)</f>
        <v>0.8000000000001819</v>
      </c>
      <c r="N112" s="15">
        <f>운전실적_원본!H112</f>
        <v>12997</v>
      </c>
      <c r="O112" s="16">
        <f t="shared" ref="O112" si="679">IF(OR(LEN(N112)=0,N112=0),"",N112-N111)</f>
        <v>64</v>
      </c>
      <c r="P112" s="15">
        <f>운전실적_원본!I112</f>
        <v>266719</v>
      </c>
      <c r="Q112" s="16">
        <f t="shared" ref="Q112" si="680">IF(OR(LEN(P112)=0,P112=0),"",P112-P111)</f>
        <v>108</v>
      </c>
      <c r="R112" s="18">
        <f>운전실적_원본!J112</f>
        <v>31.29</v>
      </c>
      <c r="S112" s="19">
        <f t="shared" ref="S112" si="681">IF(OR(LEN(R112)=0,R112=0),"",R112-R111)</f>
        <v>-0.16000000000000014</v>
      </c>
      <c r="T112" s="18">
        <f>운전실적_원본!K112</f>
        <v>30.82</v>
      </c>
      <c r="U112" s="19">
        <f t="shared" si="641"/>
        <v>-0.17999999999999972</v>
      </c>
      <c r="V112" s="12">
        <f>운전실적_원본!L112</f>
        <v>0</v>
      </c>
      <c r="W112" s="16" t="str">
        <f t="shared" ref="W112" si="682">IF(OR(LEN(V112)=0,V112=0),"",V112-V111)</f>
        <v/>
      </c>
      <c r="X112" s="10">
        <f>운전실적_원본!M112</f>
        <v>0</v>
      </c>
      <c r="Y112" s="10">
        <f>운전실적_원본!N112</f>
        <v>0</v>
      </c>
      <c r="Z112" s="10">
        <f>운전실적_원본!O112</f>
        <v>0</v>
      </c>
      <c r="AA112" s="10">
        <f>운전실적_원본!P112</f>
        <v>0</v>
      </c>
      <c r="AB112" s="10">
        <f>운전실적_원본!Q112</f>
        <v>0</v>
      </c>
      <c r="AC112" s="10">
        <f>운전실적_원본!R112</f>
        <v>0</v>
      </c>
      <c r="AD112" s="181">
        <f>운전실적_원본!S112</f>
        <v>0</v>
      </c>
      <c r="AE112" s="181">
        <f>운전실적_원본!T112</f>
        <v>0</v>
      </c>
      <c r="AF112" s="181">
        <f>운전실적_원본!U112</f>
        <v>0</v>
      </c>
      <c r="AG112" s="181">
        <f>운전실적_원본!V112</f>
        <v>0</v>
      </c>
      <c r="AH112" s="106">
        <f t="shared" si="462"/>
        <v>0</v>
      </c>
      <c r="AI112" s="107">
        <f t="shared" si="470"/>
        <v>0</v>
      </c>
      <c r="AJ112" s="107">
        <f t="shared" si="471"/>
        <v>0</v>
      </c>
      <c r="AK112" s="204">
        <f t="shared" si="472"/>
        <v>0</v>
      </c>
      <c r="AL112" s="103"/>
      <c r="AM112" s="103"/>
      <c r="AN112" s="103"/>
      <c r="AO112" s="103"/>
      <c r="AP112" s="103"/>
      <c r="AQ112" s="105"/>
      <c r="AR112" s="103"/>
      <c r="AS112" s="103"/>
      <c r="AT112" s="101"/>
      <c r="AU112" s="101"/>
      <c r="AV112" s="101"/>
      <c r="AW112" s="101"/>
      <c r="AX112" s="32">
        <f>운전실적_원본!W112</f>
        <v>0</v>
      </c>
      <c r="AY112" s="198">
        <f>운전실적_원본!X112</f>
        <v>0</v>
      </c>
      <c r="AZ112" s="198">
        <f>운전실적_원본!Y112</f>
        <v>0</v>
      </c>
      <c r="BA112" s="198">
        <f>운전실적_원본!Z112</f>
        <v>0</v>
      </c>
      <c r="BB112" s="198">
        <f>운전실적_원본!AA112</f>
        <v>0</v>
      </c>
      <c r="BC112" s="198">
        <f>운전실적_원본!AB112</f>
        <v>0</v>
      </c>
      <c r="BD112" s="32" t="str">
        <f t="shared" si="455"/>
        <v>-</v>
      </c>
      <c r="BE112" s="11" t="str">
        <f t="shared" si="463"/>
        <v>-</v>
      </c>
      <c r="BF112" s="11">
        <f>운전실적_원본!AE112</f>
        <v>0</v>
      </c>
      <c r="BG112" s="31">
        <f t="shared" si="456"/>
        <v>0</v>
      </c>
    </row>
    <row r="113" spans="1:59">
      <c r="A113" s="6">
        <f t="shared" si="464"/>
        <v>45765</v>
      </c>
      <c r="B113" s="15">
        <f>운전실적_원본!B113</f>
        <v>5978</v>
      </c>
      <c r="C113" s="16">
        <f t="shared" si="633"/>
        <v>0</v>
      </c>
      <c r="D113" s="9">
        <f>운전실적_원본!C113</f>
        <v>234891</v>
      </c>
      <c r="E113" s="199">
        <f t="shared" si="634"/>
        <v>71</v>
      </c>
      <c r="F113" s="9">
        <f>운전실적_원본!D113</f>
        <v>229044</v>
      </c>
      <c r="G113" s="16">
        <f t="shared" si="635"/>
        <v>10</v>
      </c>
      <c r="H113" s="15">
        <f>운전실적_원본!E113</f>
        <v>14251</v>
      </c>
      <c r="I113" s="16">
        <f t="shared" si="636"/>
        <v>5</v>
      </c>
      <c r="J113" s="15">
        <f>운전실적_원본!E113</f>
        <v>14251</v>
      </c>
      <c r="K113" s="16">
        <f t="shared" si="636"/>
        <v>5</v>
      </c>
      <c r="L113" s="15">
        <f>운전실적_원본!G113</f>
        <v>3836.3</v>
      </c>
      <c r="M113" s="31">
        <f t="shared" ref="M113" si="683">IF(OR(LEN(L113)=0,L113=0),"",L113-L112)</f>
        <v>0.8000000000001819</v>
      </c>
      <c r="N113" s="15">
        <f>운전실적_원본!H113</f>
        <v>13076</v>
      </c>
      <c r="O113" s="16">
        <f t="shared" ref="O113" si="684">IF(OR(LEN(N113)=0,N113=0),"",N113-N112)</f>
        <v>79</v>
      </c>
      <c r="P113" s="15">
        <f>운전실적_원본!I113</f>
        <v>266865</v>
      </c>
      <c r="Q113" s="16">
        <f t="shared" ref="Q113" si="685">IF(OR(LEN(P113)=0,P113=0),"",P113-P112)</f>
        <v>146</v>
      </c>
      <c r="R113" s="18">
        <f>운전실적_원본!J113</f>
        <v>31.36</v>
      </c>
      <c r="S113" s="19">
        <f t="shared" ref="S113" si="686">IF(OR(LEN(R113)=0,R113=0),"",R113-R112)</f>
        <v>7.0000000000000284E-2</v>
      </c>
      <c r="T113" s="18">
        <f>운전실적_원본!K113</f>
        <v>30.68</v>
      </c>
      <c r="U113" s="19">
        <f t="shared" si="641"/>
        <v>-0.14000000000000057</v>
      </c>
      <c r="V113" s="12">
        <f>운전실적_원본!L113</f>
        <v>0</v>
      </c>
      <c r="W113" s="16" t="str">
        <f t="shared" ref="W113" si="687">IF(OR(LEN(V113)=0,V113=0),"",V113-V112)</f>
        <v/>
      </c>
      <c r="X113" s="10">
        <f>운전실적_원본!M113</f>
        <v>50552.10000000149</v>
      </c>
      <c r="Y113" s="10">
        <f>운전실적_원본!N113</f>
        <v>0</v>
      </c>
      <c r="Z113" s="10">
        <f>운전실적_원본!O113</f>
        <v>0</v>
      </c>
      <c r="AA113" s="10">
        <f>운전실적_원본!P113</f>
        <v>0</v>
      </c>
      <c r="AB113" s="10">
        <f>운전실적_원본!Q113</f>
        <v>0</v>
      </c>
      <c r="AC113" s="10">
        <f>운전실적_원본!R113</f>
        <v>0</v>
      </c>
      <c r="AD113" s="181">
        <f>운전실적_원본!S113</f>
        <v>9</v>
      </c>
      <c r="AE113" s="181">
        <f>운전실적_원본!T113</f>
        <v>0</v>
      </c>
      <c r="AF113" s="181">
        <f>운전실적_원본!U113</f>
        <v>0</v>
      </c>
      <c r="AG113" s="181">
        <f>운전실적_원본!V113</f>
        <v>0</v>
      </c>
      <c r="AH113" s="106">
        <f t="shared" si="462"/>
        <v>8.5833333333721384</v>
      </c>
      <c r="AI113" s="107">
        <f t="shared" si="470"/>
        <v>0</v>
      </c>
      <c r="AJ113" s="107">
        <f t="shared" si="471"/>
        <v>0</v>
      </c>
      <c r="AK113" s="204">
        <f t="shared" si="472"/>
        <v>0</v>
      </c>
      <c r="AL113" s="103">
        <v>45765.600694444445</v>
      </c>
      <c r="AM113" s="103">
        <v>45765.958333333336</v>
      </c>
      <c r="AN113" s="103"/>
      <c r="AO113" s="103"/>
      <c r="AP113" s="103"/>
      <c r="AQ113" s="105"/>
      <c r="AR113" s="103"/>
      <c r="AS113" s="103"/>
      <c r="AT113" s="101"/>
      <c r="AU113" s="101"/>
      <c r="AV113" s="101"/>
      <c r="AW113" s="101"/>
      <c r="AX113" s="32">
        <f>운전실적_원본!W113</f>
        <v>315</v>
      </c>
      <c r="AY113" s="198">
        <f>운전실적_원본!X113</f>
        <v>0</v>
      </c>
      <c r="AZ113" s="198">
        <f>운전실적_원본!Y113</f>
        <v>0</v>
      </c>
      <c r="BA113" s="198">
        <f>운전실적_원본!Z113</f>
        <v>0</v>
      </c>
      <c r="BB113" s="198">
        <f>운전실적_원본!AA113</f>
        <v>0</v>
      </c>
      <c r="BC113" s="198">
        <f>운전실적_원본!AB113</f>
        <v>315</v>
      </c>
      <c r="BD113" s="32">
        <f t="shared" si="455"/>
        <v>35</v>
      </c>
      <c r="BE113" s="11">
        <f t="shared" si="463"/>
        <v>0.68106635532204707</v>
      </c>
      <c r="BF113" s="11">
        <f>운전실적_원본!AE113</f>
        <v>0</v>
      </c>
      <c r="BG113" s="31">
        <f t="shared" si="456"/>
        <v>0</v>
      </c>
    </row>
    <row r="114" spans="1:59">
      <c r="A114" s="6">
        <f t="shared" si="464"/>
        <v>45766</v>
      </c>
      <c r="B114" s="15">
        <f>운전실적_원본!B114</f>
        <v>5978</v>
      </c>
      <c r="C114" s="16">
        <f t="shared" si="633"/>
        <v>0</v>
      </c>
      <c r="D114" s="9">
        <f>운전실적_원본!C114</f>
        <v>234926</v>
      </c>
      <c r="E114" s="199">
        <f t="shared" si="634"/>
        <v>35</v>
      </c>
      <c r="F114" s="9">
        <f>운전실적_원본!D114</f>
        <v>229044</v>
      </c>
      <c r="G114" s="16">
        <f t="shared" si="635"/>
        <v>0</v>
      </c>
      <c r="H114" s="15">
        <f>운전실적_원본!E114</f>
        <v>14254</v>
      </c>
      <c r="I114" s="16">
        <f t="shared" si="636"/>
        <v>3</v>
      </c>
      <c r="J114" s="15">
        <f>운전실적_원본!E114</f>
        <v>14254</v>
      </c>
      <c r="K114" s="16">
        <f t="shared" si="636"/>
        <v>3</v>
      </c>
      <c r="L114" s="15">
        <f>운전실적_원본!G114</f>
        <v>3837</v>
      </c>
      <c r="M114" s="31">
        <f t="shared" ref="M114" si="688">IF(OR(LEN(L114)=0,L114=0),"",L114-L113)</f>
        <v>0.6999999999998181</v>
      </c>
      <c r="N114" s="15">
        <f>운전실적_원본!H114</f>
        <v>13076</v>
      </c>
      <c r="O114" s="16">
        <f t="shared" ref="O114" si="689">IF(OR(LEN(N114)=0,N114=0),"",N114-N113)</f>
        <v>0</v>
      </c>
      <c r="P114" s="15">
        <f>운전실적_원본!I114</f>
        <v>266932</v>
      </c>
      <c r="Q114" s="16">
        <f t="shared" ref="Q114" si="690">IF(OR(LEN(P114)=0,P114=0),"",P114-P113)</f>
        <v>67</v>
      </c>
      <c r="R114" s="18">
        <f>운전실적_원본!J114</f>
        <v>30.99</v>
      </c>
      <c r="S114" s="19">
        <f t="shared" ref="S114" si="691">IF(OR(LEN(R114)=0,R114=0),"",R114-R113)</f>
        <v>-0.37000000000000099</v>
      </c>
      <c r="T114" s="18">
        <f>운전실적_원본!K114</f>
        <v>30.61</v>
      </c>
      <c r="U114" s="19">
        <f t="shared" si="641"/>
        <v>-7.0000000000000284E-2</v>
      </c>
      <c r="V114" s="12">
        <f>운전실적_원본!L114</f>
        <v>0</v>
      </c>
      <c r="W114" s="16" t="str">
        <f t="shared" ref="W114" si="692">IF(OR(LEN(V114)=0,V114=0),"",V114-V113)</f>
        <v/>
      </c>
      <c r="X114" s="10">
        <f>운전실적_원본!M114</f>
        <v>0</v>
      </c>
      <c r="Y114" s="10">
        <f>운전실적_원본!N114</f>
        <v>0</v>
      </c>
      <c r="Z114" s="10">
        <f>운전실적_원본!O114</f>
        <v>0</v>
      </c>
      <c r="AA114" s="10">
        <f>운전실적_원본!P114</f>
        <v>0</v>
      </c>
      <c r="AB114" s="10">
        <f>운전실적_원본!Q114</f>
        <v>0</v>
      </c>
      <c r="AC114" s="10">
        <f>운전실적_원본!R114</f>
        <v>0</v>
      </c>
      <c r="AD114" s="181">
        <f>운전실적_원본!S114</f>
        <v>0</v>
      </c>
      <c r="AE114" s="181">
        <f>운전실적_원본!T114</f>
        <v>0</v>
      </c>
      <c r="AF114" s="181">
        <f>운전실적_원본!U114</f>
        <v>0</v>
      </c>
      <c r="AG114" s="181">
        <f>운전실적_원본!V114</f>
        <v>0</v>
      </c>
      <c r="AH114" s="106">
        <f t="shared" si="462"/>
        <v>0</v>
      </c>
      <c r="AI114" s="107">
        <f t="shared" si="470"/>
        <v>0</v>
      </c>
      <c r="AJ114" s="107">
        <f t="shared" si="471"/>
        <v>0</v>
      </c>
      <c r="AK114" s="204">
        <f t="shared" si="472"/>
        <v>0</v>
      </c>
      <c r="AL114" s="103"/>
      <c r="AM114" s="103"/>
      <c r="AN114" s="103"/>
      <c r="AO114" s="103"/>
      <c r="AP114" s="103"/>
      <c r="AQ114" s="105"/>
      <c r="AR114" s="103"/>
      <c r="AS114" s="103"/>
      <c r="AT114" s="101"/>
      <c r="AU114" s="101"/>
      <c r="AV114" s="101"/>
      <c r="AW114" s="101"/>
      <c r="AX114" s="32">
        <f>운전실적_원본!W114</f>
        <v>0</v>
      </c>
      <c r="AY114" s="198">
        <f>운전실적_원본!X114</f>
        <v>0</v>
      </c>
      <c r="AZ114" s="198">
        <f>운전실적_원본!Y114</f>
        <v>0</v>
      </c>
      <c r="BA114" s="198">
        <f>운전실적_원본!Z114</f>
        <v>0</v>
      </c>
      <c r="BB114" s="198">
        <f>운전실적_원본!AA114</f>
        <v>0</v>
      </c>
      <c r="BC114" s="198">
        <f>운전실적_원본!AB114</f>
        <v>0</v>
      </c>
      <c r="BD114" s="32" t="str">
        <f t="shared" si="455"/>
        <v>-</v>
      </c>
      <c r="BE114" s="11" t="str">
        <f t="shared" si="463"/>
        <v>-</v>
      </c>
      <c r="BF114" s="11">
        <f>운전실적_원본!AE114</f>
        <v>0</v>
      </c>
      <c r="BG114" s="31">
        <f t="shared" si="456"/>
        <v>0</v>
      </c>
    </row>
    <row r="115" spans="1:59">
      <c r="A115" s="6">
        <f t="shared" si="464"/>
        <v>45767</v>
      </c>
      <c r="B115" s="15">
        <f>운전실적_원본!B115</f>
        <v>5978</v>
      </c>
      <c r="C115" s="16">
        <f t="shared" si="633"/>
        <v>0</v>
      </c>
      <c r="D115" s="9">
        <f>운전실적_원본!C115</f>
        <v>234960</v>
      </c>
      <c r="E115" s="199">
        <f t="shared" si="634"/>
        <v>34</v>
      </c>
      <c r="F115" s="9">
        <f>운전실적_원본!D115</f>
        <v>229046</v>
      </c>
      <c r="G115" s="16">
        <f t="shared" si="635"/>
        <v>2</v>
      </c>
      <c r="H115" s="15">
        <f>운전실적_원본!E115</f>
        <v>14258</v>
      </c>
      <c r="I115" s="16">
        <f t="shared" si="636"/>
        <v>4</v>
      </c>
      <c r="J115" s="15">
        <f>운전실적_원본!E115</f>
        <v>14258</v>
      </c>
      <c r="K115" s="16">
        <f t="shared" si="636"/>
        <v>4</v>
      </c>
      <c r="L115" s="15">
        <f>운전실적_원본!G115</f>
        <v>3837.5</v>
      </c>
      <c r="M115" s="31">
        <f t="shared" ref="M115" si="693">IF(OR(LEN(L115)=0,L115=0),"",L115-L114)</f>
        <v>0.5</v>
      </c>
      <c r="N115" s="15">
        <f>운전실적_원본!H115</f>
        <v>13076</v>
      </c>
      <c r="O115" s="16">
        <f t="shared" ref="O115" si="694">IF(OR(LEN(N115)=0,N115=0),"",N115-N114)</f>
        <v>0</v>
      </c>
      <c r="P115" s="15">
        <f>운전실적_원본!I115</f>
        <v>266997</v>
      </c>
      <c r="Q115" s="16">
        <f t="shared" ref="Q115" si="695">IF(OR(LEN(P115)=0,P115=0),"",P115-P114)</f>
        <v>65</v>
      </c>
      <c r="R115" s="18">
        <f>운전실적_원본!J115</f>
        <v>30.83</v>
      </c>
      <c r="S115" s="19">
        <f t="shared" ref="S115" si="696">IF(OR(LEN(R115)=0,R115=0),"",R115-R114)</f>
        <v>-0.16000000000000014</v>
      </c>
      <c r="T115" s="18">
        <f>운전실적_원본!K115</f>
        <v>30.61</v>
      </c>
      <c r="U115" s="19">
        <f t="shared" si="641"/>
        <v>0</v>
      </c>
      <c r="V115" s="12">
        <f>운전실적_원본!L115</f>
        <v>0</v>
      </c>
      <c r="W115" s="16" t="str">
        <f t="shared" ref="W115" si="697">IF(OR(LEN(V115)=0,V115=0),"",V115-V114)</f>
        <v/>
      </c>
      <c r="X115" s="10">
        <f>운전실적_원본!M115</f>
        <v>0</v>
      </c>
      <c r="Y115" s="10">
        <f>운전실적_원본!N115</f>
        <v>0</v>
      </c>
      <c r="Z115" s="10">
        <f>운전실적_원본!O115</f>
        <v>0</v>
      </c>
      <c r="AA115" s="10">
        <f>운전실적_원본!P115</f>
        <v>0</v>
      </c>
      <c r="AB115" s="10">
        <f>운전실적_원본!Q115</f>
        <v>0</v>
      </c>
      <c r="AC115" s="10">
        <f>운전실적_원본!R115</f>
        <v>0</v>
      </c>
      <c r="AD115" s="181">
        <f>운전실적_원본!S115</f>
        <v>0</v>
      </c>
      <c r="AE115" s="181">
        <f>운전실적_원본!T115</f>
        <v>0</v>
      </c>
      <c r="AF115" s="181">
        <f>운전실적_원본!U115</f>
        <v>0</v>
      </c>
      <c r="AG115" s="181">
        <f>운전실적_원본!V115</f>
        <v>0</v>
      </c>
      <c r="AH115" s="106">
        <f t="shared" si="462"/>
        <v>0</v>
      </c>
      <c r="AI115" s="107">
        <f t="shared" si="470"/>
        <v>0</v>
      </c>
      <c r="AJ115" s="107">
        <f t="shared" si="471"/>
        <v>0</v>
      </c>
      <c r="AK115" s="204">
        <f t="shared" si="472"/>
        <v>0</v>
      </c>
      <c r="AL115" s="103"/>
      <c r="AM115" s="103"/>
      <c r="AN115" s="103"/>
      <c r="AO115" s="103"/>
      <c r="AP115" s="103"/>
      <c r="AQ115" s="105"/>
      <c r="AR115" s="103"/>
      <c r="AS115" s="103"/>
      <c r="AT115" s="101"/>
      <c r="AU115" s="101"/>
      <c r="AV115" s="101"/>
      <c r="AW115" s="101"/>
      <c r="AX115" s="32">
        <f>운전실적_원본!W115</f>
        <v>0</v>
      </c>
      <c r="AY115" s="198">
        <f>운전실적_원본!X115</f>
        <v>0</v>
      </c>
      <c r="AZ115" s="198">
        <f>운전실적_원본!Y115</f>
        <v>0</v>
      </c>
      <c r="BA115" s="198">
        <f>운전실적_원본!Z115</f>
        <v>0</v>
      </c>
      <c r="BB115" s="198">
        <f>운전실적_원본!AA115</f>
        <v>0</v>
      </c>
      <c r="BC115" s="198">
        <f>운전실적_원본!AB115</f>
        <v>0</v>
      </c>
      <c r="BD115" s="32" t="str">
        <f t="shared" si="455"/>
        <v>-</v>
      </c>
      <c r="BE115" s="11" t="str">
        <f t="shared" si="463"/>
        <v>-</v>
      </c>
      <c r="BF115" s="11">
        <f>운전실적_원본!AE115</f>
        <v>0</v>
      </c>
      <c r="BG115" s="31">
        <f t="shared" si="456"/>
        <v>0</v>
      </c>
    </row>
    <row r="116" spans="1:59">
      <c r="A116" s="6">
        <f t="shared" si="464"/>
        <v>45768</v>
      </c>
      <c r="B116" s="15">
        <f>운전실적_원본!B116</f>
        <v>5978</v>
      </c>
      <c r="C116" s="16">
        <f t="shared" si="633"/>
        <v>0</v>
      </c>
      <c r="D116" s="9">
        <f>운전실적_원본!C116</f>
        <v>234960</v>
      </c>
      <c r="E116" s="199">
        <f t="shared" si="634"/>
        <v>0</v>
      </c>
      <c r="F116" s="9">
        <f>운전실적_원본!D116</f>
        <v>229092</v>
      </c>
      <c r="G116" s="16">
        <f t="shared" si="635"/>
        <v>46</v>
      </c>
      <c r="H116" s="15">
        <f>운전실적_원본!E116</f>
        <v>14263</v>
      </c>
      <c r="I116" s="16">
        <f t="shared" si="636"/>
        <v>5</v>
      </c>
      <c r="J116" s="15">
        <f>운전실적_원본!E116</f>
        <v>14263</v>
      </c>
      <c r="K116" s="16">
        <f t="shared" si="636"/>
        <v>5</v>
      </c>
      <c r="L116" s="15">
        <f>운전실적_원본!G116</f>
        <v>3838.5</v>
      </c>
      <c r="M116" s="31">
        <f t="shared" ref="M116" si="698">IF(OR(LEN(L116)=0,L116=0),"",L116-L115)</f>
        <v>1</v>
      </c>
      <c r="N116" s="15">
        <f>운전실적_원본!H116</f>
        <v>13160</v>
      </c>
      <c r="O116" s="16">
        <f t="shared" ref="O116" si="699">IF(OR(LEN(N116)=0,N116=0),"",N116-N115)</f>
        <v>84</v>
      </c>
      <c r="P116" s="15">
        <f>운전실적_원본!I116</f>
        <v>267100</v>
      </c>
      <c r="Q116" s="16">
        <f t="shared" ref="Q116" si="700">IF(OR(LEN(P116)=0,P116=0),"",P116-P115)</f>
        <v>103</v>
      </c>
      <c r="R116" s="18">
        <f>운전실적_원본!J116</f>
        <v>30.72</v>
      </c>
      <c r="S116" s="19">
        <f t="shared" ref="S116" si="701">IF(OR(LEN(R116)=0,R116=0),"",R116-R115)</f>
        <v>-0.10999999999999943</v>
      </c>
      <c r="T116" s="18">
        <f>운전실적_원본!K116</f>
        <v>30.39</v>
      </c>
      <c r="U116" s="19">
        <f t="shared" si="641"/>
        <v>-0.21999999999999886</v>
      </c>
      <c r="V116" s="12">
        <f>운전실적_원본!L116</f>
        <v>0</v>
      </c>
      <c r="W116" s="16" t="str">
        <f t="shared" ref="W116" si="702">IF(OR(LEN(V116)=0,V116=0),"",V116-V115)</f>
        <v/>
      </c>
      <c r="X116" s="10">
        <f>운전실적_원본!M116</f>
        <v>57879.9</v>
      </c>
      <c r="Y116" s="10">
        <f>운전실적_원본!N116</f>
        <v>0</v>
      </c>
      <c r="Z116" s="10">
        <f>운전실적_원본!O116</f>
        <v>0</v>
      </c>
      <c r="AA116" s="10">
        <f>운전실적_원본!P116</f>
        <v>0</v>
      </c>
      <c r="AB116" s="10">
        <f>운전실적_원본!Q116</f>
        <v>0</v>
      </c>
      <c r="AC116" s="10">
        <f>운전실적_원본!R116</f>
        <v>0</v>
      </c>
      <c r="AD116" s="181">
        <f>운전실적_원본!S116</f>
        <v>14</v>
      </c>
      <c r="AE116" s="181">
        <f>운전실적_원본!T116</f>
        <v>0</v>
      </c>
      <c r="AF116" s="181">
        <f>운전실적_원본!U116</f>
        <v>0</v>
      </c>
      <c r="AG116" s="181">
        <f>운전실적_원본!V116</f>
        <v>0</v>
      </c>
      <c r="AH116" s="106">
        <f t="shared" si="462"/>
        <v>10.999999999883585</v>
      </c>
      <c r="AI116" s="107">
        <f t="shared" si="470"/>
        <v>0</v>
      </c>
      <c r="AJ116" s="107">
        <f t="shared" si="471"/>
        <v>0</v>
      </c>
      <c r="AK116" s="204">
        <f t="shared" si="472"/>
        <v>0</v>
      </c>
      <c r="AL116" s="103">
        <v>45768.458333333336</v>
      </c>
      <c r="AM116" s="103">
        <v>45768.916666666664</v>
      </c>
      <c r="AN116" s="103"/>
      <c r="AO116" s="103"/>
      <c r="AP116" s="103"/>
      <c r="AQ116" s="105"/>
      <c r="AR116" s="103"/>
      <c r="AS116" s="103"/>
      <c r="AT116" s="101"/>
      <c r="AU116" s="101"/>
      <c r="AV116" s="101"/>
      <c r="AW116" s="101"/>
      <c r="AX116" s="32">
        <f>운전실적_원본!W116</f>
        <v>362</v>
      </c>
      <c r="AY116" s="198">
        <f>운전실적_원본!X116</f>
        <v>0</v>
      </c>
      <c r="AZ116" s="198">
        <f>운전실적_원본!Y116</f>
        <v>0</v>
      </c>
      <c r="BA116" s="198">
        <f>운전실적_원본!Z116</f>
        <v>0</v>
      </c>
      <c r="BB116" s="198">
        <f>운전실적_원본!AA116</f>
        <v>0</v>
      </c>
      <c r="BC116" s="198">
        <f>운전실적_원본!AB116</f>
        <v>362</v>
      </c>
      <c r="BD116" s="32">
        <f t="shared" si="455"/>
        <v>25.857142857142858</v>
      </c>
      <c r="BE116" s="11">
        <f t="shared" si="463"/>
        <v>0.50315514413587969</v>
      </c>
      <c r="BF116" s="11">
        <f>운전실적_원본!AE116</f>
        <v>0</v>
      </c>
      <c r="BG116" s="31">
        <f t="shared" si="456"/>
        <v>0</v>
      </c>
    </row>
    <row r="117" spans="1:59">
      <c r="A117" s="6">
        <f t="shared" si="464"/>
        <v>45769</v>
      </c>
      <c r="B117" s="15">
        <f>운전실적_원본!B117</f>
        <v>5978</v>
      </c>
      <c r="C117" s="16">
        <f t="shared" si="633"/>
        <v>0</v>
      </c>
      <c r="D117" s="9">
        <f>운전실적_원본!C117</f>
        <v>234960</v>
      </c>
      <c r="E117" s="199">
        <f t="shared" si="634"/>
        <v>0</v>
      </c>
      <c r="F117" s="9">
        <f>운전실적_원본!D117</f>
        <v>229123</v>
      </c>
      <c r="G117" s="16">
        <f t="shared" si="635"/>
        <v>31</v>
      </c>
      <c r="H117" s="15">
        <f>운전실적_원본!E117</f>
        <v>14269</v>
      </c>
      <c r="I117" s="16">
        <f t="shared" si="636"/>
        <v>6</v>
      </c>
      <c r="J117" s="15">
        <f>운전실적_원본!E117</f>
        <v>14269</v>
      </c>
      <c r="K117" s="16">
        <f t="shared" si="636"/>
        <v>6</v>
      </c>
      <c r="L117" s="15">
        <f>운전실적_원본!G117</f>
        <v>3839.3</v>
      </c>
      <c r="M117" s="31">
        <f t="shared" ref="M117" si="703">IF(OR(LEN(L117)=0,L117=0),"",L117-L116)</f>
        <v>0.8000000000001819</v>
      </c>
      <c r="N117" s="15">
        <f>운전실적_원본!H117</f>
        <v>13269</v>
      </c>
      <c r="O117" s="16">
        <f t="shared" ref="O117" si="704">IF(OR(LEN(N117)=0,N117=0),"",N117-N116)</f>
        <v>109</v>
      </c>
      <c r="P117" s="15">
        <f>운전실적_원본!I117</f>
        <v>267168</v>
      </c>
      <c r="Q117" s="16">
        <f t="shared" ref="Q117" si="705">IF(OR(LEN(P117)=0,P117=0),"",P117-P116)</f>
        <v>68</v>
      </c>
      <c r="R117" s="18">
        <f>운전실적_원본!J117</f>
        <v>30.82</v>
      </c>
      <c r="S117" s="19">
        <f t="shared" ref="S117" si="706">IF(OR(LEN(R117)=0,R117=0),"",R117-R116)</f>
        <v>0.10000000000000142</v>
      </c>
      <c r="T117" s="18">
        <f>운전실적_원본!K117</f>
        <v>30.3</v>
      </c>
      <c r="U117" s="19">
        <f t="shared" si="641"/>
        <v>-8.9999999999999858E-2</v>
      </c>
      <c r="V117" s="12">
        <f>운전실적_원본!L117</f>
        <v>0</v>
      </c>
      <c r="W117" s="16" t="str">
        <f t="shared" ref="W117" si="707">IF(OR(LEN(V117)=0,V117=0),"",V117-V116)</f>
        <v/>
      </c>
      <c r="X117" s="10">
        <f>운전실적_원본!M117</f>
        <v>0</v>
      </c>
      <c r="Y117" s="10">
        <f>운전실적_원본!N117</f>
        <v>0</v>
      </c>
      <c r="Z117" s="10">
        <f>운전실적_원본!O117</f>
        <v>0</v>
      </c>
      <c r="AA117" s="10">
        <f>운전실적_원본!P117</f>
        <v>0</v>
      </c>
      <c r="AB117" s="10">
        <f>운전실적_원본!Q117</f>
        <v>0</v>
      </c>
      <c r="AC117" s="10">
        <f>운전실적_원본!R117</f>
        <v>0</v>
      </c>
      <c r="AD117" s="181">
        <f>운전실적_원본!S117</f>
        <v>0</v>
      </c>
      <c r="AE117" s="181">
        <f>운전실적_원본!T117</f>
        <v>0</v>
      </c>
      <c r="AF117" s="181">
        <f>운전실적_원본!U117</f>
        <v>0</v>
      </c>
      <c r="AG117" s="181">
        <f>운전실적_원본!V117</f>
        <v>0</v>
      </c>
      <c r="AH117" s="106">
        <f t="shared" si="462"/>
        <v>0</v>
      </c>
      <c r="AI117" s="107">
        <f t="shared" si="470"/>
        <v>0</v>
      </c>
      <c r="AJ117" s="107">
        <f t="shared" si="471"/>
        <v>0</v>
      </c>
      <c r="AK117" s="204">
        <f t="shared" si="472"/>
        <v>0</v>
      </c>
      <c r="AL117" s="103"/>
      <c r="AM117" s="103"/>
      <c r="AN117" s="103"/>
      <c r="AO117" s="103"/>
      <c r="AP117" s="103"/>
      <c r="AQ117" s="105"/>
      <c r="AR117" s="103"/>
      <c r="AS117" s="103"/>
      <c r="AT117" s="101"/>
      <c r="AU117" s="101"/>
      <c r="AV117" s="101"/>
      <c r="AW117" s="101"/>
      <c r="AX117" s="32">
        <f>운전실적_원본!W117</f>
        <v>0</v>
      </c>
      <c r="AY117" s="198">
        <f>운전실적_원본!X117</f>
        <v>0</v>
      </c>
      <c r="AZ117" s="198">
        <f>운전실적_원본!Y117</f>
        <v>0</v>
      </c>
      <c r="BA117" s="198">
        <f>운전실적_원본!Z117</f>
        <v>0</v>
      </c>
      <c r="BB117" s="198">
        <f>운전실적_원본!AA117</f>
        <v>0</v>
      </c>
      <c r="BC117" s="198">
        <f>운전실적_원본!AB117</f>
        <v>0</v>
      </c>
      <c r="BD117" s="32" t="str">
        <f t="shared" si="455"/>
        <v>-</v>
      </c>
      <c r="BE117" s="11" t="str">
        <f t="shared" si="463"/>
        <v>-</v>
      </c>
      <c r="BF117" s="11">
        <f>운전실적_원본!AE117</f>
        <v>0</v>
      </c>
      <c r="BG117" s="31">
        <f t="shared" si="456"/>
        <v>0</v>
      </c>
    </row>
    <row r="118" spans="1:59">
      <c r="A118" s="6">
        <f t="shared" si="464"/>
        <v>45770</v>
      </c>
      <c r="B118" s="15">
        <f>운전실적_원본!B118</f>
        <v>5995</v>
      </c>
      <c r="C118" s="16">
        <f t="shared" si="633"/>
        <v>17</v>
      </c>
      <c r="D118" s="9">
        <f>운전실적_원본!C118</f>
        <v>234960</v>
      </c>
      <c r="E118" s="199">
        <f t="shared" si="634"/>
        <v>0</v>
      </c>
      <c r="F118" s="9">
        <f>운전실적_원본!D118</f>
        <v>229204</v>
      </c>
      <c r="G118" s="16">
        <f t="shared" si="635"/>
        <v>81</v>
      </c>
      <c r="H118" s="15">
        <f>운전실적_원본!E118</f>
        <v>14274</v>
      </c>
      <c r="I118" s="16">
        <f t="shared" si="636"/>
        <v>5</v>
      </c>
      <c r="J118" s="15">
        <f>운전실적_원본!E118</f>
        <v>14274</v>
      </c>
      <c r="K118" s="16">
        <f t="shared" si="636"/>
        <v>5</v>
      </c>
      <c r="L118" s="15">
        <f>운전실적_원본!G118</f>
        <v>3839.9</v>
      </c>
      <c r="M118" s="31">
        <f t="shared" ref="M118" si="708">IF(OR(LEN(L118)=0,L118=0),"",L118-L117)</f>
        <v>0.59999999999990905</v>
      </c>
      <c r="N118" s="15">
        <f>운전실적_원본!H118</f>
        <v>13298</v>
      </c>
      <c r="O118" s="16">
        <f t="shared" ref="O118" si="709">IF(OR(LEN(N118)=0,N118=0),"",N118-N117)</f>
        <v>29</v>
      </c>
      <c r="P118" s="15">
        <f>운전실적_원본!I118</f>
        <v>267272</v>
      </c>
      <c r="Q118" s="16">
        <f t="shared" ref="Q118" si="710">IF(OR(LEN(P118)=0,P118=0),"",P118-P117)</f>
        <v>104</v>
      </c>
      <c r="R118" s="18">
        <f>운전실적_원본!J118</f>
        <v>30.76</v>
      </c>
      <c r="S118" s="19">
        <f t="shared" ref="S118" si="711">IF(OR(LEN(R118)=0,R118=0),"",R118-R117)</f>
        <v>-5.9999999999998721E-2</v>
      </c>
      <c r="T118" s="18">
        <f>운전실적_원본!K118</f>
        <v>30.35</v>
      </c>
      <c r="U118" s="19">
        <f t="shared" si="641"/>
        <v>5.0000000000000711E-2</v>
      </c>
      <c r="V118" s="12">
        <f>운전실적_원본!L118</f>
        <v>0</v>
      </c>
      <c r="W118" s="16" t="str">
        <f t="shared" ref="W118" si="712">IF(OR(LEN(V118)=0,V118=0),"",V118-V117)</f>
        <v/>
      </c>
      <c r="X118" s="10">
        <f>운전실적_원본!M118</f>
        <v>0</v>
      </c>
      <c r="Y118" s="10">
        <f>운전실적_원본!N118</f>
        <v>0</v>
      </c>
      <c r="Z118" s="10">
        <f>운전실적_원본!O118</f>
        <v>0</v>
      </c>
      <c r="AA118" s="10">
        <f>운전실적_원본!P118</f>
        <v>0</v>
      </c>
      <c r="AB118" s="10">
        <f>운전실적_원본!Q118</f>
        <v>0</v>
      </c>
      <c r="AC118" s="10">
        <f>운전실적_원본!R118</f>
        <v>0</v>
      </c>
      <c r="AD118" s="181">
        <f>운전실적_원본!S118</f>
        <v>0</v>
      </c>
      <c r="AE118" s="181">
        <f>운전실적_원본!T118</f>
        <v>0</v>
      </c>
      <c r="AF118" s="181">
        <f>운전실적_원본!U118</f>
        <v>0</v>
      </c>
      <c r="AG118" s="181">
        <f>운전실적_원본!V118</f>
        <v>0</v>
      </c>
      <c r="AH118" s="106">
        <f t="shared" si="462"/>
        <v>0</v>
      </c>
      <c r="AI118" s="107">
        <f t="shared" si="470"/>
        <v>0</v>
      </c>
      <c r="AJ118" s="107">
        <f t="shared" si="471"/>
        <v>0</v>
      </c>
      <c r="AK118" s="204">
        <f t="shared" si="472"/>
        <v>0</v>
      </c>
      <c r="AL118" s="103"/>
      <c r="AM118" s="103"/>
      <c r="AN118" s="103"/>
      <c r="AO118" s="103"/>
      <c r="AP118" s="103"/>
      <c r="AQ118" s="105"/>
      <c r="AR118" s="103"/>
      <c r="AS118" s="103"/>
      <c r="AT118" s="101"/>
      <c r="AU118" s="101"/>
      <c r="AV118" s="101"/>
      <c r="AW118" s="101"/>
      <c r="AX118" s="32">
        <f>운전실적_원본!W118</f>
        <v>0</v>
      </c>
      <c r="AY118" s="198">
        <f>운전실적_원본!X118</f>
        <v>0</v>
      </c>
      <c r="AZ118" s="198">
        <f>운전실적_원본!Y118</f>
        <v>0</v>
      </c>
      <c r="BA118" s="198">
        <f>운전실적_원본!Z118</f>
        <v>0</v>
      </c>
      <c r="BB118" s="198">
        <f>운전실적_원본!AA118</f>
        <v>0</v>
      </c>
      <c r="BC118" s="198">
        <f>운전실적_원본!AB118</f>
        <v>0</v>
      </c>
      <c r="BD118" s="32" t="str">
        <f t="shared" si="455"/>
        <v>-</v>
      </c>
      <c r="BE118" s="11" t="str">
        <f t="shared" si="463"/>
        <v>-</v>
      </c>
      <c r="BF118" s="11">
        <f>운전실적_원본!AE118</f>
        <v>0</v>
      </c>
      <c r="BG118" s="31">
        <f t="shared" si="456"/>
        <v>0</v>
      </c>
    </row>
    <row r="119" spans="1:59">
      <c r="A119" s="6">
        <f t="shared" si="464"/>
        <v>45771</v>
      </c>
      <c r="B119" s="15">
        <f>운전실적_원본!B119</f>
        <v>6032</v>
      </c>
      <c r="C119" s="16">
        <f t="shared" si="633"/>
        <v>37</v>
      </c>
      <c r="D119" s="9">
        <f>운전실적_원본!C119</f>
        <v>235090</v>
      </c>
      <c r="E119" s="199">
        <f t="shared" si="634"/>
        <v>130</v>
      </c>
      <c r="F119" s="9">
        <f>운전실적_원본!D119</f>
        <v>229239</v>
      </c>
      <c r="G119" s="16">
        <f t="shared" si="635"/>
        <v>35</v>
      </c>
      <c r="H119" s="15">
        <f>운전실적_원본!E119</f>
        <v>14279</v>
      </c>
      <c r="I119" s="16">
        <f t="shared" si="636"/>
        <v>5</v>
      </c>
      <c r="J119" s="15">
        <f>운전실적_원본!E119</f>
        <v>14279</v>
      </c>
      <c r="K119" s="16">
        <f t="shared" si="636"/>
        <v>5</v>
      </c>
      <c r="L119" s="15">
        <f>운전실적_원본!G119</f>
        <v>3840</v>
      </c>
      <c r="M119" s="31">
        <f t="shared" ref="M119" si="713">IF(OR(LEN(L119)=0,L119=0),"",L119-L118)</f>
        <v>9.9999999999909051E-2</v>
      </c>
      <c r="N119" s="15">
        <f>운전실적_원본!H119</f>
        <v>13349</v>
      </c>
      <c r="O119" s="16">
        <f t="shared" ref="O119" si="714">IF(OR(LEN(N119)=0,N119=0),"",N119-N118)</f>
        <v>51</v>
      </c>
      <c r="P119" s="15">
        <f>운전실적_원본!I119</f>
        <v>267518</v>
      </c>
      <c r="Q119" s="16">
        <f t="shared" ref="Q119" si="715">IF(OR(LEN(P119)=0,P119=0),"",P119-P118)</f>
        <v>246</v>
      </c>
      <c r="R119" s="18">
        <f>운전실적_원본!J119</f>
        <v>30.59</v>
      </c>
      <c r="S119" s="19">
        <f t="shared" ref="S119" si="716">IF(OR(LEN(R119)=0,R119=0),"",R119-R118)</f>
        <v>-0.17000000000000171</v>
      </c>
      <c r="T119" s="18">
        <f>운전실적_원본!K119</f>
        <v>30.41</v>
      </c>
      <c r="U119" s="19">
        <f t="shared" si="641"/>
        <v>5.9999999999998721E-2</v>
      </c>
      <c r="V119" s="12">
        <f>운전실적_원본!L119</f>
        <v>0</v>
      </c>
      <c r="W119" s="16" t="str">
        <f t="shared" ref="W119" si="717">IF(OR(LEN(V119)=0,V119=0),"",V119-V118)</f>
        <v/>
      </c>
      <c r="X119" s="10">
        <f>운전실적_원본!M119</f>
        <v>0</v>
      </c>
      <c r="Y119" s="10">
        <f>운전실적_원본!N119</f>
        <v>0</v>
      </c>
      <c r="Z119" s="10">
        <f>운전실적_원본!O119</f>
        <v>0</v>
      </c>
      <c r="AA119" s="10">
        <f>운전실적_원본!P119</f>
        <v>0</v>
      </c>
      <c r="AB119" s="10">
        <f>운전실적_원본!Q119</f>
        <v>0</v>
      </c>
      <c r="AC119" s="10">
        <f>운전실적_원본!R119</f>
        <v>0</v>
      </c>
      <c r="AD119" s="181">
        <f>운전실적_원본!S119</f>
        <v>0</v>
      </c>
      <c r="AE119" s="181">
        <f>운전실적_원본!T119</f>
        <v>0</v>
      </c>
      <c r="AF119" s="181">
        <f>운전실적_원본!U119</f>
        <v>0</v>
      </c>
      <c r="AG119" s="181">
        <f>운전실적_원본!V119</f>
        <v>0</v>
      </c>
      <c r="AH119" s="106">
        <f t="shared" si="462"/>
        <v>0</v>
      </c>
      <c r="AI119" s="107">
        <f t="shared" si="470"/>
        <v>0</v>
      </c>
      <c r="AJ119" s="107">
        <f t="shared" si="471"/>
        <v>0</v>
      </c>
      <c r="AK119" s="204">
        <f t="shared" si="472"/>
        <v>0</v>
      </c>
      <c r="AL119" s="103"/>
      <c r="AM119" s="103"/>
      <c r="AN119" s="103"/>
      <c r="AO119" s="103"/>
      <c r="AP119" s="103"/>
      <c r="AQ119" s="105"/>
      <c r="AR119" s="103"/>
      <c r="AS119" s="103"/>
      <c r="AT119" s="101"/>
      <c r="AU119" s="101"/>
      <c r="AV119" s="101"/>
      <c r="AW119" s="101"/>
      <c r="AX119" s="32">
        <f>운전실적_원본!W119</f>
        <v>0</v>
      </c>
      <c r="AY119" s="198">
        <f>운전실적_원본!X119</f>
        <v>0</v>
      </c>
      <c r="AZ119" s="198">
        <f>운전실적_원본!Y119</f>
        <v>0</v>
      </c>
      <c r="BA119" s="198">
        <f>운전실적_원본!Z119</f>
        <v>0</v>
      </c>
      <c r="BB119" s="198">
        <f>운전실적_원본!AA119</f>
        <v>0</v>
      </c>
      <c r="BC119" s="198">
        <f>운전실적_원본!AB119</f>
        <v>0</v>
      </c>
      <c r="BD119" s="32" t="str">
        <f t="shared" si="455"/>
        <v>-</v>
      </c>
      <c r="BE119" s="11" t="str">
        <f t="shared" si="463"/>
        <v>-</v>
      </c>
      <c r="BF119" s="11">
        <f>운전실적_원본!AE119</f>
        <v>0</v>
      </c>
      <c r="BG119" s="31">
        <f t="shared" si="456"/>
        <v>0</v>
      </c>
    </row>
    <row r="120" spans="1:59">
      <c r="A120" s="6">
        <f t="shared" si="464"/>
        <v>45772</v>
      </c>
      <c r="B120" s="15">
        <f>운전실적_원본!B120</f>
        <v>6066</v>
      </c>
      <c r="C120" s="16">
        <f t="shared" si="633"/>
        <v>34</v>
      </c>
      <c r="D120" s="9">
        <f>운전실적_원본!C120</f>
        <v>235173</v>
      </c>
      <c r="E120" s="199">
        <f t="shared" si="634"/>
        <v>83</v>
      </c>
      <c r="F120" s="9">
        <f>운전실적_원본!D120</f>
        <v>229322</v>
      </c>
      <c r="G120" s="16">
        <f t="shared" si="635"/>
        <v>83</v>
      </c>
      <c r="H120" s="15">
        <f>운전실적_원본!E120</f>
        <v>14285</v>
      </c>
      <c r="I120" s="16">
        <f t="shared" si="636"/>
        <v>6</v>
      </c>
      <c r="J120" s="15">
        <f>운전실적_원본!E120</f>
        <v>14285</v>
      </c>
      <c r="K120" s="16">
        <f t="shared" si="636"/>
        <v>6</v>
      </c>
      <c r="L120" s="15">
        <f>운전실적_원본!G120</f>
        <v>3841.5</v>
      </c>
      <c r="M120" s="31">
        <f t="shared" ref="M120" si="718">IF(OR(LEN(L120)=0,L120=0),"",L120-L119)</f>
        <v>1.5</v>
      </c>
      <c r="N120" s="15">
        <f>운전실적_원본!H120</f>
        <v>13399</v>
      </c>
      <c r="O120" s="16">
        <f t="shared" ref="O120" si="719">IF(OR(LEN(N120)=0,N120=0),"",N120-N119)</f>
        <v>50</v>
      </c>
      <c r="P120" s="15">
        <f>운전실적_원본!I120</f>
        <v>267771</v>
      </c>
      <c r="Q120" s="16">
        <f t="shared" ref="Q120" si="720">IF(OR(LEN(P120)=0,P120=0),"",P120-P119)</f>
        <v>253</v>
      </c>
      <c r="R120" s="18">
        <f>운전실적_원본!J120</f>
        <v>30.8</v>
      </c>
      <c r="S120" s="19">
        <f t="shared" ref="S120" si="721">IF(OR(LEN(R120)=0,R120=0),"",R120-R119)</f>
        <v>0.21000000000000085</v>
      </c>
      <c r="T120" s="18">
        <f>운전실적_원본!K120</f>
        <v>30.54</v>
      </c>
      <c r="U120" s="19">
        <f t="shared" si="641"/>
        <v>0.12999999999999901</v>
      </c>
      <c r="V120" s="12">
        <f>운전실적_원본!L120</f>
        <v>0</v>
      </c>
      <c r="W120" s="16" t="str">
        <f t="shared" ref="W120" si="722">IF(OR(LEN(V120)=0,V120=0),"",V120-V119)</f>
        <v/>
      </c>
      <c r="X120" s="10">
        <f>운전실적_원본!M120</f>
        <v>84523.6</v>
      </c>
      <c r="Y120" s="10">
        <f>운전실적_원본!N120</f>
        <v>0</v>
      </c>
      <c r="Z120" s="10">
        <f>운전실적_원본!O120</f>
        <v>0</v>
      </c>
      <c r="AA120" s="10">
        <f>운전실적_원본!P120</f>
        <v>0</v>
      </c>
      <c r="AB120" s="10">
        <f>운전실적_원본!Q120</f>
        <v>0</v>
      </c>
      <c r="AC120" s="10">
        <f>운전실적_원본!R120</f>
        <v>0</v>
      </c>
      <c r="AD120" s="181">
        <f>운전실적_원본!S120</f>
        <v>16</v>
      </c>
      <c r="AE120" s="181">
        <f>운전실적_원본!T120</f>
        <v>0</v>
      </c>
      <c r="AF120" s="181">
        <f>운전실적_원본!U120</f>
        <v>0</v>
      </c>
      <c r="AG120" s="181">
        <f>운전실적_원본!V120</f>
        <v>0</v>
      </c>
      <c r="AH120" s="106">
        <f t="shared" si="462"/>
        <v>15.500000000058208</v>
      </c>
      <c r="AI120" s="107">
        <f t="shared" si="470"/>
        <v>0</v>
      </c>
      <c r="AJ120" s="107">
        <f t="shared" si="471"/>
        <v>0</v>
      </c>
      <c r="AK120" s="204">
        <f t="shared" si="472"/>
        <v>0</v>
      </c>
      <c r="AL120" s="103">
        <v>45772.354166666664</v>
      </c>
      <c r="AM120" s="103">
        <v>45773</v>
      </c>
      <c r="AN120" s="103"/>
      <c r="AO120" s="103"/>
      <c r="AP120" s="103"/>
      <c r="AQ120" s="105"/>
      <c r="AR120" s="103"/>
      <c r="AS120" s="103"/>
      <c r="AT120" s="101"/>
      <c r="AU120" s="101"/>
      <c r="AV120" s="101"/>
      <c r="AW120" s="101"/>
      <c r="AX120" s="32">
        <f>운전실적_원본!W120</f>
        <v>521</v>
      </c>
      <c r="AY120" s="198">
        <f>운전실적_원본!X120</f>
        <v>0</v>
      </c>
      <c r="AZ120" s="198">
        <f>운전실적_원본!Y120</f>
        <v>0</v>
      </c>
      <c r="BA120" s="198">
        <f>운전실적_원본!Z120</f>
        <v>0</v>
      </c>
      <c r="BB120" s="198">
        <f>운전실적_원본!AA120</f>
        <v>0</v>
      </c>
      <c r="BC120" s="198">
        <f>운전실적_원본!AB120</f>
        <v>521</v>
      </c>
      <c r="BD120" s="32">
        <f t="shared" si="455"/>
        <v>32.5625</v>
      </c>
      <c r="BE120" s="11">
        <f t="shared" si="463"/>
        <v>0.6336349484335474</v>
      </c>
      <c r="BF120" s="11">
        <f>운전실적_원본!AE120</f>
        <v>0</v>
      </c>
      <c r="BG120" s="31">
        <f t="shared" si="456"/>
        <v>0</v>
      </c>
    </row>
    <row r="121" spans="1:59">
      <c r="A121" s="6">
        <f t="shared" si="464"/>
        <v>45773</v>
      </c>
      <c r="B121" s="15">
        <f>운전실적_원본!B121</f>
        <v>6099</v>
      </c>
      <c r="C121" s="16">
        <f t="shared" si="633"/>
        <v>33</v>
      </c>
      <c r="D121" s="9">
        <f>운전실적_원본!C121</f>
        <v>235255</v>
      </c>
      <c r="E121" s="199">
        <f t="shared" si="634"/>
        <v>82</v>
      </c>
      <c r="F121" s="9">
        <f>운전실적_원본!D121</f>
        <v>229365</v>
      </c>
      <c r="G121" s="16">
        <f t="shared" si="635"/>
        <v>43</v>
      </c>
      <c r="H121" s="15">
        <f>운전실적_원본!E121</f>
        <v>14287</v>
      </c>
      <c r="I121" s="16">
        <f t="shared" si="636"/>
        <v>2</v>
      </c>
      <c r="J121" s="15">
        <f>운전실적_원본!E121</f>
        <v>14287</v>
      </c>
      <c r="K121" s="16">
        <f t="shared" si="636"/>
        <v>2</v>
      </c>
      <c r="L121" s="15">
        <f>운전실적_원본!G121</f>
        <v>3842</v>
      </c>
      <c r="M121" s="31">
        <f t="shared" ref="M121" si="723">IF(OR(LEN(L121)=0,L121=0),"",L121-L120)</f>
        <v>0.5</v>
      </c>
      <c r="N121" s="15">
        <f>운전실적_원본!H121</f>
        <v>13460</v>
      </c>
      <c r="O121" s="16">
        <f t="shared" ref="O121" si="724">IF(OR(LEN(N121)=0,N121=0),"",N121-N120)</f>
        <v>61</v>
      </c>
      <c r="P121" s="15">
        <f>운전실적_원본!I121</f>
        <v>267923</v>
      </c>
      <c r="Q121" s="16">
        <f t="shared" ref="Q121" si="725">IF(OR(LEN(P121)=0,P121=0),"",P121-P120)</f>
        <v>152</v>
      </c>
      <c r="R121" s="18">
        <f>운전실적_원본!J121</f>
        <v>31.04</v>
      </c>
      <c r="S121" s="19">
        <f t="shared" ref="S121" si="726">IF(OR(LEN(R121)=0,R121=0),"",R121-R120)</f>
        <v>0.23999999999999844</v>
      </c>
      <c r="T121" s="18">
        <f>운전실적_원본!K121</f>
        <v>30.62</v>
      </c>
      <c r="U121" s="19">
        <f t="shared" si="641"/>
        <v>8.0000000000001847E-2</v>
      </c>
      <c r="V121" s="12">
        <f>운전실적_원본!L121</f>
        <v>0</v>
      </c>
      <c r="W121" s="16" t="str">
        <f t="shared" ref="W121" si="727">IF(OR(LEN(V121)=0,V121=0),"",V121-V120)</f>
        <v/>
      </c>
      <c r="X121" s="10">
        <f>운전실적_원본!M121</f>
        <v>0</v>
      </c>
      <c r="Y121" s="10">
        <f>운전실적_원본!N121</f>
        <v>0</v>
      </c>
      <c r="Z121" s="10">
        <f>운전실적_원본!O121</f>
        <v>0</v>
      </c>
      <c r="AA121" s="10">
        <f>운전실적_원본!P121</f>
        <v>0</v>
      </c>
      <c r="AB121" s="10">
        <f>운전실적_원본!Q121</f>
        <v>0</v>
      </c>
      <c r="AC121" s="10">
        <f>운전실적_원본!R121</f>
        <v>0</v>
      </c>
      <c r="AD121" s="181">
        <f>운전실적_원본!S121</f>
        <v>0</v>
      </c>
      <c r="AE121" s="181">
        <f>운전실적_원본!T121</f>
        <v>0</v>
      </c>
      <c r="AF121" s="181">
        <f>운전실적_원본!U121</f>
        <v>0</v>
      </c>
      <c r="AG121" s="181">
        <f>운전실적_원본!V121</f>
        <v>0</v>
      </c>
      <c r="AH121" s="106">
        <f t="shared" si="462"/>
        <v>0</v>
      </c>
      <c r="AI121" s="107">
        <f t="shared" si="470"/>
        <v>0</v>
      </c>
      <c r="AJ121" s="107">
        <f t="shared" si="471"/>
        <v>0</v>
      </c>
      <c r="AK121" s="204">
        <f t="shared" si="472"/>
        <v>0</v>
      </c>
      <c r="AL121" s="103"/>
      <c r="AM121" s="103"/>
      <c r="AN121" s="103"/>
      <c r="AO121" s="103"/>
      <c r="AP121" s="103"/>
      <c r="AQ121" s="105"/>
      <c r="AR121" s="103"/>
      <c r="AS121" s="103"/>
      <c r="AT121" s="101"/>
      <c r="AU121" s="101"/>
      <c r="AV121" s="101"/>
      <c r="AW121" s="101"/>
      <c r="AX121" s="32">
        <f>운전실적_원본!W121</f>
        <v>0</v>
      </c>
      <c r="AY121" s="198">
        <f>운전실적_원본!X121</f>
        <v>0</v>
      </c>
      <c r="AZ121" s="198">
        <f>운전실적_원본!Y121</f>
        <v>0</v>
      </c>
      <c r="BA121" s="198">
        <f>운전실적_원본!Z121</f>
        <v>0</v>
      </c>
      <c r="BB121" s="198">
        <f>운전실적_원본!AA121</f>
        <v>0</v>
      </c>
      <c r="BC121" s="198">
        <f>운전실적_원본!AB121</f>
        <v>0</v>
      </c>
      <c r="BD121" s="32" t="str">
        <f t="shared" si="455"/>
        <v>-</v>
      </c>
      <c r="BE121" s="11" t="str">
        <f t="shared" si="463"/>
        <v>-</v>
      </c>
      <c r="BF121" s="11">
        <f>운전실적_원본!AE121</f>
        <v>0</v>
      </c>
      <c r="BG121" s="31">
        <f t="shared" si="456"/>
        <v>0</v>
      </c>
    </row>
    <row r="122" spans="1:59">
      <c r="A122" s="6">
        <f t="shared" si="464"/>
        <v>45774</v>
      </c>
      <c r="B122" s="15">
        <f>운전실적_원본!B122</f>
        <v>6131</v>
      </c>
      <c r="C122" s="16">
        <f t="shared" si="633"/>
        <v>32</v>
      </c>
      <c r="D122" s="9">
        <f>운전실적_원본!C122</f>
        <v>235255</v>
      </c>
      <c r="E122" s="199">
        <f t="shared" si="634"/>
        <v>0</v>
      </c>
      <c r="F122" s="9">
        <f>운전실적_원본!D122</f>
        <v>229470</v>
      </c>
      <c r="G122" s="16">
        <f t="shared" si="635"/>
        <v>105</v>
      </c>
      <c r="H122" s="15">
        <f>운전실적_원본!E122</f>
        <v>14290</v>
      </c>
      <c r="I122" s="16">
        <f t="shared" si="636"/>
        <v>3</v>
      </c>
      <c r="J122" s="15">
        <f>운전실적_원본!E122</f>
        <v>14290</v>
      </c>
      <c r="K122" s="16">
        <f t="shared" si="636"/>
        <v>3</v>
      </c>
      <c r="L122" s="15">
        <f>운전실적_원본!G122</f>
        <v>3842.7</v>
      </c>
      <c r="M122" s="31">
        <f t="shared" ref="M122" si="728">IF(OR(LEN(L122)=0,L122=0),"",L122-L121)</f>
        <v>0.6999999999998181</v>
      </c>
      <c r="N122" s="15">
        <f>운전실적_원본!H122</f>
        <v>13507</v>
      </c>
      <c r="O122" s="16">
        <f t="shared" ref="O122" si="729">IF(OR(LEN(N122)=0,N122=0),"",N122-N121)</f>
        <v>47</v>
      </c>
      <c r="P122" s="15">
        <f>운전실적_원본!I122</f>
        <v>268072</v>
      </c>
      <c r="Q122" s="16">
        <f t="shared" ref="Q122" si="730">IF(OR(LEN(P122)=0,P122=0),"",P122-P121)</f>
        <v>149</v>
      </c>
      <c r="R122" s="18">
        <f>운전실적_원본!J122</f>
        <v>30.97</v>
      </c>
      <c r="S122" s="19">
        <f t="shared" ref="S122" si="731">IF(OR(LEN(R122)=0,R122=0),"",R122-R121)</f>
        <v>-7.0000000000000284E-2</v>
      </c>
      <c r="T122" s="18">
        <f>운전실적_원본!K122</f>
        <v>30.69</v>
      </c>
      <c r="U122" s="19">
        <f t="shared" si="641"/>
        <v>7.0000000000000284E-2</v>
      </c>
      <c r="V122" s="12">
        <f>운전실적_원본!L122</f>
        <v>0</v>
      </c>
      <c r="W122" s="16" t="str">
        <f t="shared" ref="W122" si="732">IF(OR(LEN(V122)=0,V122=0),"",V122-V121)</f>
        <v/>
      </c>
      <c r="X122" s="10">
        <f>운전실적_원본!M122</f>
        <v>0</v>
      </c>
      <c r="Y122" s="10">
        <f>운전실적_원본!N122</f>
        <v>0</v>
      </c>
      <c r="Z122" s="10">
        <f>운전실적_원본!O122</f>
        <v>0</v>
      </c>
      <c r="AA122" s="10">
        <f>운전실적_원본!P122</f>
        <v>0</v>
      </c>
      <c r="AB122" s="10">
        <f>운전실적_원본!Q122</f>
        <v>0</v>
      </c>
      <c r="AC122" s="10">
        <f>운전실적_원본!R122</f>
        <v>0</v>
      </c>
      <c r="AD122" s="181">
        <f>운전실적_원본!S122</f>
        <v>0</v>
      </c>
      <c r="AE122" s="181">
        <f>운전실적_원본!T122</f>
        <v>0</v>
      </c>
      <c r="AF122" s="181">
        <f>운전실적_원본!U122</f>
        <v>0</v>
      </c>
      <c r="AG122" s="181">
        <f>운전실적_원본!V122</f>
        <v>0</v>
      </c>
      <c r="AH122" s="106">
        <f t="shared" si="462"/>
        <v>0</v>
      </c>
      <c r="AI122" s="107">
        <f t="shared" si="470"/>
        <v>0</v>
      </c>
      <c r="AJ122" s="107">
        <f t="shared" si="471"/>
        <v>0</v>
      </c>
      <c r="AK122" s="204">
        <f t="shared" si="472"/>
        <v>0</v>
      </c>
      <c r="AL122" s="103"/>
      <c r="AM122" s="103"/>
      <c r="AN122" s="103"/>
      <c r="AO122" s="103"/>
      <c r="AP122" s="103"/>
      <c r="AQ122" s="105"/>
      <c r="AR122" s="103"/>
      <c r="AS122" s="103"/>
      <c r="AT122" s="101"/>
      <c r="AU122" s="101"/>
      <c r="AV122" s="101"/>
      <c r="AW122" s="101"/>
      <c r="AX122" s="32">
        <f>운전실적_원본!W122</f>
        <v>0</v>
      </c>
      <c r="AY122" s="198">
        <f>운전실적_원본!X122</f>
        <v>0</v>
      </c>
      <c r="AZ122" s="198">
        <f>운전실적_원본!Y122</f>
        <v>0</v>
      </c>
      <c r="BA122" s="198">
        <f>운전실적_원본!Z122</f>
        <v>0</v>
      </c>
      <c r="BB122" s="198">
        <f>운전실적_원본!AA122</f>
        <v>0</v>
      </c>
      <c r="BC122" s="198">
        <f>운전실적_원본!AB122</f>
        <v>0</v>
      </c>
      <c r="BD122" s="32" t="str">
        <f t="shared" si="455"/>
        <v>-</v>
      </c>
      <c r="BE122" s="11" t="str">
        <f t="shared" si="463"/>
        <v>-</v>
      </c>
      <c r="BF122" s="11">
        <f>운전실적_원본!AE122</f>
        <v>0</v>
      </c>
      <c r="BG122" s="31">
        <f t="shared" si="456"/>
        <v>0</v>
      </c>
    </row>
    <row r="123" spans="1:59">
      <c r="A123" s="6">
        <f t="shared" si="464"/>
        <v>45775</v>
      </c>
      <c r="B123" s="15">
        <f>운전실적_원본!B123</f>
        <v>6131</v>
      </c>
      <c r="C123" s="16">
        <f t="shared" si="633"/>
        <v>0</v>
      </c>
      <c r="D123" s="9">
        <f>운전실적_원본!C123</f>
        <v>235255</v>
      </c>
      <c r="E123" s="199">
        <f t="shared" si="634"/>
        <v>0</v>
      </c>
      <c r="F123" s="9">
        <f>운전실적_원본!D123</f>
        <v>229524</v>
      </c>
      <c r="G123" s="16">
        <f t="shared" si="635"/>
        <v>54</v>
      </c>
      <c r="H123" s="15">
        <f>운전실적_원본!E123</f>
        <v>14296</v>
      </c>
      <c r="I123" s="16">
        <f t="shared" si="636"/>
        <v>6</v>
      </c>
      <c r="J123" s="15">
        <f>운전실적_원본!E123</f>
        <v>14296</v>
      </c>
      <c r="K123" s="16">
        <f t="shared" si="636"/>
        <v>6</v>
      </c>
      <c r="L123" s="15">
        <f>운전실적_원본!G123</f>
        <v>3843.3</v>
      </c>
      <c r="M123" s="31">
        <f t="shared" ref="M123" si="733">IF(OR(LEN(L123)=0,L123=0),"",L123-L122)</f>
        <v>0.6000000000003638</v>
      </c>
      <c r="N123" s="15">
        <f>운전실적_원본!H123</f>
        <v>13571</v>
      </c>
      <c r="O123" s="16">
        <f t="shared" ref="O123" si="734">IF(OR(LEN(N123)=0,N123=0),"",N123-N122)</f>
        <v>64</v>
      </c>
      <c r="P123" s="15">
        <f>운전실적_원본!I123</f>
        <v>268195</v>
      </c>
      <c r="Q123" s="16">
        <f t="shared" ref="Q123" si="735">IF(OR(LEN(P123)=0,P123=0),"",P123-P122)</f>
        <v>123</v>
      </c>
      <c r="R123" s="18">
        <f>운전실적_원본!J123</f>
        <v>30.95</v>
      </c>
      <c r="S123" s="19">
        <f t="shared" ref="S123" si="736">IF(OR(LEN(R123)=0,R123=0),"",R123-R122)</f>
        <v>-1.9999999999999574E-2</v>
      </c>
      <c r="T123" s="18">
        <f>운전실적_원본!K123</f>
        <v>30.6</v>
      </c>
      <c r="U123" s="19">
        <f t="shared" si="641"/>
        <v>-8.9999999999999858E-2</v>
      </c>
      <c r="V123" s="12">
        <f>운전실적_원본!L123</f>
        <v>0</v>
      </c>
      <c r="W123" s="16" t="str">
        <f t="shared" ref="W123" si="737">IF(OR(LEN(V123)=0,V123=0),"",V123-V122)</f>
        <v/>
      </c>
      <c r="X123" s="10">
        <f>운전실적_원본!M123</f>
        <v>56089</v>
      </c>
      <c r="Y123" s="10">
        <f>운전실적_원본!N123</f>
        <v>0</v>
      </c>
      <c r="Z123" s="10">
        <f>운전실적_원본!O123</f>
        <v>0</v>
      </c>
      <c r="AA123" s="10">
        <f>운전실적_원본!P123</f>
        <v>0</v>
      </c>
      <c r="AB123" s="10">
        <f>운전실적_원본!Q123</f>
        <v>0</v>
      </c>
      <c r="AC123" s="10">
        <f>운전실적_원본!R123</f>
        <v>0</v>
      </c>
      <c r="AD123" s="181">
        <f>운전실적_원본!S123</f>
        <v>11</v>
      </c>
      <c r="AE123" s="181">
        <f>운전실적_원본!T123</f>
        <v>0</v>
      </c>
      <c r="AF123" s="181">
        <f>운전실적_원본!U123</f>
        <v>0</v>
      </c>
      <c r="AG123" s="181">
        <f>운전실적_원본!V123</f>
        <v>0</v>
      </c>
      <c r="AH123" s="106">
        <f t="shared" si="462"/>
        <v>11.000000000058208</v>
      </c>
      <c r="AI123" s="107">
        <f t="shared" si="470"/>
        <v>0</v>
      </c>
      <c r="AJ123" s="107">
        <f t="shared" si="471"/>
        <v>0</v>
      </c>
      <c r="AK123" s="204">
        <f t="shared" si="472"/>
        <v>0</v>
      </c>
      <c r="AL123" s="103">
        <v>45775.416666666664</v>
      </c>
      <c r="AM123" s="103">
        <v>45775.875</v>
      </c>
      <c r="AN123" s="103"/>
      <c r="AO123" s="103"/>
      <c r="AP123" s="103"/>
      <c r="AQ123" s="105"/>
      <c r="AR123" s="103"/>
      <c r="AS123" s="103"/>
      <c r="AT123" s="101"/>
      <c r="AU123" s="101"/>
      <c r="AV123" s="101"/>
      <c r="AW123" s="101"/>
      <c r="AX123" s="32">
        <f>운전실적_원본!W123</f>
        <v>348</v>
      </c>
      <c r="AY123" s="198">
        <f>운전실적_원본!X123</f>
        <v>0</v>
      </c>
      <c r="AZ123" s="198">
        <f>운전실적_원본!Y123</f>
        <v>0</v>
      </c>
      <c r="BA123" s="198">
        <f>운전실적_원본!Z123</f>
        <v>0</v>
      </c>
      <c r="BB123" s="198">
        <f>운전실적_원본!AA123</f>
        <v>0</v>
      </c>
      <c r="BC123" s="198">
        <f>운전실적_원본!AB123</f>
        <v>348</v>
      </c>
      <c r="BD123" s="32">
        <f t="shared" si="455"/>
        <v>31.636363636363637</v>
      </c>
      <c r="BE123" s="11">
        <f t="shared" si="463"/>
        <v>0.6156132250703179</v>
      </c>
      <c r="BF123" s="11">
        <f>운전실적_원본!AE123</f>
        <v>0</v>
      </c>
      <c r="BG123" s="31">
        <f t="shared" si="456"/>
        <v>0</v>
      </c>
    </row>
    <row r="124" spans="1:59">
      <c r="A124" s="6">
        <f t="shared" si="464"/>
        <v>45776</v>
      </c>
      <c r="B124" s="15">
        <f>운전실적_원본!B124</f>
        <v>6160</v>
      </c>
      <c r="C124" s="16">
        <f t="shared" si="633"/>
        <v>29</v>
      </c>
      <c r="D124" s="9">
        <f>운전실적_원본!C124</f>
        <v>235296</v>
      </c>
      <c r="E124" s="199">
        <f t="shared" si="634"/>
        <v>41</v>
      </c>
      <c r="F124" s="9">
        <f>운전실적_원본!D124</f>
        <v>229648</v>
      </c>
      <c r="G124" s="16">
        <f t="shared" si="635"/>
        <v>124</v>
      </c>
      <c r="H124" s="15">
        <f>운전실적_원본!E124</f>
        <v>14300</v>
      </c>
      <c r="I124" s="16">
        <f t="shared" si="636"/>
        <v>4</v>
      </c>
      <c r="J124" s="15">
        <f>운전실적_원본!E124</f>
        <v>14300</v>
      </c>
      <c r="K124" s="16">
        <f t="shared" si="636"/>
        <v>4</v>
      </c>
      <c r="L124" s="15">
        <f>운전실적_원본!G124</f>
        <v>3843.9</v>
      </c>
      <c r="M124" s="31">
        <f t="shared" ref="M124" si="738">IF(OR(LEN(L124)=0,L124=0),"",L124-L123)</f>
        <v>0.59999999999990905</v>
      </c>
      <c r="N124" s="15">
        <f>운전실적_원본!H124</f>
        <v>13625</v>
      </c>
      <c r="O124" s="16">
        <f t="shared" ref="O124" si="739">IF(OR(LEN(N124)=0,N124=0),"",N124-N123)</f>
        <v>54</v>
      </c>
      <c r="P124" s="15">
        <f>운전실적_원본!I124</f>
        <v>268460</v>
      </c>
      <c r="Q124" s="16">
        <f t="shared" ref="Q124" si="740">IF(OR(LEN(P124)=0,P124=0),"",P124-P123)</f>
        <v>265</v>
      </c>
      <c r="R124" s="18">
        <f>운전실적_원본!J124</f>
        <v>31.01</v>
      </c>
      <c r="S124" s="19">
        <f t="shared" ref="S124" si="741">IF(OR(LEN(R124)=0,R124=0),"",R124-R123)</f>
        <v>6.0000000000002274E-2</v>
      </c>
      <c r="T124" s="18">
        <f>운전실적_원본!K124</f>
        <v>30.65</v>
      </c>
      <c r="U124" s="19">
        <f t="shared" si="641"/>
        <v>4.9999999999997158E-2</v>
      </c>
      <c r="V124" s="12">
        <f>운전실적_원본!L124</f>
        <v>0</v>
      </c>
      <c r="W124" s="16" t="str">
        <f t="shared" ref="W124" si="742">IF(OR(LEN(V124)=0,V124=0),"",V124-V123)</f>
        <v/>
      </c>
      <c r="X124" s="10">
        <f>운전실적_원본!M124</f>
        <v>0</v>
      </c>
      <c r="Y124" s="10">
        <f>운전실적_원본!N124</f>
        <v>0</v>
      </c>
      <c r="Z124" s="10">
        <f>운전실적_원본!O124</f>
        <v>0</v>
      </c>
      <c r="AA124" s="10">
        <f>운전실적_원본!P124</f>
        <v>0</v>
      </c>
      <c r="AB124" s="10">
        <f>운전실적_원본!Q124</f>
        <v>0</v>
      </c>
      <c r="AC124" s="10">
        <f>운전실적_원본!R124</f>
        <v>0</v>
      </c>
      <c r="AD124" s="181">
        <f>운전실적_원본!S124</f>
        <v>0</v>
      </c>
      <c r="AE124" s="181">
        <f>운전실적_원본!T124</f>
        <v>0</v>
      </c>
      <c r="AF124" s="181">
        <f>운전실적_원본!U124</f>
        <v>0</v>
      </c>
      <c r="AG124" s="181">
        <f>운전실적_원본!V124</f>
        <v>0</v>
      </c>
      <c r="AH124" s="106">
        <f t="shared" si="462"/>
        <v>0</v>
      </c>
      <c r="AI124" s="107">
        <f t="shared" si="470"/>
        <v>0</v>
      </c>
      <c r="AJ124" s="107">
        <f t="shared" si="471"/>
        <v>0</v>
      </c>
      <c r="AK124" s="204">
        <f t="shared" si="472"/>
        <v>0</v>
      </c>
      <c r="AL124" s="103"/>
      <c r="AM124" s="103"/>
      <c r="AN124" s="103"/>
      <c r="AO124" s="103"/>
      <c r="AP124" s="103"/>
      <c r="AQ124" s="105"/>
      <c r="AR124" s="103"/>
      <c r="AS124" s="103"/>
      <c r="AT124" s="101"/>
      <c r="AU124" s="101"/>
      <c r="AV124" s="101"/>
      <c r="AW124" s="101"/>
      <c r="AX124" s="32">
        <f>운전실적_원본!W124</f>
        <v>0</v>
      </c>
      <c r="AY124" s="198">
        <f>운전실적_원본!X124</f>
        <v>0</v>
      </c>
      <c r="AZ124" s="198">
        <f>운전실적_원본!Y124</f>
        <v>0</v>
      </c>
      <c r="BA124" s="198">
        <f>운전실적_원본!Z124</f>
        <v>0</v>
      </c>
      <c r="BB124" s="198">
        <f>운전실적_원본!AA124</f>
        <v>0</v>
      </c>
      <c r="BC124" s="198">
        <f>운전실적_원본!AB124</f>
        <v>0</v>
      </c>
      <c r="BD124" s="32" t="str">
        <f t="shared" si="455"/>
        <v>-</v>
      </c>
      <c r="BE124" s="11" t="str">
        <f t="shared" si="463"/>
        <v>-</v>
      </c>
      <c r="BF124" s="11">
        <f>운전실적_원본!AE124</f>
        <v>0</v>
      </c>
      <c r="BG124" s="31">
        <f t="shared" si="456"/>
        <v>0</v>
      </c>
    </row>
    <row r="125" spans="1:59" s="197" customFormat="1">
      <c r="A125" s="205">
        <f t="shared" si="464"/>
        <v>45777</v>
      </c>
      <c r="B125" s="182">
        <f>운전실적_원본!B125</f>
        <v>6199</v>
      </c>
      <c r="C125" s="183">
        <f t="shared" si="633"/>
        <v>39</v>
      </c>
      <c r="D125" s="184">
        <f>운전실적_원본!C125</f>
        <v>235403</v>
      </c>
      <c r="E125" s="202">
        <f t="shared" si="634"/>
        <v>107</v>
      </c>
      <c r="F125" s="184">
        <f>운전실적_원본!D125</f>
        <v>229727</v>
      </c>
      <c r="G125" s="183">
        <f t="shared" si="635"/>
        <v>79</v>
      </c>
      <c r="H125" s="182">
        <f>운전실적_원본!E125</f>
        <v>14306</v>
      </c>
      <c r="I125" s="183">
        <f t="shared" si="636"/>
        <v>6</v>
      </c>
      <c r="J125" s="182">
        <f>운전실적_원본!E125</f>
        <v>14306</v>
      </c>
      <c r="K125" s="183">
        <f t="shared" si="636"/>
        <v>6</v>
      </c>
      <c r="L125" s="182">
        <f>운전실적_원본!G125</f>
        <v>3844.9</v>
      </c>
      <c r="M125" s="185">
        <f t="shared" ref="M125" si="743">IF(OR(LEN(L125)=0,L125=0),"",L125-L124)</f>
        <v>1</v>
      </c>
      <c r="N125" s="182">
        <f>운전실적_원본!H125</f>
        <v>13747</v>
      </c>
      <c r="O125" s="183">
        <f t="shared" ref="O125" si="744">IF(OR(LEN(N125)=0,N125=0),"",N125-N124)</f>
        <v>122</v>
      </c>
      <c r="P125" s="182">
        <f>운전실적_원본!I125</f>
        <v>268748</v>
      </c>
      <c r="Q125" s="183">
        <f t="shared" ref="Q125" si="745">IF(OR(LEN(P125)=0,P125=0),"",P125-P124)</f>
        <v>288</v>
      </c>
      <c r="R125" s="186">
        <f>운전실적_원본!J125</f>
        <v>31.37</v>
      </c>
      <c r="S125" s="187">
        <f t="shared" ref="S125" si="746">IF(OR(LEN(R125)=0,R125=0),"",R125-R124)</f>
        <v>0.35999999999999943</v>
      </c>
      <c r="T125" s="186">
        <f>운전실적_원본!K125</f>
        <v>30.78</v>
      </c>
      <c r="U125" s="187">
        <f t="shared" si="641"/>
        <v>0.13000000000000256</v>
      </c>
      <c r="V125" s="184">
        <f>운전실적_원본!L125</f>
        <v>0</v>
      </c>
      <c r="W125" s="183" t="str">
        <f t="shared" ref="W125" si="747">IF(OR(LEN(V125)=0,V125=0),"",V125-V124)</f>
        <v/>
      </c>
      <c r="X125" s="188">
        <f>운전실적_원본!M125</f>
        <v>137634.79999999999</v>
      </c>
      <c r="Y125" s="188">
        <f>운전실적_원본!N125</f>
        <v>0</v>
      </c>
      <c r="Z125" s="188">
        <f>운전실적_원본!O125</f>
        <v>0</v>
      </c>
      <c r="AA125" s="188">
        <f>운전실적_원본!P125</f>
        <v>0</v>
      </c>
      <c r="AB125" s="188">
        <f>운전실적_원본!Q125</f>
        <v>0</v>
      </c>
      <c r="AC125" s="188">
        <f>운전실적_원본!R125</f>
        <v>0</v>
      </c>
      <c r="AD125" s="189">
        <f>운전실적_원본!S125</f>
        <v>20</v>
      </c>
      <c r="AE125" s="189">
        <f>운전실적_원본!T125</f>
        <v>0</v>
      </c>
      <c r="AF125" s="189">
        <f>운전실적_원본!U125</f>
        <v>0</v>
      </c>
      <c r="AG125" s="189">
        <f>운전실적_원본!V125</f>
        <v>0</v>
      </c>
      <c r="AH125" s="190">
        <f t="shared" si="462"/>
        <v>20.166666666744277</v>
      </c>
      <c r="AI125" s="191">
        <f t="shared" si="470"/>
        <v>0</v>
      </c>
      <c r="AJ125" s="191">
        <f t="shared" si="471"/>
        <v>0</v>
      </c>
      <c r="AK125" s="206">
        <f t="shared" si="472"/>
        <v>0</v>
      </c>
      <c r="AL125" s="192">
        <v>45777.159722222219</v>
      </c>
      <c r="AM125" s="192">
        <v>45778</v>
      </c>
      <c r="AN125" s="192"/>
      <c r="AO125" s="192"/>
      <c r="AP125" s="192"/>
      <c r="AQ125" s="193"/>
      <c r="AR125" s="192"/>
      <c r="AS125" s="192"/>
      <c r="AT125" s="194"/>
      <c r="AU125" s="194"/>
      <c r="AV125" s="194"/>
      <c r="AW125" s="194"/>
      <c r="AX125" s="195">
        <f>운전실적_원본!W125</f>
        <v>878</v>
      </c>
      <c r="AY125" s="196">
        <f>운전실적_원본!X125</f>
        <v>0</v>
      </c>
      <c r="AZ125" s="196">
        <f>운전실적_원본!Y125</f>
        <v>0</v>
      </c>
      <c r="BA125" s="196">
        <f>운전실적_원본!Z125</f>
        <v>0</v>
      </c>
      <c r="BB125" s="196">
        <f>운전실적_원본!AA125</f>
        <v>0</v>
      </c>
      <c r="BC125" s="185">
        <f>운전실적_원본!AB125</f>
        <v>878</v>
      </c>
      <c r="BD125" s="195">
        <f t="shared" si="455"/>
        <v>43.9</v>
      </c>
      <c r="BE125" s="196">
        <f t="shared" si="463"/>
        <v>0.85425179996108191</v>
      </c>
      <c r="BF125" s="196">
        <f>운전실적_원본!AE125</f>
        <v>0</v>
      </c>
      <c r="BG125" s="185">
        <f t="shared" si="456"/>
        <v>0</v>
      </c>
    </row>
    <row r="126" spans="1:59">
      <c r="A126" s="6">
        <f t="shared" si="464"/>
        <v>45778</v>
      </c>
      <c r="B126" s="15">
        <f>운전실적_원본!B126</f>
        <v>6230</v>
      </c>
      <c r="C126" s="16">
        <f t="shared" si="633"/>
        <v>31</v>
      </c>
      <c r="D126" s="9">
        <f>운전실적_원본!C126</f>
        <v>235458</v>
      </c>
      <c r="E126" s="199">
        <f t="shared" si="634"/>
        <v>55</v>
      </c>
      <c r="F126" s="9">
        <f>운전실적_원본!D126</f>
        <v>229795</v>
      </c>
      <c r="G126" s="16">
        <f t="shared" si="635"/>
        <v>68</v>
      </c>
      <c r="H126" s="15">
        <f>운전실적_원본!E126</f>
        <v>14308</v>
      </c>
      <c r="I126" s="16">
        <f t="shared" si="636"/>
        <v>2</v>
      </c>
      <c r="J126" s="15">
        <f>운전실적_원본!E126</f>
        <v>14308</v>
      </c>
      <c r="K126" s="16">
        <f t="shared" si="636"/>
        <v>2</v>
      </c>
      <c r="L126" s="15">
        <f>운전실적_원본!G126</f>
        <v>3845</v>
      </c>
      <c r="M126" s="31">
        <f t="shared" ref="M126" si="748">IF(OR(LEN(L126)=0,L126=0),"",L126-L125)</f>
        <v>9.9999999999909051E-2</v>
      </c>
      <c r="N126" s="15">
        <f>운전실적_원본!H126</f>
        <v>13802</v>
      </c>
      <c r="O126" s="16">
        <f t="shared" ref="O126" si="749">IF(OR(LEN(N126)=0,N126=0),"",N126-N125)</f>
        <v>55</v>
      </c>
      <c r="P126" s="15">
        <f>운전실적_원본!I126</f>
        <v>268897</v>
      </c>
      <c r="Q126" s="16">
        <f t="shared" ref="Q126" si="750">IF(OR(LEN(P126)=0,P126=0),"",P126-P125)</f>
        <v>149</v>
      </c>
      <c r="R126" s="18">
        <f>운전실적_원본!J126</f>
        <v>31.27</v>
      </c>
      <c r="S126" s="19">
        <f t="shared" ref="S126" si="751">IF(OR(LEN(R126)=0,R126=0),"",R126-R125)</f>
        <v>-0.10000000000000142</v>
      </c>
      <c r="T126" s="18">
        <f>운전실적_원본!K126</f>
        <v>30.82</v>
      </c>
      <c r="U126" s="19">
        <f t="shared" si="641"/>
        <v>3.9999999999999147E-2</v>
      </c>
      <c r="V126" s="12">
        <f>운전실적_원본!L126</f>
        <v>0</v>
      </c>
      <c r="W126" s="16" t="str">
        <f t="shared" ref="W126" si="752">IF(OR(LEN(V126)=0,V126=0),"",V126-V125)</f>
        <v/>
      </c>
      <c r="X126" s="10">
        <f>운전실적_원본!M126</f>
        <v>0</v>
      </c>
      <c r="Y126" s="10">
        <f>운전실적_원본!N126</f>
        <v>0</v>
      </c>
      <c r="Z126" s="10">
        <f>운전실적_원본!O126</f>
        <v>0</v>
      </c>
      <c r="AA126" s="10">
        <f>운전실적_원본!P126</f>
        <v>0</v>
      </c>
      <c r="AB126" s="10">
        <f>운전실적_원본!Q126</f>
        <v>0</v>
      </c>
      <c r="AC126" s="10">
        <f>운전실적_원본!R126</f>
        <v>0</v>
      </c>
      <c r="AD126" s="181">
        <f>운전실적_원본!S126</f>
        <v>0</v>
      </c>
      <c r="AE126" s="181">
        <f>운전실적_원본!T126</f>
        <v>0</v>
      </c>
      <c r="AF126" s="181">
        <f>운전실적_원본!U126</f>
        <v>0</v>
      </c>
      <c r="AG126" s="181">
        <f>운전실적_원본!V126</f>
        <v>0</v>
      </c>
      <c r="AH126" s="106">
        <f t="shared" si="462"/>
        <v>0</v>
      </c>
      <c r="AI126" s="107">
        <f t="shared" si="470"/>
        <v>0</v>
      </c>
      <c r="AJ126" s="107">
        <f t="shared" si="471"/>
        <v>0</v>
      </c>
      <c r="AK126" s="204">
        <f t="shared" si="472"/>
        <v>0</v>
      </c>
      <c r="AL126" s="103"/>
      <c r="AM126" s="103"/>
      <c r="AN126" s="103"/>
      <c r="AO126" s="103"/>
      <c r="AP126" s="103"/>
      <c r="AQ126" s="105"/>
      <c r="AR126" s="103"/>
      <c r="AS126" s="103"/>
      <c r="AT126" s="101"/>
      <c r="AU126" s="101"/>
      <c r="AV126" s="101"/>
      <c r="AW126" s="101"/>
      <c r="AX126" s="32">
        <f>운전실적_원본!W126</f>
        <v>0</v>
      </c>
      <c r="AY126" s="198">
        <f>운전실적_원본!X126</f>
        <v>0</v>
      </c>
      <c r="AZ126" s="198">
        <f>운전실적_원본!Y126</f>
        <v>0</v>
      </c>
      <c r="BA126" s="198">
        <f>운전실적_원본!Z126</f>
        <v>0</v>
      </c>
      <c r="BB126" s="198">
        <f>운전실적_원본!AA126</f>
        <v>0</v>
      </c>
      <c r="BC126" s="198">
        <f>운전실적_원본!AB126</f>
        <v>0</v>
      </c>
      <c r="BD126" s="32" t="str">
        <f t="shared" si="455"/>
        <v>-</v>
      </c>
      <c r="BE126" s="11" t="str">
        <f t="shared" si="463"/>
        <v>-</v>
      </c>
      <c r="BF126" s="11">
        <f>운전실적_원본!AE126</f>
        <v>0</v>
      </c>
      <c r="BG126" s="31">
        <f t="shared" si="456"/>
        <v>0</v>
      </c>
    </row>
    <row r="127" spans="1:59">
      <c r="A127" s="6">
        <f t="shared" si="464"/>
        <v>45779</v>
      </c>
      <c r="B127" s="15">
        <f>운전실적_원본!B127</f>
        <v>6255</v>
      </c>
      <c r="C127" s="16">
        <f t="shared" si="633"/>
        <v>25</v>
      </c>
      <c r="D127" s="9">
        <f>운전실적_원본!C127</f>
        <v>235578</v>
      </c>
      <c r="E127" s="199">
        <f t="shared" si="634"/>
        <v>120</v>
      </c>
      <c r="F127" s="9">
        <f>운전실적_원본!D127</f>
        <v>229801</v>
      </c>
      <c r="G127" s="16">
        <f t="shared" si="635"/>
        <v>6</v>
      </c>
      <c r="H127" s="15">
        <f>운전실적_원본!E127</f>
        <v>14310</v>
      </c>
      <c r="I127" s="16">
        <f t="shared" si="636"/>
        <v>2</v>
      </c>
      <c r="J127" s="15">
        <f>운전실적_원본!E127</f>
        <v>14310</v>
      </c>
      <c r="K127" s="16">
        <f t="shared" si="636"/>
        <v>2</v>
      </c>
      <c r="L127" s="15">
        <f>운전실적_원본!G127</f>
        <v>3846</v>
      </c>
      <c r="M127" s="31">
        <f t="shared" ref="M127" si="753">IF(OR(LEN(L127)=0,L127=0),"",L127-L126)</f>
        <v>1</v>
      </c>
      <c r="N127" s="15">
        <f>운전실적_원본!H127</f>
        <v>13864</v>
      </c>
      <c r="O127" s="16">
        <f t="shared" ref="O127" si="754">IF(OR(LEN(N127)=0,N127=0),"",N127-N126)</f>
        <v>62</v>
      </c>
      <c r="P127" s="15">
        <f>운전실적_원본!I127</f>
        <v>269093</v>
      </c>
      <c r="Q127" s="16">
        <f t="shared" ref="Q127" si="755">IF(OR(LEN(P127)=0,P127=0),"",P127-P126)</f>
        <v>196</v>
      </c>
      <c r="R127" s="18">
        <f>운전실적_원본!J127</f>
        <v>31.18</v>
      </c>
      <c r="S127" s="19">
        <f t="shared" ref="S127" si="756">IF(OR(LEN(R127)=0,R127=0),"",R127-R126)</f>
        <v>-8.9999999999999858E-2</v>
      </c>
      <c r="T127" s="18">
        <f>운전실적_원본!K127</f>
        <v>30.95</v>
      </c>
      <c r="U127" s="19">
        <f t="shared" si="641"/>
        <v>0.12999999999999901</v>
      </c>
      <c r="V127" s="12">
        <f>운전실적_원본!L127</f>
        <v>0</v>
      </c>
      <c r="W127" s="16" t="str">
        <f t="shared" ref="W127" si="757">IF(OR(LEN(V127)=0,V127=0),"",V127-V126)</f>
        <v/>
      </c>
      <c r="X127" s="10">
        <f>운전실적_원본!M127</f>
        <v>23220.799999999999</v>
      </c>
      <c r="Y127" s="10">
        <f>운전실적_원본!N127</f>
        <v>0</v>
      </c>
      <c r="Z127" s="10">
        <f>운전실적_원본!O127</f>
        <v>0</v>
      </c>
      <c r="AA127" s="10">
        <f>운전실적_원본!P127</f>
        <v>0</v>
      </c>
      <c r="AB127" s="10">
        <f>운전실적_원본!Q127</f>
        <v>0</v>
      </c>
      <c r="AC127" s="10">
        <f>운전실적_원본!R127</f>
        <v>0</v>
      </c>
      <c r="AD127" s="181">
        <f>운전실적_원본!S127</f>
        <v>11</v>
      </c>
      <c r="AE127" s="181">
        <f>운전실적_원본!T127</f>
        <v>0</v>
      </c>
      <c r="AF127" s="181">
        <f>운전실적_원본!U127</f>
        <v>0</v>
      </c>
      <c r="AG127" s="181">
        <f>운전실적_원본!V127</f>
        <v>0</v>
      </c>
      <c r="AH127" s="106">
        <f t="shared" si="462"/>
        <v>11.333333333255723</v>
      </c>
      <c r="AI127" s="107">
        <f t="shared" si="470"/>
        <v>0</v>
      </c>
      <c r="AJ127" s="107">
        <f t="shared" si="471"/>
        <v>0</v>
      </c>
      <c r="AK127" s="204">
        <f t="shared" si="472"/>
        <v>0</v>
      </c>
      <c r="AL127" s="103">
        <v>45779.451388888891</v>
      </c>
      <c r="AM127" s="103">
        <v>45779.923611111109</v>
      </c>
      <c r="AN127" s="103"/>
      <c r="AO127" s="103"/>
      <c r="AP127" s="103"/>
      <c r="AQ127" s="105"/>
      <c r="AR127" s="103"/>
      <c r="AS127" s="103"/>
      <c r="AT127" s="101"/>
      <c r="AU127" s="101"/>
      <c r="AV127" s="101"/>
      <c r="AW127" s="101"/>
      <c r="AX127" s="32">
        <f>운전실적_원본!W127</f>
        <v>147</v>
      </c>
      <c r="AY127" s="198">
        <f>운전실적_원본!X127</f>
        <v>0</v>
      </c>
      <c r="AZ127" s="198">
        <f>운전실적_원본!Y127</f>
        <v>0</v>
      </c>
      <c r="BA127" s="198">
        <f>운전실적_원본!Z127</f>
        <v>0</v>
      </c>
      <c r="BB127" s="198">
        <f>운전실적_원본!AA127</f>
        <v>0</v>
      </c>
      <c r="BC127" s="198">
        <f>운전실적_원본!AB127</f>
        <v>147</v>
      </c>
      <c r="BD127" s="32">
        <f t="shared" si="455"/>
        <v>13.363636363636363</v>
      </c>
      <c r="BE127" s="11">
        <f t="shared" si="463"/>
        <v>0.26004351748659976</v>
      </c>
      <c r="BF127" s="11">
        <f>운전실적_원본!AE127</f>
        <v>0</v>
      </c>
      <c r="BG127" s="31">
        <f t="shared" si="456"/>
        <v>0</v>
      </c>
    </row>
    <row r="128" spans="1:59">
      <c r="A128" s="6">
        <f t="shared" si="464"/>
        <v>45780</v>
      </c>
      <c r="B128" s="15">
        <f>운전실적_원본!B128</f>
        <v>6289</v>
      </c>
      <c r="C128" s="16">
        <f t="shared" si="633"/>
        <v>34</v>
      </c>
      <c r="D128" s="9">
        <f>운전실적_원본!C128</f>
        <v>235578</v>
      </c>
      <c r="E128" s="199">
        <f t="shared" si="634"/>
        <v>0</v>
      </c>
      <c r="F128" s="9">
        <f>운전실적_원본!D128</f>
        <v>229941</v>
      </c>
      <c r="G128" s="16">
        <f t="shared" si="635"/>
        <v>140</v>
      </c>
      <c r="H128" s="15">
        <f>운전실적_원본!E128</f>
        <v>14312</v>
      </c>
      <c r="I128" s="16">
        <f t="shared" si="636"/>
        <v>2</v>
      </c>
      <c r="J128" s="15">
        <f>운전실적_원본!E128</f>
        <v>14312</v>
      </c>
      <c r="K128" s="16">
        <f t="shared" si="636"/>
        <v>2</v>
      </c>
      <c r="L128" s="15">
        <f>운전실적_원본!G128</f>
        <v>3847</v>
      </c>
      <c r="M128" s="31">
        <f t="shared" ref="M128" si="758">IF(OR(LEN(L128)=0,L128=0),"",L128-L127)</f>
        <v>1</v>
      </c>
      <c r="N128" s="15">
        <f>운전실적_원본!H128</f>
        <v>13912</v>
      </c>
      <c r="O128" s="16">
        <f t="shared" ref="O128" si="759">IF(OR(LEN(N128)=0,N128=0),"",N128-N127)</f>
        <v>48</v>
      </c>
      <c r="P128" s="15">
        <f>운전실적_원본!I128</f>
        <v>269280</v>
      </c>
      <c r="Q128" s="16">
        <f t="shared" ref="Q128" si="760">IF(OR(LEN(P128)=0,P128=0),"",P128-P127)</f>
        <v>187</v>
      </c>
      <c r="R128" s="18">
        <f>운전실적_원본!J128</f>
        <v>31.38</v>
      </c>
      <c r="S128" s="19">
        <f t="shared" ref="S128" si="761">IF(OR(LEN(R128)=0,R128=0),"",R128-R127)</f>
        <v>0.19999999999999929</v>
      </c>
      <c r="T128" s="18">
        <f>운전실적_원본!K128</f>
        <v>31.02</v>
      </c>
      <c r="U128" s="19">
        <f t="shared" si="641"/>
        <v>7.0000000000000284E-2</v>
      </c>
      <c r="V128" s="12">
        <f>운전실적_원본!L128</f>
        <v>0</v>
      </c>
      <c r="W128" s="16" t="str">
        <f t="shared" ref="W128" si="762">IF(OR(LEN(V128)=0,V128=0),"",V128-V127)</f>
        <v/>
      </c>
      <c r="X128" s="10">
        <f>운전실적_원본!M128</f>
        <v>0</v>
      </c>
      <c r="Y128" s="10">
        <f>운전실적_원본!N128</f>
        <v>0</v>
      </c>
      <c r="Z128" s="10">
        <f>운전실적_원본!O128</f>
        <v>0</v>
      </c>
      <c r="AA128" s="10">
        <f>운전실적_원본!P128</f>
        <v>0</v>
      </c>
      <c r="AB128" s="10">
        <f>운전실적_원본!Q128</f>
        <v>0</v>
      </c>
      <c r="AC128" s="10">
        <f>운전실적_원본!R128</f>
        <v>0</v>
      </c>
      <c r="AD128" s="181">
        <f>운전실적_원본!S128</f>
        <v>0</v>
      </c>
      <c r="AE128" s="181">
        <f>운전실적_원본!T128</f>
        <v>0</v>
      </c>
      <c r="AF128" s="181">
        <f>운전실적_원본!U128</f>
        <v>0</v>
      </c>
      <c r="AG128" s="181">
        <f>운전실적_원본!V128</f>
        <v>0</v>
      </c>
      <c r="AH128" s="106">
        <f t="shared" si="462"/>
        <v>0</v>
      </c>
      <c r="AI128" s="107">
        <f t="shared" si="470"/>
        <v>0</v>
      </c>
      <c r="AJ128" s="107">
        <f t="shared" si="471"/>
        <v>0</v>
      </c>
      <c r="AK128" s="204">
        <f t="shared" si="472"/>
        <v>0</v>
      </c>
      <c r="AL128" s="103"/>
      <c r="AM128" s="103"/>
      <c r="AN128" s="103"/>
      <c r="AO128" s="103"/>
      <c r="AP128" s="103"/>
      <c r="AQ128" s="105"/>
      <c r="AR128" s="103"/>
      <c r="AS128" s="103"/>
      <c r="AT128" s="101"/>
      <c r="AU128" s="101"/>
      <c r="AV128" s="101"/>
      <c r="AW128" s="101"/>
      <c r="AX128" s="32">
        <f>운전실적_원본!W128</f>
        <v>0</v>
      </c>
      <c r="AY128" s="198">
        <f>운전실적_원본!X128</f>
        <v>0</v>
      </c>
      <c r="AZ128" s="198">
        <f>운전실적_원본!Y128</f>
        <v>0</v>
      </c>
      <c r="BA128" s="198">
        <f>운전실적_원본!Z128</f>
        <v>0</v>
      </c>
      <c r="BB128" s="198">
        <f>운전실적_원본!AA128</f>
        <v>0</v>
      </c>
      <c r="BC128" s="198">
        <f>운전실적_원본!AB128</f>
        <v>0</v>
      </c>
      <c r="BD128" s="32" t="str">
        <f t="shared" si="455"/>
        <v>-</v>
      </c>
      <c r="BE128" s="11" t="str">
        <f t="shared" si="463"/>
        <v>-</v>
      </c>
      <c r="BF128" s="11">
        <f>운전실적_원본!AE128</f>
        <v>0</v>
      </c>
      <c r="BG128" s="31">
        <f t="shared" si="456"/>
        <v>0</v>
      </c>
    </row>
    <row r="129" spans="1:59">
      <c r="A129" s="6">
        <f t="shared" si="464"/>
        <v>45781</v>
      </c>
      <c r="B129" s="15">
        <f>운전실적_원본!B129</f>
        <v>6324</v>
      </c>
      <c r="C129" s="16">
        <f t="shared" si="633"/>
        <v>35</v>
      </c>
      <c r="D129" s="9">
        <f>운전실적_원본!C129</f>
        <v>235688</v>
      </c>
      <c r="E129" s="199">
        <f t="shared" si="634"/>
        <v>110</v>
      </c>
      <c r="F129" s="9">
        <f>운전실적_원본!D129</f>
        <v>229941</v>
      </c>
      <c r="G129" s="16">
        <f t="shared" si="635"/>
        <v>0</v>
      </c>
      <c r="H129" s="15">
        <f>운전실적_원본!E129</f>
        <v>14314</v>
      </c>
      <c r="I129" s="16">
        <f t="shared" si="636"/>
        <v>2</v>
      </c>
      <c r="J129" s="15">
        <f>운전실적_원본!E129</f>
        <v>14314</v>
      </c>
      <c r="K129" s="16">
        <f t="shared" si="636"/>
        <v>2</v>
      </c>
      <c r="L129" s="15">
        <f>운전실적_원본!G129</f>
        <v>3847</v>
      </c>
      <c r="M129" s="31">
        <f t="shared" ref="M129" si="763">IF(OR(LEN(L129)=0,L129=0),"",L129-L128)</f>
        <v>0</v>
      </c>
      <c r="N129" s="15">
        <f>운전실적_원본!H129</f>
        <v>13912</v>
      </c>
      <c r="O129" s="16">
        <f t="shared" ref="O129" si="764">IF(OR(LEN(N129)=0,N129=0),"",N129-N128)</f>
        <v>0</v>
      </c>
      <c r="P129" s="15">
        <f>운전실적_원본!I129</f>
        <v>269429</v>
      </c>
      <c r="Q129" s="16">
        <f t="shared" ref="Q129" si="765">IF(OR(LEN(P129)=0,P129=0),"",P129-P128)</f>
        <v>149</v>
      </c>
      <c r="R129" s="18">
        <f>운전실적_원본!J129</f>
        <v>31.48</v>
      </c>
      <c r="S129" s="19">
        <f t="shared" ref="S129" si="766">IF(OR(LEN(R129)=0,R129=0),"",R129-R128)</f>
        <v>0.10000000000000142</v>
      </c>
      <c r="T129" s="18">
        <f>운전실적_원본!K129</f>
        <v>31.11</v>
      </c>
      <c r="U129" s="19">
        <f t="shared" si="641"/>
        <v>8.9999999999999858E-2</v>
      </c>
      <c r="V129" s="12">
        <f>운전실적_원본!L129</f>
        <v>0</v>
      </c>
      <c r="W129" s="16" t="str">
        <f t="shared" ref="W129" si="767">IF(OR(LEN(V129)=0,V129=0),"",V129-V128)</f>
        <v/>
      </c>
      <c r="X129" s="10">
        <f>운전실적_원본!M129</f>
        <v>0</v>
      </c>
      <c r="Y129" s="10">
        <f>운전실적_원본!N129</f>
        <v>0</v>
      </c>
      <c r="Z129" s="10">
        <f>운전실적_원본!O129</f>
        <v>0</v>
      </c>
      <c r="AA129" s="10">
        <f>운전실적_원본!P129</f>
        <v>0</v>
      </c>
      <c r="AB129" s="10">
        <f>운전실적_원본!Q129</f>
        <v>0</v>
      </c>
      <c r="AC129" s="10">
        <f>운전실적_원본!R129</f>
        <v>0</v>
      </c>
      <c r="AD129" s="181">
        <f>운전실적_원본!S129</f>
        <v>0</v>
      </c>
      <c r="AE129" s="181">
        <f>운전실적_원본!T129</f>
        <v>0</v>
      </c>
      <c r="AF129" s="181">
        <f>운전실적_원본!U129</f>
        <v>0</v>
      </c>
      <c r="AG129" s="181">
        <f>운전실적_원본!V129</f>
        <v>0</v>
      </c>
      <c r="AH129" s="106">
        <f t="shared" si="462"/>
        <v>0</v>
      </c>
      <c r="AI129" s="107">
        <f t="shared" si="470"/>
        <v>0</v>
      </c>
      <c r="AJ129" s="107">
        <f t="shared" si="471"/>
        <v>0</v>
      </c>
      <c r="AK129" s="204">
        <f t="shared" si="472"/>
        <v>0</v>
      </c>
      <c r="AL129" s="103"/>
      <c r="AM129" s="103"/>
      <c r="AN129" s="103"/>
      <c r="AO129" s="103"/>
      <c r="AP129" s="103"/>
      <c r="AQ129" s="105"/>
      <c r="AR129" s="103"/>
      <c r="AS129" s="103"/>
      <c r="AT129" s="101"/>
      <c r="AU129" s="101"/>
      <c r="AV129" s="101"/>
      <c r="AW129" s="101"/>
      <c r="AX129" s="32">
        <f>운전실적_원본!W129</f>
        <v>0</v>
      </c>
      <c r="AY129" s="198">
        <f>운전실적_원본!X129</f>
        <v>0</v>
      </c>
      <c r="AZ129" s="198">
        <f>운전실적_원본!Y129</f>
        <v>0</v>
      </c>
      <c r="BA129" s="198">
        <f>운전실적_원본!Z129</f>
        <v>0</v>
      </c>
      <c r="BB129" s="198">
        <f>운전실적_원본!AA129</f>
        <v>0</v>
      </c>
      <c r="BC129" s="198">
        <f>운전실적_원본!AB129</f>
        <v>0</v>
      </c>
      <c r="BD129" s="32" t="str">
        <f t="shared" si="455"/>
        <v>-</v>
      </c>
      <c r="BE129" s="11" t="str">
        <f t="shared" si="463"/>
        <v>-</v>
      </c>
      <c r="BF129" s="11">
        <f>운전실적_원본!AE129</f>
        <v>0</v>
      </c>
      <c r="BG129" s="31">
        <f t="shared" si="456"/>
        <v>0</v>
      </c>
    </row>
    <row r="130" spans="1:59">
      <c r="A130" s="6">
        <f t="shared" si="464"/>
        <v>45782</v>
      </c>
      <c r="B130" s="15">
        <f>운전실적_원본!B130</f>
        <v>6358</v>
      </c>
      <c r="C130" s="16">
        <f t="shared" si="633"/>
        <v>34</v>
      </c>
      <c r="D130" s="9">
        <f>운전실적_원본!C130</f>
        <v>235837</v>
      </c>
      <c r="E130" s="199">
        <f t="shared" si="634"/>
        <v>149</v>
      </c>
      <c r="F130" s="9">
        <f>운전실적_원본!D130</f>
        <v>229971</v>
      </c>
      <c r="G130" s="16">
        <f t="shared" si="635"/>
        <v>30</v>
      </c>
      <c r="H130" s="15">
        <f>운전실적_원본!E130</f>
        <v>14317</v>
      </c>
      <c r="I130" s="16">
        <f t="shared" si="636"/>
        <v>3</v>
      </c>
      <c r="J130" s="15">
        <f>운전실적_원본!E130</f>
        <v>14317</v>
      </c>
      <c r="K130" s="16">
        <f t="shared" si="636"/>
        <v>3</v>
      </c>
      <c r="L130" s="15">
        <f>운전실적_원본!G130</f>
        <v>3847</v>
      </c>
      <c r="M130" s="31">
        <f t="shared" ref="M130" si="768">IF(OR(LEN(L130)=0,L130=0),"",L130-L129)</f>
        <v>0</v>
      </c>
      <c r="N130" s="15">
        <f>운전실적_원본!H130</f>
        <v>14020</v>
      </c>
      <c r="O130" s="16">
        <f t="shared" ref="O130" si="769">IF(OR(LEN(N130)=0,N130=0),"",N130-N129)</f>
        <v>108</v>
      </c>
      <c r="P130" s="15">
        <f>운전실적_원본!I130</f>
        <v>269670</v>
      </c>
      <c r="Q130" s="16">
        <f t="shared" ref="Q130" si="770">IF(OR(LEN(P130)=0,P130=0),"",P130-P129)</f>
        <v>241</v>
      </c>
      <c r="R130" s="18">
        <f>운전실적_원본!J130</f>
        <v>31.62</v>
      </c>
      <c r="S130" s="19">
        <f t="shared" ref="S130" si="771">IF(OR(LEN(R130)=0,R130=0),"",R130-R129)</f>
        <v>0.14000000000000057</v>
      </c>
      <c r="T130" s="18">
        <f>운전실적_원본!K130</f>
        <v>31.2</v>
      </c>
      <c r="U130" s="19">
        <f t="shared" si="641"/>
        <v>8.9999999999999858E-2</v>
      </c>
      <c r="V130" s="12">
        <f>운전실적_원본!L130</f>
        <v>0</v>
      </c>
      <c r="W130" s="16" t="str">
        <f t="shared" ref="W130" si="772">IF(OR(LEN(V130)=0,V130=0),"",V130-V129)</f>
        <v/>
      </c>
      <c r="X130" s="10">
        <f>운전실적_원본!M130</f>
        <v>0</v>
      </c>
      <c r="Y130" s="10">
        <f>운전실적_원본!N130</f>
        <v>0</v>
      </c>
      <c r="Z130" s="10">
        <f>운전실적_원본!O130</f>
        <v>0</v>
      </c>
      <c r="AA130" s="10">
        <f>운전실적_원본!P130</f>
        <v>0</v>
      </c>
      <c r="AB130" s="10">
        <f>운전실적_원본!Q130</f>
        <v>0</v>
      </c>
      <c r="AC130" s="10">
        <f>운전실적_원본!R130</f>
        <v>0</v>
      </c>
      <c r="AD130" s="181">
        <f>운전실적_원본!S130</f>
        <v>0</v>
      </c>
      <c r="AE130" s="181">
        <f>운전실적_원본!T130</f>
        <v>0</v>
      </c>
      <c r="AF130" s="181">
        <f>운전실적_원본!U130</f>
        <v>0</v>
      </c>
      <c r="AG130" s="181">
        <f>운전실적_원본!V130</f>
        <v>0</v>
      </c>
      <c r="AH130" s="106">
        <f t="shared" si="462"/>
        <v>0</v>
      </c>
      <c r="AI130" s="107">
        <f t="shared" si="470"/>
        <v>0</v>
      </c>
      <c r="AJ130" s="107">
        <f t="shared" si="471"/>
        <v>0</v>
      </c>
      <c r="AK130" s="204">
        <f t="shared" si="472"/>
        <v>0</v>
      </c>
      <c r="AL130" s="103"/>
      <c r="AM130" s="103"/>
      <c r="AN130" s="103"/>
      <c r="AO130" s="103"/>
      <c r="AP130" s="103"/>
      <c r="AQ130" s="105"/>
      <c r="AR130" s="103"/>
      <c r="AS130" s="103"/>
      <c r="AT130" s="101"/>
      <c r="AU130" s="101"/>
      <c r="AV130" s="101"/>
      <c r="AW130" s="101"/>
      <c r="AX130" s="32">
        <f>운전실적_원본!W130</f>
        <v>0</v>
      </c>
      <c r="AY130" s="198">
        <f>운전실적_원본!X130</f>
        <v>0</v>
      </c>
      <c r="AZ130" s="198">
        <f>운전실적_원본!Y130</f>
        <v>0</v>
      </c>
      <c r="BA130" s="198">
        <f>운전실적_원본!Z130</f>
        <v>0</v>
      </c>
      <c r="BB130" s="198">
        <f>운전실적_원본!AA130</f>
        <v>0</v>
      </c>
      <c r="BC130" s="198">
        <f>운전실적_원본!AB130</f>
        <v>0</v>
      </c>
      <c r="BD130" s="32" t="str">
        <f t="shared" si="455"/>
        <v>-</v>
      </c>
      <c r="BE130" s="11" t="str">
        <f t="shared" si="463"/>
        <v>-</v>
      </c>
      <c r="BF130" s="11">
        <f>운전실적_원본!AE130</f>
        <v>0</v>
      </c>
      <c r="BG130" s="31">
        <f t="shared" si="456"/>
        <v>0</v>
      </c>
    </row>
    <row r="131" spans="1:59">
      <c r="A131" s="6">
        <f t="shared" si="464"/>
        <v>45783</v>
      </c>
      <c r="B131" s="15">
        <f>운전실적_원본!B131</f>
        <v>6392</v>
      </c>
      <c r="C131" s="16">
        <f t="shared" si="633"/>
        <v>34</v>
      </c>
      <c r="D131" s="9">
        <f>운전실적_원본!C131</f>
        <v>235917</v>
      </c>
      <c r="E131" s="199">
        <f t="shared" si="634"/>
        <v>80</v>
      </c>
      <c r="F131" s="9">
        <f>운전실적_원본!D131</f>
        <v>230000</v>
      </c>
      <c r="G131" s="16">
        <f t="shared" si="635"/>
        <v>29</v>
      </c>
      <c r="H131" s="15">
        <f>운전실적_원본!E131</f>
        <v>14320</v>
      </c>
      <c r="I131" s="16">
        <f t="shared" si="636"/>
        <v>3</v>
      </c>
      <c r="J131" s="15">
        <f>운전실적_원본!E131</f>
        <v>14320</v>
      </c>
      <c r="K131" s="16">
        <f t="shared" si="636"/>
        <v>3</v>
      </c>
      <c r="L131" s="15">
        <f>운전실적_원본!G131</f>
        <v>3848</v>
      </c>
      <c r="M131" s="31">
        <f t="shared" ref="M131" si="773">IF(OR(LEN(L131)=0,L131=0),"",L131-L130)</f>
        <v>1</v>
      </c>
      <c r="N131" s="15">
        <f>운전실적_원본!H131</f>
        <v>14020</v>
      </c>
      <c r="O131" s="16">
        <f t="shared" ref="O131" si="774">IF(OR(LEN(N131)=0,N131=0),"",N131-N130)</f>
        <v>0</v>
      </c>
      <c r="P131" s="15">
        <f>운전실적_원본!I131</f>
        <v>269818</v>
      </c>
      <c r="Q131" s="16">
        <f t="shared" ref="Q131" si="775">IF(OR(LEN(P131)=0,P131=0),"",P131-P130)</f>
        <v>148</v>
      </c>
      <c r="R131" s="18">
        <f>운전실적_원본!J131</f>
        <v>31.57</v>
      </c>
      <c r="S131" s="19">
        <f t="shared" ref="S131" si="776">IF(OR(LEN(R131)=0,R131=0),"",R131-R130)</f>
        <v>-5.0000000000000711E-2</v>
      </c>
      <c r="T131" s="18">
        <f>운전실적_원본!K131</f>
        <v>31.2</v>
      </c>
      <c r="U131" s="19">
        <f t="shared" si="641"/>
        <v>0</v>
      </c>
      <c r="V131" s="12">
        <f>운전실적_원본!L131</f>
        <v>0</v>
      </c>
      <c r="W131" s="16" t="str">
        <f t="shared" ref="W131" si="777">IF(OR(LEN(V131)=0,V131=0),"",V131-V130)</f>
        <v/>
      </c>
      <c r="X131" s="10">
        <f>운전실적_원본!M131</f>
        <v>0</v>
      </c>
      <c r="Y131" s="10">
        <f>운전실적_원본!N131</f>
        <v>0</v>
      </c>
      <c r="Z131" s="10">
        <f>운전실적_원본!O131</f>
        <v>0</v>
      </c>
      <c r="AA131" s="10">
        <f>운전실적_원본!P131</f>
        <v>0</v>
      </c>
      <c r="AB131" s="10">
        <f>운전실적_원본!Q131</f>
        <v>0</v>
      </c>
      <c r="AC131" s="10">
        <f>운전실적_원본!R131</f>
        <v>0</v>
      </c>
      <c r="AD131" s="181">
        <f>운전실적_원본!S131</f>
        <v>0</v>
      </c>
      <c r="AE131" s="181">
        <f>운전실적_원본!T131</f>
        <v>0</v>
      </c>
      <c r="AF131" s="181">
        <f>운전실적_원본!U131</f>
        <v>0</v>
      </c>
      <c r="AG131" s="181">
        <f>운전실적_원본!V131</f>
        <v>0</v>
      </c>
      <c r="AH131" s="106">
        <f t="shared" si="462"/>
        <v>0</v>
      </c>
      <c r="AI131" s="107">
        <f t="shared" si="470"/>
        <v>0</v>
      </c>
      <c r="AJ131" s="107">
        <f t="shared" si="471"/>
        <v>0</v>
      </c>
      <c r="AK131" s="204">
        <f t="shared" si="472"/>
        <v>0</v>
      </c>
      <c r="AL131" s="103"/>
      <c r="AM131" s="103"/>
      <c r="AN131" s="103"/>
      <c r="AO131" s="103"/>
      <c r="AP131" s="103"/>
      <c r="AQ131" s="105"/>
      <c r="AR131" s="103"/>
      <c r="AS131" s="103"/>
      <c r="AT131" s="101"/>
      <c r="AU131" s="101"/>
      <c r="AV131" s="101"/>
      <c r="AW131" s="101"/>
      <c r="AX131" s="32">
        <f>운전실적_원본!W131</f>
        <v>0</v>
      </c>
      <c r="AY131" s="198">
        <f>운전실적_원본!X131</f>
        <v>0</v>
      </c>
      <c r="AZ131" s="198">
        <f>운전실적_원본!Y131</f>
        <v>0</v>
      </c>
      <c r="BA131" s="198">
        <f>운전실적_원본!Z131</f>
        <v>0</v>
      </c>
      <c r="BB131" s="198">
        <f>운전실적_원본!AA131</f>
        <v>0</v>
      </c>
      <c r="BC131" s="198">
        <f>운전실적_원본!AB131</f>
        <v>0</v>
      </c>
      <c r="BD131" s="32" t="str">
        <f t="shared" si="455"/>
        <v>-</v>
      </c>
      <c r="BE131" s="11" t="str">
        <f t="shared" si="463"/>
        <v>-</v>
      </c>
      <c r="BF131" s="11">
        <f>운전실적_원본!AE131</f>
        <v>0</v>
      </c>
      <c r="BG131" s="31">
        <f t="shared" si="456"/>
        <v>0</v>
      </c>
    </row>
    <row r="132" spans="1:59">
      <c r="A132" s="6">
        <f t="shared" si="464"/>
        <v>45784</v>
      </c>
      <c r="B132" s="15">
        <f>운전실적_원본!B132</f>
        <v>6423</v>
      </c>
      <c r="C132" s="16">
        <f t="shared" si="633"/>
        <v>31</v>
      </c>
      <c r="D132" s="9">
        <f>운전실적_원본!C132</f>
        <v>235917</v>
      </c>
      <c r="E132" s="199">
        <f t="shared" si="634"/>
        <v>0</v>
      </c>
      <c r="F132" s="9">
        <f>운전실적_원본!D132</f>
        <v>230141</v>
      </c>
      <c r="G132" s="16">
        <f t="shared" si="635"/>
        <v>141</v>
      </c>
      <c r="H132" s="15">
        <f>운전실적_원본!E132</f>
        <v>14324</v>
      </c>
      <c r="I132" s="16">
        <f t="shared" si="636"/>
        <v>4</v>
      </c>
      <c r="J132" s="15">
        <f>운전실적_원본!E132</f>
        <v>14324</v>
      </c>
      <c r="K132" s="16">
        <f t="shared" si="636"/>
        <v>4</v>
      </c>
      <c r="L132" s="15">
        <f>운전실적_원본!G132</f>
        <v>3848</v>
      </c>
      <c r="M132" s="31">
        <f t="shared" ref="M132" si="778">IF(OR(LEN(L132)=0,L132=0),"",L132-L131)</f>
        <v>0</v>
      </c>
      <c r="N132" s="15">
        <f>운전실적_원본!H132</f>
        <v>14109</v>
      </c>
      <c r="O132" s="16">
        <f t="shared" ref="O132" si="779">IF(OR(LEN(N132)=0,N132=0),"",N132-N131)</f>
        <v>89</v>
      </c>
      <c r="P132" s="15">
        <f>운전실적_원본!I132</f>
        <v>270024</v>
      </c>
      <c r="Q132" s="16">
        <f t="shared" ref="Q132" si="780">IF(OR(LEN(P132)=0,P132=0),"",P132-P131)</f>
        <v>206</v>
      </c>
      <c r="R132" s="18">
        <f>운전실적_원본!J132</f>
        <v>31.81</v>
      </c>
      <c r="S132" s="19">
        <f t="shared" ref="S132" si="781">IF(OR(LEN(R132)=0,R132=0),"",R132-R131)</f>
        <v>0.23999999999999844</v>
      </c>
      <c r="T132" s="18">
        <f>운전실적_원본!K132</f>
        <v>31.26</v>
      </c>
      <c r="U132" s="19">
        <f t="shared" si="641"/>
        <v>6.0000000000002274E-2</v>
      </c>
      <c r="V132" s="12">
        <f>운전실적_원본!L132</f>
        <v>0</v>
      </c>
      <c r="W132" s="16" t="str">
        <f t="shared" ref="W132" si="782">IF(OR(LEN(V132)=0,V132=0),"",V132-V131)</f>
        <v/>
      </c>
      <c r="X132" s="10">
        <f>운전실적_원본!M132</f>
        <v>118660.10000000149</v>
      </c>
      <c r="Y132" s="10">
        <f>운전실적_원본!N132</f>
        <v>0</v>
      </c>
      <c r="Z132" s="10">
        <f>운전실적_원본!O132</f>
        <v>0</v>
      </c>
      <c r="AA132" s="10">
        <f>운전실적_원본!P132</f>
        <v>0</v>
      </c>
      <c r="AB132" s="10">
        <f>운전실적_원본!Q132</f>
        <v>0</v>
      </c>
      <c r="AC132" s="10">
        <f>운전실적_원본!R132</f>
        <v>0</v>
      </c>
      <c r="AD132" s="181">
        <f>운전실적_원본!S132</f>
        <v>20</v>
      </c>
      <c r="AE132" s="181">
        <f>운전실적_원본!T132</f>
        <v>0</v>
      </c>
      <c r="AF132" s="181">
        <f>운전실적_원본!U132</f>
        <v>0</v>
      </c>
      <c r="AG132" s="181">
        <f>운전실적_원본!V132</f>
        <v>0</v>
      </c>
      <c r="AH132" s="106">
        <f t="shared" si="462"/>
        <v>19.5</v>
      </c>
      <c r="AI132" s="107">
        <f t="shared" si="470"/>
        <v>0</v>
      </c>
      <c r="AJ132" s="107">
        <f t="shared" si="471"/>
        <v>0</v>
      </c>
      <c r="AK132" s="204">
        <f t="shared" si="472"/>
        <v>0</v>
      </c>
      <c r="AL132" s="103">
        <v>45784.145833333336</v>
      </c>
      <c r="AM132" s="103">
        <v>45784.958333333336</v>
      </c>
      <c r="AN132" s="103"/>
      <c r="AO132" s="103"/>
      <c r="AP132" s="103"/>
      <c r="AQ132" s="105"/>
      <c r="AR132" s="103"/>
      <c r="AS132" s="103"/>
      <c r="AT132" s="101"/>
      <c r="AU132" s="101"/>
      <c r="AV132" s="101"/>
      <c r="AW132" s="101"/>
      <c r="AX132" s="32">
        <f>운전실적_원본!W132</f>
        <v>747</v>
      </c>
      <c r="AY132" s="198">
        <f>운전실적_원본!X132</f>
        <v>0</v>
      </c>
      <c r="AZ132" s="198">
        <f>운전실적_원본!Y132</f>
        <v>0</v>
      </c>
      <c r="BA132" s="198">
        <f>운전실적_원본!Z132</f>
        <v>0</v>
      </c>
      <c r="BB132" s="198">
        <f>운전실적_원본!AA132</f>
        <v>0</v>
      </c>
      <c r="BC132" s="198">
        <f>운전실적_원본!AB132</f>
        <v>747</v>
      </c>
      <c r="BD132" s="32">
        <f t="shared" si="455"/>
        <v>37.35</v>
      </c>
      <c r="BE132" s="11">
        <f t="shared" si="463"/>
        <v>0.72679509632224171</v>
      </c>
      <c r="BF132" s="11">
        <f>운전실적_원본!AE132</f>
        <v>0</v>
      </c>
      <c r="BG132" s="31">
        <f t="shared" si="456"/>
        <v>0</v>
      </c>
    </row>
    <row r="133" spans="1:59">
      <c r="A133" s="6">
        <f t="shared" si="464"/>
        <v>45785</v>
      </c>
      <c r="B133" s="15">
        <f>운전실적_원본!B133</f>
        <v>6456</v>
      </c>
      <c r="C133" s="16">
        <f t="shared" si="633"/>
        <v>33</v>
      </c>
      <c r="D133" s="9">
        <f>운전실적_원본!C133</f>
        <v>236078</v>
      </c>
      <c r="E133" s="199">
        <f t="shared" si="634"/>
        <v>161</v>
      </c>
      <c r="F133" s="9">
        <f>운전실적_원본!D133</f>
        <v>230144</v>
      </c>
      <c r="G133" s="16">
        <f t="shared" si="635"/>
        <v>3</v>
      </c>
      <c r="H133" s="15">
        <f>운전실적_원본!E133</f>
        <v>14330</v>
      </c>
      <c r="I133" s="16">
        <f t="shared" si="636"/>
        <v>6</v>
      </c>
      <c r="J133" s="15">
        <f>운전실적_원본!E133</f>
        <v>14330</v>
      </c>
      <c r="K133" s="16">
        <f t="shared" si="636"/>
        <v>6</v>
      </c>
      <c r="L133" s="15">
        <f>운전실적_원본!G133</f>
        <v>3848</v>
      </c>
      <c r="M133" s="31">
        <f t="shared" ref="M133" si="783">IF(OR(LEN(L133)=0,L133=0),"",L133-L132)</f>
        <v>0</v>
      </c>
      <c r="N133" s="15">
        <f>운전실적_원본!H133</f>
        <v>14175</v>
      </c>
      <c r="O133" s="16">
        <f t="shared" ref="O133" si="784">IF(OR(LEN(N133)=0,N133=0),"",N133-N132)</f>
        <v>66</v>
      </c>
      <c r="P133" s="15">
        <f>운전실적_원본!I133</f>
        <v>270275</v>
      </c>
      <c r="Q133" s="16">
        <f t="shared" ref="Q133" si="785">IF(OR(LEN(P133)=0,P133=0),"",P133-P132)</f>
        <v>251</v>
      </c>
      <c r="R133" s="18">
        <f>운전실적_원본!J133</f>
        <v>31.52</v>
      </c>
      <c r="S133" s="19">
        <f t="shared" ref="S133" si="786">IF(OR(LEN(R133)=0,R133=0),"",R133-R132)</f>
        <v>-0.28999999999999915</v>
      </c>
      <c r="T133" s="18">
        <f>운전실적_원본!K133</f>
        <v>31.39</v>
      </c>
      <c r="U133" s="19">
        <f t="shared" si="641"/>
        <v>0.12999999999999901</v>
      </c>
      <c r="V133" s="12">
        <f>운전실적_원본!L133</f>
        <v>0</v>
      </c>
      <c r="W133" s="16" t="str">
        <f t="shared" ref="W133" si="787">IF(OR(LEN(V133)=0,V133=0),"",V133-V132)</f>
        <v/>
      </c>
      <c r="X133" s="10">
        <f>운전실적_원본!M133</f>
        <v>30.100000001490116</v>
      </c>
      <c r="Y133" s="10">
        <f>운전실적_원본!N133</f>
        <v>0</v>
      </c>
      <c r="Z133" s="10">
        <f>운전실적_원본!O133</f>
        <v>0</v>
      </c>
      <c r="AA133" s="10">
        <f>운전실적_원본!P133</f>
        <v>0</v>
      </c>
      <c r="AB133" s="10">
        <f>운전실적_원본!Q133</f>
        <v>0</v>
      </c>
      <c r="AC133" s="10">
        <f>운전실적_원본!R133</f>
        <v>0</v>
      </c>
      <c r="AD133" s="181">
        <f>운전실적_원본!S133</f>
        <v>0</v>
      </c>
      <c r="AE133" s="181">
        <f>운전실적_원본!T133</f>
        <v>0</v>
      </c>
      <c r="AF133" s="181">
        <f>운전실적_원본!U133</f>
        <v>0</v>
      </c>
      <c r="AG133" s="181">
        <f>운전실적_원본!V133</f>
        <v>0</v>
      </c>
      <c r="AH133" s="106">
        <f t="shared" si="462"/>
        <v>8.3333333255723119E-2</v>
      </c>
      <c r="AI133" s="107">
        <f t="shared" si="470"/>
        <v>0</v>
      </c>
      <c r="AJ133" s="107">
        <f t="shared" si="471"/>
        <v>0</v>
      </c>
      <c r="AK133" s="204">
        <f t="shared" si="472"/>
        <v>0</v>
      </c>
      <c r="AL133" s="103">
        <v>45785.451388888891</v>
      </c>
      <c r="AM133" s="103">
        <v>45785.454861111109</v>
      </c>
      <c r="AN133" s="103"/>
      <c r="AO133" s="103"/>
      <c r="AP133" s="103"/>
      <c r="AQ133" s="105"/>
      <c r="AR133" s="103"/>
      <c r="AS133" s="103"/>
      <c r="AT133" s="101"/>
      <c r="AU133" s="101"/>
      <c r="AV133" s="101"/>
      <c r="AW133" s="101"/>
      <c r="AX133" s="32">
        <f>운전실적_원본!W133</f>
        <v>0</v>
      </c>
      <c r="AY133" s="198">
        <f>운전실적_원본!X133</f>
        <v>0</v>
      </c>
      <c r="AZ133" s="198">
        <f>운전실적_원본!Y133</f>
        <v>0</v>
      </c>
      <c r="BA133" s="198">
        <f>운전실적_원본!Z133</f>
        <v>0</v>
      </c>
      <c r="BB133" s="198">
        <f>운전실적_원본!AA133</f>
        <v>0</v>
      </c>
      <c r="BC133" s="198">
        <f>운전실적_원본!AB133</f>
        <v>0</v>
      </c>
      <c r="BD133" s="32" t="str">
        <f t="shared" ref="BD133:BD196" si="788">IFERROR(AX133/AD133,"-")</f>
        <v>-</v>
      </c>
      <c r="BE133" s="11" t="str">
        <f t="shared" si="463"/>
        <v>-</v>
      </c>
      <c r="BF133" s="11">
        <f>운전실적_원본!AE133</f>
        <v>0</v>
      </c>
      <c r="BG133" s="31">
        <f t="shared" ref="BG133:BG196" si="789">IFERROR(BF133/$BG$4,"-")</f>
        <v>0</v>
      </c>
    </row>
    <row r="134" spans="1:59">
      <c r="A134" s="6">
        <f t="shared" si="464"/>
        <v>45786</v>
      </c>
      <c r="B134" s="15">
        <f>운전실적_원본!B134</f>
        <v>6491</v>
      </c>
      <c r="C134" s="16">
        <f t="shared" si="633"/>
        <v>35</v>
      </c>
      <c r="D134" s="9">
        <f>운전실적_원본!C134</f>
        <v>236109</v>
      </c>
      <c r="E134" s="199">
        <f t="shared" si="634"/>
        <v>31</v>
      </c>
      <c r="F134" s="9">
        <f>운전실적_원본!D134</f>
        <v>230294</v>
      </c>
      <c r="G134" s="16">
        <f t="shared" si="635"/>
        <v>150</v>
      </c>
      <c r="H134" s="15">
        <f>운전실적_원본!E134</f>
        <v>14334</v>
      </c>
      <c r="I134" s="16">
        <f t="shared" si="636"/>
        <v>4</v>
      </c>
      <c r="J134" s="15">
        <f>운전실적_원본!E134</f>
        <v>14334</v>
      </c>
      <c r="K134" s="16">
        <f t="shared" si="636"/>
        <v>4</v>
      </c>
      <c r="L134" s="15">
        <f>운전실적_원본!G134</f>
        <v>3849</v>
      </c>
      <c r="M134" s="31">
        <f t="shared" ref="M134" si="790">IF(OR(LEN(L134)=0,L134=0),"",L134-L133)</f>
        <v>1</v>
      </c>
      <c r="N134" s="15">
        <f>운전실적_원본!H134</f>
        <v>14252</v>
      </c>
      <c r="O134" s="16">
        <f t="shared" ref="O134" si="791">IF(OR(LEN(N134)=0,N134=0),"",N134-N133)</f>
        <v>77</v>
      </c>
      <c r="P134" s="15">
        <f>운전실적_원본!I134</f>
        <v>270522</v>
      </c>
      <c r="Q134" s="16">
        <f t="shared" ref="Q134" si="792">IF(OR(LEN(P134)=0,P134=0),"",P134-P133)</f>
        <v>247</v>
      </c>
      <c r="R134" s="18">
        <f>운전실적_원본!J134</f>
        <v>31.57</v>
      </c>
      <c r="S134" s="19">
        <f t="shared" ref="S134" si="793">IF(OR(LEN(R134)=0,R134=0),"",R134-R133)</f>
        <v>5.0000000000000711E-2</v>
      </c>
      <c r="T134" s="18">
        <f>운전실적_원본!K134</f>
        <v>31.49</v>
      </c>
      <c r="U134" s="19">
        <f t="shared" si="641"/>
        <v>9.9999999999997868E-2</v>
      </c>
      <c r="V134" s="12">
        <f>운전실적_원본!L134</f>
        <v>0</v>
      </c>
      <c r="W134" s="16" t="str">
        <f t="shared" ref="W134" si="794">IF(OR(LEN(V134)=0,V134=0),"",V134-V133)</f>
        <v/>
      </c>
      <c r="X134" s="10">
        <f>운전실적_원본!M134</f>
        <v>76244.100000000006</v>
      </c>
      <c r="Y134" s="10">
        <f>운전실적_원본!N134</f>
        <v>0</v>
      </c>
      <c r="Z134" s="10">
        <f>운전실적_원본!O134</f>
        <v>0</v>
      </c>
      <c r="AA134" s="10">
        <f>운전실적_원본!P134</f>
        <v>0</v>
      </c>
      <c r="AB134" s="10">
        <f>운전실적_원본!Q134</f>
        <v>0</v>
      </c>
      <c r="AC134" s="10">
        <f>운전실적_원본!R134</f>
        <v>0</v>
      </c>
      <c r="AD134" s="181">
        <f>운전실적_원본!S134</f>
        <v>12</v>
      </c>
      <c r="AE134" s="181">
        <f>운전실적_원본!T134</f>
        <v>0</v>
      </c>
      <c r="AF134" s="181">
        <f>운전실적_원본!U134</f>
        <v>0</v>
      </c>
      <c r="AG134" s="181">
        <f>운전실적_원본!V134</f>
        <v>0</v>
      </c>
      <c r="AH134" s="106">
        <f t="shared" ref="AH134:AH197" si="795">((AM134-AL134)+(AO134-AN134)+(AQ134-AP134))*24</f>
        <v>12</v>
      </c>
      <c r="AI134" s="107">
        <f t="shared" si="470"/>
        <v>0</v>
      </c>
      <c r="AJ134" s="107">
        <f t="shared" si="471"/>
        <v>0</v>
      </c>
      <c r="AK134" s="204">
        <f t="shared" si="472"/>
        <v>0</v>
      </c>
      <c r="AL134" s="103">
        <v>45786.5</v>
      </c>
      <c r="AM134" s="103">
        <f>AL135</f>
        <v>45787</v>
      </c>
      <c r="AN134" s="103"/>
      <c r="AO134" s="103"/>
      <c r="AP134" s="103"/>
      <c r="AQ134" s="105"/>
      <c r="AR134" s="103"/>
      <c r="AS134" s="103"/>
      <c r="AT134" s="101"/>
      <c r="AU134" s="101"/>
      <c r="AV134" s="101"/>
      <c r="AW134" s="101"/>
      <c r="AX134" s="32">
        <f>운전실적_원본!W134</f>
        <v>477</v>
      </c>
      <c r="AY134" s="198">
        <f>운전실적_원본!X134</f>
        <v>0</v>
      </c>
      <c r="AZ134" s="198">
        <f>운전실적_원본!Y134</f>
        <v>0</v>
      </c>
      <c r="BA134" s="198">
        <f>운전실적_원본!Z134</f>
        <v>0</v>
      </c>
      <c r="BB134" s="198">
        <f>운전실적_원본!AA134</f>
        <v>0</v>
      </c>
      <c r="BC134" s="198">
        <f>운전실적_원본!AB134</f>
        <v>477</v>
      </c>
      <c r="BD134" s="32">
        <f t="shared" si="788"/>
        <v>39.75</v>
      </c>
      <c r="BE134" s="11">
        <f t="shared" ref="BE134:BE197" si="796">IFERROR(BD134/$BE$4,"-")</f>
        <v>0.77349678925861065</v>
      </c>
      <c r="BF134" s="11">
        <f>운전실적_원본!AE134</f>
        <v>0</v>
      </c>
      <c r="BG134" s="31">
        <f t="shared" si="789"/>
        <v>0</v>
      </c>
    </row>
    <row r="135" spans="1:59">
      <c r="A135" s="6">
        <f t="shared" ref="A135:A198" si="797">A134+1</f>
        <v>45787</v>
      </c>
      <c r="B135" s="15">
        <f>운전실적_원본!B135</f>
        <v>6509</v>
      </c>
      <c r="C135" s="16">
        <f t="shared" si="633"/>
        <v>18</v>
      </c>
      <c r="D135" s="9">
        <f>운전실적_원본!C135</f>
        <v>236202</v>
      </c>
      <c r="E135" s="199">
        <f t="shared" si="634"/>
        <v>93</v>
      </c>
      <c r="F135" s="9">
        <f>운전실적_원본!D135</f>
        <v>230313</v>
      </c>
      <c r="G135" s="16">
        <f t="shared" si="635"/>
        <v>19</v>
      </c>
      <c r="H135" s="15">
        <f>운전실적_원본!E135</f>
        <v>14336</v>
      </c>
      <c r="I135" s="16">
        <f t="shared" si="636"/>
        <v>2</v>
      </c>
      <c r="J135" s="15">
        <f>운전실적_원본!E135</f>
        <v>14336</v>
      </c>
      <c r="K135" s="16">
        <f t="shared" si="636"/>
        <v>2</v>
      </c>
      <c r="L135" s="15">
        <f>운전실적_원본!G135</f>
        <v>3849</v>
      </c>
      <c r="M135" s="31">
        <f t="shared" ref="M135" si="798">IF(OR(LEN(L135)=0,L135=0),"",L135-L134)</f>
        <v>0</v>
      </c>
      <c r="N135" s="15">
        <f>운전실적_원본!H135</f>
        <v>14346</v>
      </c>
      <c r="O135" s="16">
        <f t="shared" ref="O135" si="799">IF(OR(LEN(N135)=0,N135=0),"",N135-N134)</f>
        <v>94</v>
      </c>
      <c r="P135" s="15">
        <f>운전실적_원본!I135</f>
        <v>270717</v>
      </c>
      <c r="Q135" s="16">
        <f t="shared" ref="Q135" si="800">IF(OR(LEN(P135)=0,P135=0),"",P135-P134)</f>
        <v>195</v>
      </c>
      <c r="R135" s="18">
        <f>운전실적_원본!J135</f>
        <v>32</v>
      </c>
      <c r="S135" s="19">
        <f t="shared" ref="S135" si="801">IF(OR(LEN(R135)=0,R135=0),"",R135-R134)</f>
        <v>0.42999999999999972</v>
      </c>
      <c r="T135" s="18">
        <f>운전실적_원본!K135</f>
        <v>31.48</v>
      </c>
      <c r="U135" s="19">
        <f t="shared" si="641"/>
        <v>-9.9999999999980105E-3</v>
      </c>
      <c r="V135" s="12">
        <f>운전실적_원본!L135</f>
        <v>0</v>
      </c>
      <c r="W135" s="16" t="str">
        <f t="shared" ref="W135" si="802">IF(OR(LEN(V135)=0,V135=0),"",V135-V134)</f>
        <v/>
      </c>
      <c r="X135" s="10">
        <f>운전실적_원본!M135</f>
        <v>163115.79999999999</v>
      </c>
      <c r="Y135" s="10">
        <f>운전실적_원본!N135</f>
        <v>0</v>
      </c>
      <c r="Z135" s="10">
        <f>운전실적_원본!O135</f>
        <v>0</v>
      </c>
      <c r="AA135" s="10">
        <f>운전실적_원본!P135</f>
        <v>0</v>
      </c>
      <c r="AB135" s="10">
        <f>운전실적_원본!Q135</f>
        <v>0</v>
      </c>
      <c r="AC135" s="10">
        <f>운전실적_원본!R135</f>
        <v>0</v>
      </c>
      <c r="AD135" s="181">
        <f>운전실적_원본!S135</f>
        <v>23</v>
      </c>
      <c r="AE135" s="181">
        <f>운전실적_원본!T135</f>
        <v>0</v>
      </c>
      <c r="AF135" s="181">
        <f>운전실적_원본!U135</f>
        <v>0</v>
      </c>
      <c r="AG135" s="181">
        <f>운전실적_원본!V135</f>
        <v>0</v>
      </c>
      <c r="AH135" s="106">
        <f t="shared" si="795"/>
        <v>23.000000000058208</v>
      </c>
      <c r="AI135" s="107">
        <f t="shared" ref="AI135:AI198" si="803">(AS135-AR135)*24</f>
        <v>0</v>
      </c>
      <c r="AJ135" s="107">
        <f t="shared" ref="AJ135:AJ198" si="804">(AU135-AT135)*24</f>
        <v>0</v>
      </c>
      <c r="AK135" s="204">
        <f t="shared" ref="AK135:AK198" si="805">(AW135-AV135)*24</f>
        <v>0</v>
      </c>
      <c r="AL135" s="103">
        <v>45787</v>
      </c>
      <c r="AM135" s="103">
        <v>45787.958333333336</v>
      </c>
      <c r="AN135" s="103"/>
      <c r="AO135" s="103"/>
      <c r="AP135" s="103"/>
      <c r="AQ135" s="105"/>
      <c r="AR135" s="103"/>
      <c r="AS135" s="103"/>
      <c r="AT135" s="101"/>
      <c r="AU135" s="101"/>
      <c r="AV135" s="101"/>
      <c r="AW135" s="101"/>
      <c r="AX135" s="32">
        <f>운전실적_원본!W135</f>
        <v>1039</v>
      </c>
      <c r="AY135" s="198">
        <f>운전실적_원본!X135</f>
        <v>0</v>
      </c>
      <c r="AZ135" s="198">
        <f>운전실적_원본!Y135</f>
        <v>0</v>
      </c>
      <c r="BA135" s="198">
        <f>운전실적_원본!Z135</f>
        <v>0</v>
      </c>
      <c r="BB135" s="198">
        <f>운전실적_원본!AA135</f>
        <v>0</v>
      </c>
      <c r="BC135" s="198">
        <f>운전실적_원본!AB135</f>
        <v>1039</v>
      </c>
      <c r="BD135" s="32">
        <f t="shared" si="788"/>
        <v>45.173913043478258</v>
      </c>
      <c r="BE135" s="11">
        <f t="shared" si="796"/>
        <v>0.87904092320448057</v>
      </c>
      <c r="BF135" s="11">
        <f>운전실적_원본!AE135</f>
        <v>0</v>
      </c>
      <c r="BG135" s="31">
        <f t="shared" si="789"/>
        <v>0</v>
      </c>
    </row>
    <row r="136" spans="1:59">
      <c r="A136" s="6">
        <f t="shared" si="797"/>
        <v>45788</v>
      </c>
      <c r="B136" s="15">
        <f>운전실적_원본!B136</f>
        <v>6509</v>
      </c>
      <c r="C136" s="16">
        <f t="shared" si="633"/>
        <v>0</v>
      </c>
      <c r="D136" s="9">
        <f>운전실적_원본!C136</f>
        <v>236278</v>
      </c>
      <c r="E136" s="199">
        <f t="shared" si="634"/>
        <v>76</v>
      </c>
      <c r="F136" s="9">
        <f>운전실적_원본!D136</f>
        <v>230313</v>
      </c>
      <c r="G136" s="16">
        <f t="shared" si="635"/>
        <v>0</v>
      </c>
      <c r="H136" s="15">
        <f>운전실적_원본!E136</f>
        <v>14338</v>
      </c>
      <c r="I136" s="16">
        <f t="shared" si="636"/>
        <v>2</v>
      </c>
      <c r="J136" s="15">
        <f>운전실적_원본!E136</f>
        <v>14338</v>
      </c>
      <c r="K136" s="16">
        <f t="shared" si="636"/>
        <v>2</v>
      </c>
      <c r="L136" s="15">
        <f>운전실적_원본!G136</f>
        <v>3850</v>
      </c>
      <c r="M136" s="31">
        <f t="shared" ref="M136" si="806">IF(OR(LEN(L136)=0,L136=0),"",L136-L135)</f>
        <v>1</v>
      </c>
      <c r="N136" s="15">
        <f>운전실적_원본!H136</f>
        <v>14447</v>
      </c>
      <c r="O136" s="16">
        <f t="shared" ref="O136" si="807">IF(OR(LEN(N136)=0,N136=0),"",N136-N135)</f>
        <v>101</v>
      </c>
      <c r="P136" s="15">
        <f>운전실적_원본!I136</f>
        <v>270822</v>
      </c>
      <c r="Q136" s="16">
        <f t="shared" ref="Q136" si="808">IF(OR(LEN(P136)=0,P136=0),"",P136-P135)</f>
        <v>105</v>
      </c>
      <c r="R136" s="18">
        <f>운전실적_원본!J136</f>
        <v>31.71</v>
      </c>
      <c r="S136" s="19">
        <f t="shared" ref="S136" si="809">IF(OR(LEN(R136)=0,R136=0),"",R136-R135)</f>
        <v>-0.28999999999999915</v>
      </c>
      <c r="T136" s="18">
        <f>운전실적_원본!K136</f>
        <v>31.43</v>
      </c>
      <c r="U136" s="19">
        <f t="shared" si="641"/>
        <v>-5.0000000000000711E-2</v>
      </c>
      <c r="V136" s="12">
        <f>운전실적_원본!L136</f>
        <v>0</v>
      </c>
      <c r="W136" s="16" t="str">
        <f t="shared" ref="W136" si="810">IF(OR(LEN(V136)=0,V136=0),"",V136-V135)</f>
        <v/>
      </c>
      <c r="X136" s="10">
        <f>운전실적_원본!M136</f>
        <v>28127.7</v>
      </c>
      <c r="Y136" s="10">
        <f>운전실적_원본!N136</f>
        <v>0</v>
      </c>
      <c r="Z136" s="10">
        <f>운전실적_원본!O136</f>
        <v>0</v>
      </c>
      <c r="AA136" s="10">
        <f>운전실적_원본!P136</f>
        <v>0</v>
      </c>
      <c r="AB136" s="10">
        <f>운전실적_원본!Q136</f>
        <v>0</v>
      </c>
      <c r="AC136" s="10">
        <f>운전실적_원본!R136</f>
        <v>0</v>
      </c>
      <c r="AD136" s="181">
        <f>운전실적_원본!S136</f>
        <v>6</v>
      </c>
      <c r="AE136" s="181">
        <f>운전실적_원본!T136</f>
        <v>0</v>
      </c>
      <c r="AF136" s="181">
        <f>운전실적_원본!U136</f>
        <v>0</v>
      </c>
      <c r="AG136" s="181">
        <f>운전실적_원본!V136</f>
        <v>0</v>
      </c>
      <c r="AH136" s="106">
        <f t="shared" si="795"/>
        <v>5.8333333333139308</v>
      </c>
      <c r="AI136" s="107">
        <f t="shared" si="803"/>
        <v>0</v>
      </c>
      <c r="AJ136" s="107">
        <f t="shared" si="804"/>
        <v>0</v>
      </c>
      <c r="AK136" s="204">
        <f t="shared" si="805"/>
        <v>0</v>
      </c>
      <c r="AL136" s="103">
        <v>45788.611111111109</v>
      </c>
      <c r="AM136" s="103">
        <v>45788.854166666664</v>
      </c>
      <c r="AN136" s="103"/>
      <c r="AO136" s="103"/>
      <c r="AP136" s="103"/>
      <c r="AQ136" s="105"/>
      <c r="AR136" s="103"/>
      <c r="AS136" s="103"/>
      <c r="AT136" s="101"/>
      <c r="AU136" s="101"/>
      <c r="AV136" s="101"/>
      <c r="AW136" s="101"/>
      <c r="AX136" s="32">
        <f>운전실적_원본!W136</f>
        <v>176</v>
      </c>
      <c r="AY136" s="198">
        <f>운전실적_원본!X136</f>
        <v>0</v>
      </c>
      <c r="AZ136" s="198">
        <f>운전실적_원본!Y136</f>
        <v>0</v>
      </c>
      <c r="BA136" s="198">
        <f>운전실적_원본!Z136</f>
        <v>0</v>
      </c>
      <c r="BB136" s="198">
        <f>운전실적_원본!AA136</f>
        <v>0</v>
      </c>
      <c r="BC136" s="198">
        <f>운전실적_원본!AB136</f>
        <v>176</v>
      </c>
      <c r="BD136" s="32">
        <f t="shared" si="788"/>
        <v>29.333333333333332</v>
      </c>
      <c r="BE136" s="11">
        <f t="shared" si="796"/>
        <v>0.57079846922228705</v>
      </c>
      <c r="BF136" s="11">
        <f>운전실적_원본!AE136</f>
        <v>0</v>
      </c>
      <c r="BG136" s="31">
        <f t="shared" si="789"/>
        <v>0</v>
      </c>
    </row>
    <row r="137" spans="1:59">
      <c r="A137" s="6">
        <f t="shared" si="797"/>
        <v>45789</v>
      </c>
      <c r="B137" s="15">
        <f>운전실적_원본!B137</f>
        <v>6515</v>
      </c>
      <c r="C137" s="16">
        <f t="shared" si="633"/>
        <v>6</v>
      </c>
      <c r="D137" s="9">
        <f>운전실적_원본!C137</f>
        <v>236373</v>
      </c>
      <c r="E137" s="199">
        <f t="shared" si="634"/>
        <v>95</v>
      </c>
      <c r="F137" s="9">
        <f>운전실적_원본!D137</f>
        <v>230313</v>
      </c>
      <c r="G137" s="16">
        <f t="shared" si="635"/>
        <v>0</v>
      </c>
      <c r="H137" s="15">
        <f>운전실적_원본!E137</f>
        <v>14344</v>
      </c>
      <c r="I137" s="16">
        <f t="shared" si="636"/>
        <v>6</v>
      </c>
      <c r="J137" s="15">
        <f>운전실적_원본!E137</f>
        <v>14344</v>
      </c>
      <c r="K137" s="16">
        <f t="shared" si="636"/>
        <v>6</v>
      </c>
      <c r="L137" s="15">
        <f>운전실적_원본!G137</f>
        <v>3850</v>
      </c>
      <c r="M137" s="31">
        <f t="shared" ref="M137" si="811">IF(OR(LEN(L137)=0,L137=0),"",L137-L136)</f>
        <v>0</v>
      </c>
      <c r="N137" s="15">
        <f>운전실적_원본!H137</f>
        <v>14559</v>
      </c>
      <c r="O137" s="16">
        <f t="shared" ref="O137" si="812">IF(OR(LEN(N137)=0,N137=0),"",N137-N136)</f>
        <v>112</v>
      </c>
      <c r="P137" s="15">
        <f>운전실적_원본!I137</f>
        <v>271019</v>
      </c>
      <c r="Q137" s="16">
        <f t="shared" ref="Q137" si="813">IF(OR(LEN(P137)=0,P137=0),"",P137-P136)</f>
        <v>197</v>
      </c>
      <c r="R137" s="18">
        <f>운전실적_원본!J137</f>
        <v>31.71</v>
      </c>
      <c r="S137" s="19">
        <f t="shared" ref="S137" si="814">IF(OR(LEN(R137)=0,R137=0),"",R137-R136)</f>
        <v>0</v>
      </c>
      <c r="T137" s="18">
        <f>운전실적_원본!K137</f>
        <v>31.42</v>
      </c>
      <c r="U137" s="19">
        <f t="shared" si="641"/>
        <v>-9.9999999999980105E-3</v>
      </c>
      <c r="V137" s="12">
        <f>운전실적_원본!L137</f>
        <v>0</v>
      </c>
      <c r="W137" s="16" t="str">
        <f t="shared" ref="W137" si="815">IF(OR(LEN(V137)=0,V137=0),"",V137-V136)</f>
        <v/>
      </c>
      <c r="X137" s="10">
        <f>운전실적_원본!M137</f>
        <v>16896.2</v>
      </c>
      <c r="Y137" s="10">
        <f>운전실적_원본!N137</f>
        <v>0</v>
      </c>
      <c r="Z137" s="10">
        <f>운전실적_원본!O137</f>
        <v>0</v>
      </c>
      <c r="AA137" s="10">
        <f>운전실적_원본!P137</f>
        <v>0</v>
      </c>
      <c r="AB137" s="10">
        <f>운전실적_원본!Q137</f>
        <v>0</v>
      </c>
      <c r="AC137" s="10">
        <f>운전실적_원본!R137</f>
        <v>0</v>
      </c>
      <c r="AD137" s="181">
        <f>운전실적_원본!S137</f>
        <v>6</v>
      </c>
      <c r="AE137" s="181">
        <f>운전실적_원본!T137</f>
        <v>0</v>
      </c>
      <c r="AF137" s="181">
        <f>운전실적_원본!U137</f>
        <v>0</v>
      </c>
      <c r="AG137" s="181">
        <f>운전실적_원본!V137</f>
        <v>0</v>
      </c>
      <c r="AH137" s="106">
        <f t="shared" si="795"/>
        <v>5.6666666668024845</v>
      </c>
      <c r="AI137" s="107">
        <f t="shared" si="803"/>
        <v>0</v>
      </c>
      <c r="AJ137" s="107">
        <f t="shared" si="804"/>
        <v>0</v>
      </c>
      <c r="AK137" s="204">
        <f t="shared" si="805"/>
        <v>0</v>
      </c>
      <c r="AL137" s="103">
        <v>45789.597222222219</v>
      </c>
      <c r="AM137" s="103">
        <v>45789.833333333336</v>
      </c>
      <c r="AN137" s="103"/>
      <c r="AO137" s="103"/>
      <c r="AP137" s="103"/>
      <c r="AQ137" s="105"/>
      <c r="AR137" s="103"/>
      <c r="AS137" s="103"/>
      <c r="AT137" s="101"/>
      <c r="AU137" s="101"/>
      <c r="AV137" s="101"/>
      <c r="AW137" s="101"/>
      <c r="AX137" s="32">
        <f>운전실적_원본!W137</f>
        <v>105</v>
      </c>
      <c r="AY137" s="198">
        <f>운전실적_원본!X137</f>
        <v>0</v>
      </c>
      <c r="AZ137" s="198">
        <f>운전실적_원본!Y137</f>
        <v>0</v>
      </c>
      <c r="BA137" s="198">
        <f>운전실적_원본!Z137</f>
        <v>0</v>
      </c>
      <c r="BB137" s="198">
        <f>운전실적_원본!AA137</f>
        <v>0</v>
      </c>
      <c r="BC137" s="198">
        <f>운전실적_원본!AB137</f>
        <v>105</v>
      </c>
      <c r="BD137" s="32">
        <f t="shared" si="788"/>
        <v>17.5</v>
      </c>
      <c r="BE137" s="11">
        <f t="shared" si="796"/>
        <v>0.34053317766102353</v>
      </c>
      <c r="BF137" s="11">
        <f>운전실적_원본!AE137</f>
        <v>0</v>
      </c>
      <c r="BG137" s="31">
        <f t="shared" si="789"/>
        <v>0</v>
      </c>
    </row>
    <row r="138" spans="1:59">
      <c r="A138" s="6">
        <f t="shared" si="797"/>
        <v>45790</v>
      </c>
      <c r="B138" s="15">
        <f>운전실적_원본!B138</f>
        <v>6548</v>
      </c>
      <c r="C138" s="16">
        <f t="shared" si="633"/>
        <v>33</v>
      </c>
      <c r="D138" s="9">
        <f>운전실적_원본!C138</f>
        <v>236459</v>
      </c>
      <c r="E138" s="199">
        <f t="shared" si="634"/>
        <v>86</v>
      </c>
      <c r="F138" s="9">
        <f>운전실적_원본!D138</f>
        <v>230452</v>
      </c>
      <c r="G138" s="16">
        <f t="shared" si="635"/>
        <v>139</v>
      </c>
      <c r="H138" s="15">
        <f>운전실적_원본!E138</f>
        <v>14351</v>
      </c>
      <c r="I138" s="16">
        <f t="shared" si="636"/>
        <v>7</v>
      </c>
      <c r="J138" s="15">
        <f>운전실적_원본!E138</f>
        <v>14351</v>
      </c>
      <c r="K138" s="16">
        <f t="shared" si="636"/>
        <v>7</v>
      </c>
      <c r="L138" s="15">
        <f>운전실적_원본!G138</f>
        <v>3851</v>
      </c>
      <c r="M138" s="31">
        <f t="shared" ref="M138" si="816">IF(OR(LEN(L138)=0,L138=0),"",L138-L137)</f>
        <v>1</v>
      </c>
      <c r="N138" s="15">
        <f>운전실적_원본!H138</f>
        <v>14677</v>
      </c>
      <c r="O138" s="16">
        <f t="shared" ref="O138" si="817">IF(OR(LEN(N138)=0,N138=0),"",N138-N137)</f>
        <v>118</v>
      </c>
      <c r="P138" s="15">
        <f>운전실적_원본!I138</f>
        <v>271325</v>
      </c>
      <c r="Q138" s="16">
        <f t="shared" ref="Q138" si="818">IF(OR(LEN(P138)=0,P138=0),"",P138-P137)</f>
        <v>306</v>
      </c>
      <c r="R138" s="18">
        <f>운전실적_원본!J138</f>
        <v>31.82</v>
      </c>
      <c r="S138" s="19">
        <f t="shared" ref="S138" si="819">IF(OR(LEN(R138)=0,R138=0),"",R138-R137)</f>
        <v>0.10999999999999943</v>
      </c>
      <c r="T138" s="18">
        <f>운전실적_원본!K138</f>
        <v>31.47</v>
      </c>
      <c r="U138" s="19">
        <f t="shared" si="641"/>
        <v>4.9999999999997158E-2</v>
      </c>
      <c r="V138" s="12">
        <f>운전실적_원본!L138</f>
        <v>0</v>
      </c>
      <c r="W138" s="16" t="str">
        <f t="shared" ref="W138" si="820">IF(OR(LEN(V138)=0,V138=0),"",V138-V137)</f>
        <v/>
      </c>
      <c r="X138" s="10">
        <f>운전실적_원본!M138</f>
        <v>17395</v>
      </c>
      <c r="Y138" s="10">
        <f>운전실적_원본!N138</f>
        <v>0</v>
      </c>
      <c r="Z138" s="10">
        <f>운전실적_원본!O138</f>
        <v>0</v>
      </c>
      <c r="AA138" s="10">
        <f>운전실적_원본!P138</f>
        <v>0</v>
      </c>
      <c r="AB138" s="10">
        <f>운전실적_원본!Q138</f>
        <v>0</v>
      </c>
      <c r="AC138" s="10">
        <f>운전실적_원본!R138</f>
        <v>0</v>
      </c>
      <c r="AD138" s="181">
        <f>운전실적_원본!S138</f>
        <v>6</v>
      </c>
      <c r="AE138" s="181">
        <f>운전실적_원본!T138</f>
        <v>0</v>
      </c>
      <c r="AF138" s="181">
        <f>운전실적_원본!U138</f>
        <v>0</v>
      </c>
      <c r="AG138" s="181">
        <f>운전실적_원본!V138</f>
        <v>0</v>
      </c>
      <c r="AH138" s="106">
        <f t="shared" si="795"/>
        <v>6.0833333332557231</v>
      </c>
      <c r="AI138" s="107">
        <f t="shared" si="803"/>
        <v>0</v>
      </c>
      <c r="AJ138" s="107">
        <f t="shared" si="804"/>
        <v>0</v>
      </c>
      <c r="AK138" s="204">
        <f t="shared" si="805"/>
        <v>0</v>
      </c>
      <c r="AL138" s="103">
        <v>45790.600694444445</v>
      </c>
      <c r="AM138" s="103">
        <v>45790.854166666664</v>
      </c>
      <c r="AN138" s="103"/>
      <c r="AO138" s="103"/>
      <c r="AP138" s="103"/>
      <c r="AQ138" s="105"/>
      <c r="AR138" s="103"/>
      <c r="AS138" s="103"/>
      <c r="AT138" s="101"/>
      <c r="AU138" s="101"/>
      <c r="AV138" s="101"/>
      <c r="AW138" s="101"/>
      <c r="AX138" s="32">
        <f>운전실적_원본!W138</f>
        <v>110</v>
      </c>
      <c r="AY138" s="198">
        <f>운전실적_원본!X138</f>
        <v>0</v>
      </c>
      <c r="AZ138" s="198">
        <f>운전실적_원본!Y138</f>
        <v>0</v>
      </c>
      <c r="BA138" s="198">
        <f>운전실적_원본!Z138</f>
        <v>0</v>
      </c>
      <c r="BB138" s="198">
        <f>운전실적_원본!AA138</f>
        <v>0</v>
      </c>
      <c r="BC138" s="198">
        <f>운전실적_원본!AB138</f>
        <v>110</v>
      </c>
      <c r="BD138" s="32">
        <f t="shared" si="788"/>
        <v>18.333333333333332</v>
      </c>
      <c r="BE138" s="11">
        <f t="shared" si="796"/>
        <v>0.35674904326392942</v>
      </c>
      <c r="BF138" s="11">
        <f>운전실적_원본!AE138</f>
        <v>0</v>
      </c>
      <c r="BG138" s="31">
        <f t="shared" si="789"/>
        <v>0</v>
      </c>
    </row>
    <row r="139" spans="1:59">
      <c r="A139" s="6">
        <f t="shared" si="797"/>
        <v>45791</v>
      </c>
      <c r="B139" s="15">
        <f>운전실적_원본!B139</f>
        <v>6581</v>
      </c>
      <c r="C139" s="16">
        <f t="shared" si="633"/>
        <v>33</v>
      </c>
      <c r="D139" s="9">
        <f>운전실적_원본!C139</f>
        <v>236620</v>
      </c>
      <c r="E139" s="199">
        <f t="shared" si="634"/>
        <v>161</v>
      </c>
      <c r="F139" s="9">
        <f>운전실적_원본!D139</f>
        <v>230487</v>
      </c>
      <c r="G139" s="16">
        <f t="shared" si="635"/>
        <v>35</v>
      </c>
      <c r="H139" s="15">
        <f>운전실적_원본!E139</f>
        <v>14358</v>
      </c>
      <c r="I139" s="16">
        <f t="shared" si="636"/>
        <v>7</v>
      </c>
      <c r="J139" s="15">
        <f>운전실적_원본!E139</f>
        <v>14358</v>
      </c>
      <c r="K139" s="16">
        <f t="shared" si="636"/>
        <v>7</v>
      </c>
      <c r="L139" s="15">
        <f>운전실적_원본!G139</f>
        <v>3852</v>
      </c>
      <c r="M139" s="31">
        <f t="shared" ref="M139" si="821">IF(OR(LEN(L139)=0,L139=0),"",L139-L138)</f>
        <v>1</v>
      </c>
      <c r="N139" s="15">
        <f>운전실적_원본!H139</f>
        <v>14800</v>
      </c>
      <c r="O139" s="16">
        <f t="shared" ref="O139" si="822">IF(OR(LEN(N139)=0,N139=0),"",N139-N138)</f>
        <v>123</v>
      </c>
      <c r="P139" s="15">
        <f>운전실적_원본!I139</f>
        <v>271604</v>
      </c>
      <c r="Q139" s="16">
        <f t="shared" ref="Q139" si="823">IF(OR(LEN(P139)=0,P139=0),"",P139-P138)</f>
        <v>279</v>
      </c>
      <c r="R139" s="18">
        <f>운전실적_원본!J139</f>
        <v>31.92</v>
      </c>
      <c r="S139" s="19">
        <f t="shared" ref="S139" si="824">IF(OR(LEN(R139)=0,R139=0),"",R139-R138)</f>
        <v>0.10000000000000142</v>
      </c>
      <c r="T139" s="18">
        <f>운전실적_원본!K139</f>
        <v>31.59</v>
      </c>
      <c r="U139" s="19">
        <f t="shared" si="641"/>
        <v>0.12000000000000099</v>
      </c>
      <c r="V139" s="12">
        <f>운전실적_원본!L139</f>
        <v>0</v>
      </c>
      <c r="W139" s="16" t="str">
        <f t="shared" ref="W139" si="825">IF(OR(LEN(V139)=0,V139=0),"",V139-V138)</f>
        <v/>
      </c>
      <c r="X139" s="10">
        <f>운전실적_원본!M139</f>
        <v>19381.900000000001</v>
      </c>
      <c r="Y139" s="10">
        <f>운전실적_원본!N139</f>
        <v>0</v>
      </c>
      <c r="Z139" s="10">
        <f>운전실적_원본!O139</f>
        <v>0</v>
      </c>
      <c r="AA139" s="10">
        <f>운전실적_원본!P139</f>
        <v>0</v>
      </c>
      <c r="AB139" s="10">
        <f>운전실적_원본!Q139</f>
        <v>0</v>
      </c>
      <c r="AC139" s="10">
        <f>운전실적_원본!R139</f>
        <v>0</v>
      </c>
      <c r="AD139" s="181">
        <f>운전실적_원본!S139</f>
        <v>7</v>
      </c>
      <c r="AE139" s="181">
        <f>운전실적_원본!T139</f>
        <v>0</v>
      </c>
      <c r="AF139" s="181">
        <f>운전실적_원본!U139</f>
        <v>0</v>
      </c>
      <c r="AG139" s="181">
        <f>운전실적_원본!V139</f>
        <v>0</v>
      </c>
      <c r="AH139" s="106">
        <f t="shared" si="795"/>
        <v>7.0000000001164153</v>
      </c>
      <c r="AI139" s="107">
        <f t="shared" si="803"/>
        <v>0</v>
      </c>
      <c r="AJ139" s="107">
        <f t="shared" si="804"/>
        <v>0</v>
      </c>
      <c r="AK139" s="204">
        <f t="shared" si="805"/>
        <v>0</v>
      </c>
      <c r="AL139" s="103">
        <v>45791.604166666664</v>
      </c>
      <c r="AM139" s="103">
        <v>45791.895833333336</v>
      </c>
      <c r="AN139" s="103"/>
      <c r="AO139" s="103"/>
      <c r="AP139" s="103"/>
      <c r="AQ139" s="105"/>
      <c r="AR139" s="103"/>
      <c r="AS139" s="103"/>
      <c r="AT139" s="101"/>
      <c r="AU139" s="101"/>
      <c r="AV139" s="101"/>
      <c r="AW139" s="101"/>
      <c r="AX139" s="32">
        <f>운전실적_원본!W139</f>
        <v>123</v>
      </c>
      <c r="AY139" s="198">
        <f>운전실적_원본!X139</f>
        <v>0</v>
      </c>
      <c r="AZ139" s="198">
        <f>운전실적_원본!Y139</f>
        <v>0</v>
      </c>
      <c r="BA139" s="198">
        <f>운전실적_원본!Z139</f>
        <v>0</v>
      </c>
      <c r="BB139" s="198">
        <f>운전실적_원본!AA139</f>
        <v>0</v>
      </c>
      <c r="BC139" s="198">
        <f>운전실적_원본!AB139</f>
        <v>123</v>
      </c>
      <c r="BD139" s="32">
        <f t="shared" si="788"/>
        <v>17.571428571428573</v>
      </c>
      <c r="BE139" s="11">
        <f t="shared" si="796"/>
        <v>0.34192310899841549</v>
      </c>
      <c r="BF139" s="11">
        <f>운전실적_원본!AE139</f>
        <v>0</v>
      </c>
      <c r="BG139" s="31">
        <f t="shared" si="789"/>
        <v>0</v>
      </c>
    </row>
    <row r="140" spans="1:59">
      <c r="A140" s="6">
        <f t="shared" si="797"/>
        <v>45792</v>
      </c>
      <c r="B140" s="15">
        <f>운전실적_원본!B140</f>
        <v>6583</v>
      </c>
      <c r="C140" s="16">
        <f t="shared" si="633"/>
        <v>2</v>
      </c>
      <c r="D140" s="9">
        <f>운전실적_원본!C140</f>
        <v>236632</v>
      </c>
      <c r="E140" s="199">
        <f t="shared" si="634"/>
        <v>12</v>
      </c>
      <c r="F140" s="9">
        <f>운전실적_원본!D140</f>
        <v>230591</v>
      </c>
      <c r="G140" s="16">
        <f t="shared" si="635"/>
        <v>104</v>
      </c>
      <c r="H140" s="15">
        <f>운전실적_원본!E140</f>
        <v>14382</v>
      </c>
      <c r="I140" s="16">
        <f t="shared" si="636"/>
        <v>24</v>
      </c>
      <c r="J140" s="15">
        <f>운전실적_원본!E140</f>
        <v>14382</v>
      </c>
      <c r="K140" s="16">
        <f t="shared" si="636"/>
        <v>24</v>
      </c>
      <c r="L140" s="15">
        <f>운전실적_원본!G140</f>
        <v>3853</v>
      </c>
      <c r="M140" s="31">
        <f t="shared" ref="M140" si="826">IF(OR(LEN(L140)=0,L140=0),"",L140-L139)</f>
        <v>1</v>
      </c>
      <c r="N140" s="15">
        <f>운전실적_원본!H140</f>
        <v>14922</v>
      </c>
      <c r="O140" s="16">
        <f t="shared" ref="O140" si="827">IF(OR(LEN(N140)=0,N140=0),"",N140-N139)</f>
        <v>122</v>
      </c>
      <c r="P140" s="15">
        <f>운전실적_원본!I140</f>
        <v>271829</v>
      </c>
      <c r="Q140" s="16">
        <f t="shared" ref="Q140" si="828">IF(OR(LEN(P140)=0,P140=0),"",P140-P139)</f>
        <v>225</v>
      </c>
      <c r="R140" s="18">
        <f>운전실적_원본!J140</f>
        <v>32.159999999999997</v>
      </c>
      <c r="S140" s="19">
        <f t="shared" ref="S140" si="829">IF(OR(LEN(R140)=0,R140=0),"",R140-R139)</f>
        <v>0.23999999999999488</v>
      </c>
      <c r="T140" s="18">
        <f>운전실적_원본!K140</f>
        <v>31.58</v>
      </c>
      <c r="U140" s="19">
        <f t="shared" si="641"/>
        <v>-1.0000000000001563E-2</v>
      </c>
      <c r="V140" s="12">
        <f>운전실적_원본!L140</f>
        <v>0</v>
      </c>
      <c r="W140" s="16" t="str">
        <f t="shared" ref="W140" si="830">IF(OR(LEN(V140)=0,V140=0),"",V140-V139)</f>
        <v/>
      </c>
      <c r="X140" s="10">
        <f>운전실적_원본!M140</f>
        <v>0</v>
      </c>
      <c r="Y140" s="10">
        <f>운전실적_원본!N140</f>
        <v>0</v>
      </c>
      <c r="Z140" s="10">
        <f>운전실적_원본!O140</f>
        <v>0</v>
      </c>
      <c r="AA140" s="10">
        <f>운전실적_원본!P140</f>
        <v>0</v>
      </c>
      <c r="AB140" s="10">
        <f>운전실적_원본!Q140</f>
        <v>0</v>
      </c>
      <c r="AC140" s="10">
        <f>운전실적_원본!R140</f>
        <v>0</v>
      </c>
      <c r="AD140" s="181">
        <f>운전실적_원본!S140</f>
        <v>0</v>
      </c>
      <c r="AE140" s="181">
        <f>운전실적_원본!T140</f>
        <v>0</v>
      </c>
      <c r="AF140" s="181">
        <f>운전실적_원본!U140</f>
        <v>0</v>
      </c>
      <c r="AG140" s="181">
        <f>운전실적_원본!V140</f>
        <v>0</v>
      </c>
      <c r="AH140" s="106">
        <f t="shared" si="795"/>
        <v>0</v>
      </c>
      <c r="AI140" s="107">
        <f t="shared" si="803"/>
        <v>0</v>
      </c>
      <c r="AJ140" s="107">
        <f t="shared" si="804"/>
        <v>0</v>
      </c>
      <c r="AK140" s="204">
        <f t="shared" si="805"/>
        <v>0</v>
      </c>
      <c r="AL140" s="103"/>
      <c r="AM140" s="103"/>
      <c r="AN140" s="103"/>
      <c r="AO140" s="103"/>
      <c r="AP140" s="103"/>
      <c r="AQ140" s="105"/>
      <c r="AR140" s="103"/>
      <c r="AS140" s="103"/>
      <c r="AT140" s="101"/>
      <c r="AU140" s="101"/>
      <c r="AV140" s="101"/>
      <c r="AW140" s="101"/>
      <c r="AX140" s="32">
        <f>운전실적_원본!W140</f>
        <v>0</v>
      </c>
      <c r="AY140" s="198">
        <f>운전실적_원본!X140</f>
        <v>0</v>
      </c>
      <c r="AZ140" s="198">
        <f>운전실적_원본!Y140</f>
        <v>0</v>
      </c>
      <c r="BA140" s="198">
        <f>운전실적_원본!Z140</f>
        <v>0</v>
      </c>
      <c r="BB140" s="198">
        <f>운전실적_원본!AA140</f>
        <v>0</v>
      </c>
      <c r="BC140" s="198">
        <f>운전실적_원본!AB140</f>
        <v>0</v>
      </c>
      <c r="BD140" s="32" t="str">
        <f t="shared" si="788"/>
        <v>-</v>
      </c>
      <c r="BE140" s="11" t="str">
        <f t="shared" si="796"/>
        <v>-</v>
      </c>
      <c r="BF140" s="11">
        <f>운전실적_원본!AE140</f>
        <v>0</v>
      </c>
      <c r="BG140" s="31">
        <f t="shared" si="789"/>
        <v>0</v>
      </c>
    </row>
    <row r="141" spans="1:59">
      <c r="A141" s="6">
        <f t="shared" si="797"/>
        <v>45793</v>
      </c>
      <c r="B141" s="15">
        <f>운전실적_원본!B141</f>
        <v>6583</v>
      </c>
      <c r="C141" s="16">
        <f t="shared" si="633"/>
        <v>0</v>
      </c>
      <c r="D141" s="9">
        <f>운전실적_원본!C141</f>
        <v>236690</v>
      </c>
      <c r="E141" s="199">
        <f t="shared" si="634"/>
        <v>58</v>
      </c>
      <c r="F141" s="9">
        <f>운전실적_원본!D141</f>
        <v>230657</v>
      </c>
      <c r="G141" s="16">
        <f t="shared" si="635"/>
        <v>66</v>
      </c>
      <c r="H141" s="15">
        <f>운전실적_원본!E141</f>
        <v>14387</v>
      </c>
      <c r="I141" s="16">
        <f t="shared" si="636"/>
        <v>5</v>
      </c>
      <c r="J141" s="15">
        <f>운전실적_원본!E141</f>
        <v>14387</v>
      </c>
      <c r="K141" s="16">
        <f t="shared" si="636"/>
        <v>5</v>
      </c>
      <c r="L141" s="15">
        <f>운전실적_원본!G141</f>
        <v>3854</v>
      </c>
      <c r="M141" s="31">
        <f t="shared" ref="M141" si="831">IF(OR(LEN(L141)=0,L141=0),"",L141-L140)</f>
        <v>1</v>
      </c>
      <c r="N141" s="15">
        <f>운전실적_원본!H141</f>
        <v>15041</v>
      </c>
      <c r="O141" s="16">
        <f t="shared" ref="O141" si="832">IF(OR(LEN(N141)=0,N141=0),"",N141-N140)</f>
        <v>119</v>
      </c>
      <c r="P141" s="15">
        <f>운전실적_원본!I141</f>
        <v>271980</v>
      </c>
      <c r="Q141" s="16">
        <f t="shared" ref="Q141" si="833">IF(OR(LEN(P141)=0,P141=0),"",P141-P140)</f>
        <v>151</v>
      </c>
      <c r="R141" s="18">
        <f>운전실적_원본!J141</f>
        <v>32.07</v>
      </c>
      <c r="S141" s="19">
        <f t="shared" ref="S141" si="834">IF(OR(LEN(R141)=0,R141=0),"",R141-R140)</f>
        <v>-8.9999999999996305E-2</v>
      </c>
      <c r="T141" s="18">
        <f>운전실적_원본!K141</f>
        <v>31.59</v>
      </c>
      <c r="U141" s="19">
        <f t="shared" si="641"/>
        <v>1.0000000000001563E-2</v>
      </c>
      <c r="V141" s="12">
        <f>운전실적_원본!L141</f>
        <v>0</v>
      </c>
      <c r="W141" s="16" t="str">
        <f t="shared" ref="W141" si="835">IF(OR(LEN(V141)=0,V141=0),"",V141-V140)</f>
        <v/>
      </c>
      <c r="X141" s="10">
        <f>운전실적_원본!M141</f>
        <v>0</v>
      </c>
      <c r="Y141" s="10">
        <f>운전실적_원본!N141</f>
        <v>0</v>
      </c>
      <c r="Z141" s="10">
        <f>운전실적_원본!O141</f>
        <v>0</v>
      </c>
      <c r="AA141" s="10">
        <f>운전실적_원본!P141</f>
        <v>0</v>
      </c>
      <c r="AB141" s="10">
        <f>운전실적_원본!Q141</f>
        <v>0</v>
      </c>
      <c r="AC141" s="10">
        <f>운전실적_원본!R141</f>
        <v>0</v>
      </c>
      <c r="AD141" s="181">
        <f>운전실적_원본!S141</f>
        <v>0</v>
      </c>
      <c r="AE141" s="181">
        <f>운전실적_원본!T141</f>
        <v>0</v>
      </c>
      <c r="AF141" s="181">
        <f>운전실적_원본!U141</f>
        <v>0</v>
      </c>
      <c r="AG141" s="181">
        <f>운전실적_원본!V141</f>
        <v>0</v>
      </c>
      <c r="AH141" s="106">
        <f t="shared" si="795"/>
        <v>0</v>
      </c>
      <c r="AI141" s="107">
        <f t="shared" si="803"/>
        <v>0</v>
      </c>
      <c r="AJ141" s="107">
        <f t="shared" si="804"/>
        <v>0</v>
      </c>
      <c r="AK141" s="204">
        <f t="shared" si="805"/>
        <v>0</v>
      </c>
      <c r="AL141" s="103"/>
      <c r="AM141" s="103"/>
      <c r="AN141" s="103"/>
      <c r="AO141" s="103"/>
      <c r="AP141" s="103"/>
      <c r="AQ141" s="105"/>
      <c r="AR141" s="103"/>
      <c r="AS141" s="103"/>
      <c r="AT141" s="101"/>
      <c r="AU141" s="101"/>
      <c r="AV141" s="101"/>
      <c r="AW141" s="101"/>
      <c r="AX141" s="32">
        <f>운전실적_원본!W141</f>
        <v>0</v>
      </c>
      <c r="AY141" s="198">
        <f>운전실적_원본!X141</f>
        <v>0</v>
      </c>
      <c r="AZ141" s="198">
        <f>운전실적_원본!Y141</f>
        <v>0</v>
      </c>
      <c r="BA141" s="198">
        <f>운전실적_원본!Z141</f>
        <v>0</v>
      </c>
      <c r="BB141" s="198">
        <f>운전실적_원본!AA141</f>
        <v>0</v>
      </c>
      <c r="BC141" s="198">
        <f>운전실적_원본!AB141</f>
        <v>0</v>
      </c>
      <c r="BD141" s="32" t="str">
        <f t="shared" si="788"/>
        <v>-</v>
      </c>
      <c r="BE141" s="11" t="str">
        <f t="shared" si="796"/>
        <v>-</v>
      </c>
      <c r="BF141" s="11">
        <f>운전실적_원본!AE141</f>
        <v>0</v>
      </c>
      <c r="BG141" s="31">
        <f t="shared" si="789"/>
        <v>0</v>
      </c>
    </row>
    <row r="142" spans="1:59">
      <c r="A142" s="6">
        <f t="shared" si="797"/>
        <v>45794</v>
      </c>
      <c r="B142" s="15">
        <f>운전실적_원본!B142</f>
        <v>6583</v>
      </c>
      <c r="C142" s="16">
        <f t="shared" si="633"/>
        <v>0</v>
      </c>
      <c r="D142" s="9">
        <f>운전실적_원본!C142</f>
        <v>236698</v>
      </c>
      <c r="E142" s="199">
        <f t="shared" si="634"/>
        <v>8</v>
      </c>
      <c r="F142" s="9">
        <f>운전실적_원본!D142</f>
        <v>230657</v>
      </c>
      <c r="G142" s="16">
        <f t="shared" si="635"/>
        <v>0</v>
      </c>
      <c r="H142" s="15">
        <f>운전실적_원본!E142</f>
        <v>14390</v>
      </c>
      <c r="I142" s="16">
        <f t="shared" si="636"/>
        <v>3</v>
      </c>
      <c r="J142" s="15">
        <f>운전실적_원본!E142</f>
        <v>14390</v>
      </c>
      <c r="K142" s="16">
        <f t="shared" si="636"/>
        <v>3</v>
      </c>
      <c r="L142" s="15">
        <f>운전실적_원본!G142</f>
        <v>3854</v>
      </c>
      <c r="M142" s="31">
        <f t="shared" ref="M142" si="836">IF(OR(LEN(L142)=0,L142=0),"",L142-L141)</f>
        <v>0</v>
      </c>
      <c r="N142" s="15">
        <f>운전실적_원본!H142</f>
        <v>15157</v>
      </c>
      <c r="O142" s="16">
        <f t="shared" ref="O142" si="837">IF(OR(LEN(N142)=0,N142=0),"",N142-N141)</f>
        <v>116</v>
      </c>
      <c r="P142" s="15">
        <f>운전실적_원본!I142</f>
        <v>272043</v>
      </c>
      <c r="Q142" s="16">
        <f t="shared" ref="Q142" si="838">IF(OR(LEN(P142)=0,P142=0),"",P142-P141)</f>
        <v>63</v>
      </c>
      <c r="R142" s="18">
        <f>운전실적_원본!J142</f>
        <v>31.96</v>
      </c>
      <c r="S142" s="19">
        <f t="shared" ref="S142" si="839">IF(OR(LEN(R142)=0,R142=0),"",R142-R141)</f>
        <v>-0.10999999999999943</v>
      </c>
      <c r="T142" s="18">
        <f>운전실적_원본!K142</f>
        <v>31.67</v>
      </c>
      <c r="U142" s="19">
        <f t="shared" si="641"/>
        <v>8.0000000000001847E-2</v>
      </c>
      <c r="V142" s="12">
        <f>운전실적_원본!L142</f>
        <v>0</v>
      </c>
      <c r="W142" s="16" t="str">
        <f t="shared" ref="W142" si="840">IF(OR(LEN(V142)=0,V142=0),"",V142-V141)</f>
        <v/>
      </c>
      <c r="X142" s="10">
        <f>운전실적_원본!M142</f>
        <v>0</v>
      </c>
      <c r="Y142" s="10">
        <f>운전실적_원본!N142</f>
        <v>0</v>
      </c>
      <c r="Z142" s="10">
        <f>운전실적_원본!O142</f>
        <v>0</v>
      </c>
      <c r="AA142" s="10">
        <f>운전실적_원본!P142</f>
        <v>0</v>
      </c>
      <c r="AB142" s="10">
        <f>운전실적_원본!Q142</f>
        <v>0</v>
      </c>
      <c r="AC142" s="10">
        <f>운전실적_원본!R142</f>
        <v>0</v>
      </c>
      <c r="AD142" s="181">
        <f>운전실적_원본!S142</f>
        <v>0</v>
      </c>
      <c r="AE142" s="181">
        <f>운전실적_원본!T142</f>
        <v>0</v>
      </c>
      <c r="AF142" s="181">
        <f>운전실적_원본!U142</f>
        <v>0</v>
      </c>
      <c r="AG142" s="181">
        <f>운전실적_원본!V142</f>
        <v>0</v>
      </c>
      <c r="AH142" s="106">
        <f t="shared" si="795"/>
        <v>0</v>
      </c>
      <c r="AI142" s="107">
        <f t="shared" si="803"/>
        <v>0</v>
      </c>
      <c r="AJ142" s="107">
        <f t="shared" si="804"/>
        <v>0</v>
      </c>
      <c r="AK142" s="204">
        <f t="shared" si="805"/>
        <v>0</v>
      </c>
      <c r="AL142" s="103"/>
      <c r="AM142" s="103"/>
      <c r="AN142" s="103"/>
      <c r="AO142" s="103"/>
      <c r="AP142" s="103"/>
      <c r="AQ142" s="105"/>
      <c r="AR142" s="103"/>
      <c r="AS142" s="103"/>
      <c r="AT142" s="101"/>
      <c r="AU142" s="101"/>
      <c r="AV142" s="101"/>
      <c r="AW142" s="101"/>
      <c r="AX142" s="32">
        <f>운전실적_원본!W142</f>
        <v>0</v>
      </c>
      <c r="AY142" s="198">
        <f>운전실적_원본!X142</f>
        <v>0</v>
      </c>
      <c r="AZ142" s="198">
        <f>운전실적_원본!Y142</f>
        <v>0</v>
      </c>
      <c r="BA142" s="198">
        <f>운전실적_원본!Z142</f>
        <v>0</v>
      </c>
      <c r="BB142" s="198">
        <f>운전실적_원본!AA142</f>
        <v>0</v>
      </c>
      <c r="BC142" s="198">
        <f>운전실적_원본!AB142</f>
        <v>0</v>
      </c>
      <c r="BD142" s="32" t="str">
        <f t="shared" si="788"/>
        <v>-</v>
      </c>
      <c r="BE142" s="11" t="str">
        <f t="shared" si="796"/>
        <v>-</v>
      </c>
      <c r="BF142" s="11">
        <f>운전실적_원본!AE142</f>
        <v>0</v>
      </c>
      <c r="BG142" s="31">
        <f t="shared" si="789"/>
        <v>0</v>
      </c>
    </row>
    <row r="143" spans="1:59">
      <c r="A143" s="6">
        <f t="shared" si="797"/>
        <v>45795</v>
      </c>
      <c r="B143" s="15">
        <f>운전실적_원본!B143</f>
        <v>6583</v>
      </c>
      <c r="C143" s="16">
        <f t="shared" si="633"/>
        <v>0</v>
      </c>
      <c r="D143" s="9">
        <f>운전실적_원본!C143</f>
        <v>236698</v>
      </c>
      <c r="E143" s="199">
        <f t="shared" si="634"/>
        <v>0</v>
      </c>
      <c r="F143" s="9">
        <f>운전실적_원본!D143</f>
        <v>230657</v>
      </c>
      <c r="G143" s="16">
        <f t="shared" si="635"/>
        <v>0</v>
      </c>
      <c r="H143" s="15">
        <f>운전실적_원본!E143</f>
        <v>14393</v>
      </c>
      <c r="I143" s="16">
        <f t="shared" si="636"/>
        <v>3</v>
      </c>
      <c r="J143" s="15">
        <f>운전실적_원본!E143</f>
        <v>14393</v>
      </c>
      <c r="K143" s="16">
        <f t="shared" si="636"/>
        <v>3</v>
      </c>
      <c r="L143" s="15">
        <f>운전실적_원본!G143</f>
        <v>3854</v>
      </c>
      <c r="M143" s="31">
        <f t="shared" ref="M143" si="841">IF(OR(LEN(L143)=0,L143=0),"",L143-L142)</f>
        <v>0</v>
      </c>
      <c r="N143" s="15">
        <f>운전실적_원본!H143</f>
        <v>15257</v>
      </c>
      <c r="O143" s="16">
        <f t="shared" ref="O143" si="842">IF(OR(LEN(N143)=0,N143=0),"",N143-N142)</f>
        <v>100</v>
      </c>
      <c r="P143" s="15">
        <f>운전실적_원본!I143</f>
        <v>272060</v>
      </c>
      <c r="Q143" s="16">
        <f t="shared" ref="Q143" si="843">IF(OR(LEN(P143)=0,P143=0),"",P143-P142)</f>
        <v>17</v>
      </c>
      <c r="R143" s="18">
        <f>운전실적_원본!J143</f>
        <v>31.82</v>
      </c>
      <c r="S143" s="19">
        <f t="shared" ref="S143" si="844">IF(OR(LEN(R143)=0,R143=0),"",R143-R142)</f>
        <v>-0.14000000000000057</v>
      </c>
      <c r="T143" s="18">
        <f>운전실적_원본!K143</f>
        <v>31.67</v>
      </c>
      <c r="U143" s="19">
        <f t="shared" si="641"/>
        <v>0</v>
      </c>
      <c r="V143" s="12">
        <f>운전실적_원본!L143</f>
        <v>0</v>
      </c>
      <c r="W143" s="16" t="str">
        <f t="shared" ref="W143" si="845">IF(OR(LEN(V143)=0,V143=0),"",V143-V142)</f>
        <v/>
      </c>
      <c r="X143" s="10">
        <f>운전실적_원본!M143</f>
        <v>0</v>
      </c>
      <c r="Y143" s="10">
        <f>운전실적_원본!N143</f>
        <v>0</v>
      </c>
      <c r="Z143" s="10">
        <f>운전실적_원본!O143</f>
        <v>0</v>
      </c>
      <c r="AA143" s="10">
        <f>운전실적_원본!P143</f>
        <v>0</v>
      </c>
      <c r="AB143" s="10">
        <f>운전실적_원본!Q143</f>
        <v>0</v>
      </c>
      <c r="AC143" s="10">
        <f>운전실적_원본!R143</f>
        <v>0</v>
      </c>
      <c r="AD143" s="181">
        <f>운전실적_원본!S143</f>
        <v>0</v>
      </c>
      <c r="AE143" s="181">
        <f>운전실적_원본!T143</f>
        <v>0</v>
      </c>
      <c r="AF143" s="181">
        <f>운전실적_원본!U143</f>
        <v>0</v>
      </c>
      <c r="AG143" s="181">
        <f>운전실적_원본!V143</f>
        <v>0</v>
      </c>
      <c r="AH143" s="106">
        <f t="shared" si="795"/>
        <v>0</v>
      </c>
      <c r="AI143" s="107">
        <f t="shared" si="803"/>
        <v>0</v>
      </c>
      <c r="AJ143" s="107">
        <f t="shared" si="804"/>
        <v>0</v>
      </c>
      <c r="AK143" s="204">
        <f t="shared" si="805"/>
        <v>0</v>
      </c>
      <c r="AL143" s="103"/>
      <c r="AM143" s="103"/>
      <c r="AN143" s="103"/>
      <c r="AO143" s="103"/>
      <c r="AP143" s="103"/>
      <c r="AQ143" s="105"/>
      <c r="AR143" s="103"/>
      <c r="AS143" s="103"/>
      <c r="AT143" s="101"/>
      <c r="AU143" s="101"/>
      <c r="AV143" s="101"/>
      <c r="AW143" s="101"/>
      <c r="AX143" s="32">
        <f>운전실적_원본!W143</f>
        <v>0</v>
      </c>
      <c r="AY143" s="198">
        <f>운전실적_원본!X143</f>
        <v>0</v>
      </c>
      <c r="AZ143" s="198">
        <f>운전실적_원본!Y143</f>
        <v>0</v>
      </c>
      <c r="BA143" s="198">
        <f>운전실적_원본!Z143</f>
        <v>0</v>
      </c>
      <c r="BB143" s="198">
        <f>운전실적_원본!AA143</f>
        <v>0</v>
      </c>
      <c r="BC143" s="198">
        <f>운전실적_원본!AB143</f>
        <v>0</v>
      </c>
      <c r="BD143" s="32" t="str">
        <f t="shared" si="788"/>
        <v>-</v>
      </c>
      <c r="BE143" s="11" t="str">
        <f t="shared" si="796"/>
        <v>-</v>
      </c>
      <c r="BF143" s="11">
        <f>운전실적_원본!AE143</f>
        <v>0</v>
      </c>
      <c r="BG143" s="31">
        <f t="shared" si="789"/>
        <v>0</v>
      </c>
    </row>
    <row r="144" spans="1:59">
      <c r="A144" s="6">
        <f t="shared" si="797"/>
        <v>45796</v>
      </c>
      <c r="B144" s="15">
        <f>운전실적_원본!B144</f>
        <v>6583</v>
      </c>
      <c r="C144" s="16">
        <f t="shared" si="633"/>
        <v>0</v>
      </c>
      <c r="D144" s="9">
        <f>운전실적_원본!C144</f>
        <v>236756</v>
      </c>
      <c r="E144" s="199">
        <f t="shared" si="634"/>
        <v>58</v>
      </c>
      <c r="F144" s="9">
        <f>운전실적_원본!D144</f>
        <v>230699</v>
      </c>
      <c r="G144" s="16">
        <f t="shared" si="635"/>
        <v>42</v>
      </c>
      <c r="H144" s="15">
        <f>운전실적_원본!E144</f>
        <v>14402</v>
      </c>
      <c r="I144" s="16">
        <f t="shared" si="636"/>
        <v>9</v>
      </c>
      <c r="J144" s="15">
        <f>운전실적_원본!E144</f>
        <v>14402</v>
      </c>
      <c r="K144" s="16">
        <f t="shared" si="636"/>
        <v>9</v>
      </c>
      <c r="L144" s="15">
        <f>운전실적_원본!G144</f>
        <v>3854</v>
      </c>
      <c r="M144" s="31">
        <f t="shared" ref="M144" si="846">IF(OR(LEN(L144)=0,L144=0),"",L144-L143)</f>
        <v>0</v>
      </c>
      <c r="N144" s="15">
        <f>운전실적_원본!H144</f>
        <v>15327</v>
      </c>
      <c r="O144" s="16">
        <f t="shared" ref="O144" si="847">IF(OR(LEN(N144)=0,N144=0),"",N144-N143)</f>
        <v>70</v>
      </c>
      <c r="P144" s="15">
        <f>운전실적_원본!I144</f>
        <v>272222</v>
      </c>
      <c r="Q144" s="16">
        <f t="shared" ref="Q144" si="848">IF(OR(LEN(P144)=0,P144=0),"",P144-P143)</f>
        <v>162</v>
      </c>
      <c r="R144" s="18">
        <f>운전실적_원본!J144</f>
        <v>31.85</v>
      </c>
      <c r="S144" s="19">
        <f t="shared" ref="S144" si="849">IF(OR(LEN(R144)=0,R144=0),"",R144-R143)</f>
        <v>3.0000000000001137E-2</v>
      </c>
      <c r="T144" s="18">
        <f>운전실적_원본!K144</f>
        <v>31.72</v>
      </c>
      <c r="U144" s="19">
        <f t="shared" si="641"/>
        <v>4.9999999999997158E-2</v>
      </c>
      <c r="V144" s="12">
        <f>운전실적_원본!L144</f>
        <v>0</v>
      </c>
      <c r="W144" s="16" t="str">
        <f t="shared" ref="W144" si="850">IF(OR(LEN(V144)=0,V144=0),"",V144-V143)</f>
        <v/>
      </c>
      <c r="X144" s="10">
        <f>운전실적_원본!M144</f>
        <v>0</v>
      </c>
      <c r="Y144" s="10">
        <f>운전실적_원본!N144</f>
        <v>0</v>
      </c>
      <c r="Z144" s="10">
        <f>운전실적_원본!O144</f>
        <v>0</v>
      </c>
      <c r="AA144" s="10">
        <f>운전실적_원본!P144</f>
        <v>0</v>
      </c>
      <c r="AB144" s="10">
        <f>운전실적_원본!Q144</f>
        <v>0</v>
      </c>
      <c r="AC144" s="10">
        <f>운전실적_원본!R144</f>
        <v>0</v>
      </c>
      <c r="AD144" s="181">
        <f>운전실적_원본!S144</f>
        <v>0</v>
      </c>
      <c r="AE144" s="181">
        <f>운전실적_원본!T144</f>
        <v>0</v>
      </c>
      <c r="AF144" s="181">
        <f>운전실적_원본!U144</f>
        <v>0</v>
      </c>
      <c r="AG144" s="181">
        <f>운전실적_원본!V144</f>
        <v>0</v>
      </c>
      <c r="AH144" s="106">
        <f t="shared" si="795"/>
        <v>0</v>
      </c>
      <c r="AI144" s="107">
        <f t="shared" si="803"/>
        <v>0</v>
      </c>
      <c r="AJ144" s="107">
        <f t="shared" si="804"/>
        <v>0</v>
      </c>
      <c r="AK144" s="204">
        <f t="shared" si="805"/>
        <v>0</v>
      </c>
      <c r="AL144" s="103"/>
      <c r="AM144" s="103"/>
      <c r="AN144" s="103"/>
      <c r="AO144" s="103"/>
      <c r="AP144" s="103"/>
      <c r="AQ144" s="105"/>
      <c r="AR144" s="103"/>
      <c r="AS144" s="103"/>
      <c r="AT144" s="101"/>
      <c r="AU144" s="101"/>
      <c r="AV144" s="101"/>
      <c r="AW144" s="101"/>
      <c r="AX144" s="32">
        <f>운전실적_원본!W144</f>
        <v>0</v>
      </c>
      <c r="AY144" s="198">
        <f>운전실적_원본!X144</f>
        <v>0</v>
      </c>
      <c r="AZ144" s="198">
        <f>운전실적_원본!Y144</f>
        <v>0</v>
      </c>
      <c r="BA144" s="198">
        <f>운전실적_원본!Z144</f>
        <v>0</v>
      </c>
      <c r="BB144" s="198">
        <f>운전실적_원본!AA144</f>
        <v>0</v>
      </c>
      <c r="BC144" s="198">
        <f>운전실적_원본!AB144</f>
        <v>0</v>
      </c>
      <c r="BD144" s="32" t="str">
        <f t="shared" si="788"/>
        <v>-</v>
      </c>
      <c r="BE144" s="11" t="str">
        <f t="shared" si="796"/>
        <v>-</v>
      </c>
      <c r="BF144" s="11">
        <f>운전실적_원본!AE144</f>
        <v>0</v>
      </c>
      <c r="BG144" s="31">
        <f t="shared" si="789"/>
        <v>0</v>
      </c>
    </row>
    <row r="145" spans="1:59">
      <c r="A145" s="6">
        <f t="shared" si="797"/>
        <v>45797</v>
      </c>
      <c r="B145" s="15">
        <f>운전실적_원본!B145</f>
        <v>6583</v>
      </c>
      <c r="C145" s="16">
        <f t="shared" si="633"/>
        <v>0</v>
      </c>
      <c r="D145" s="9">
        <f>운전실적_원본!C145</f>
        <v>236823</v>
      </c>
      <c r="E145" s="199">
        <f t="shared" si="634"/>
        <v>67</v>
      </c>
      <c r="F145" s="9">
        <f>운전실적_원본!D145</f>
        <v>230699</v>
      </c>
      <c r="G145" s="16">
        <f t="shared" si="635"/>
        <v>0</v>
      </c>
      <c r="H145" s="15">
        <f>운전실적_원본!E145</f>
        <v>14407</v>
      </c>
      <c r="I145" s="16">
        <f t="shared" si="636"/>
        <v>5</v>
      </c>
      <c r="J145" s="15">
        <f>운전실적_원본!E145</f>
        <v>14407</v>
      </c>
      <c r="K145" s="16">
        <f t="shared" si="636"/>
        <v>5</v>
      </c>
      <c r="L145" s="15">
        <f>운전실적_원본!G145</f>
        <v>3855</v>
      </c>
      <c r="M145" s="31">
        <f t="shared" ref="M145" si="851">IF(OR(LEN(L145)=0,L145=0),"",L145-L144)</f>
        <v>1</v>
      </c>
      <c r="N145" s="15">
        <f>운전실적_원본!H145</f>
        <v>15425</v>
      </c>
      <c r="O145" s="16">
        <f t="shared" ref="O145" si="852">IF(OR(LEN(N145)=0,N145=0),"",N145-N144)</f>
        <v>98</v>
      </c>
      <c r="P145" s="15">
        <f>운전실적_원본!I145</f>
        <v>272331</v>
      </c>
      <c r="Q145" s="16">
        <f t="shared" ref="Q145" si="853">IF(OR(LEN(P145)=0,P145=0),"",P145-P144)</f>
        <v>109</v>
      </c>
      <c r="R145" s="18">
        <f>운전실적_원본!J145</f>
        <v>31.98</v>
      </c>
      <c r="S145" s="19">
        <f t="shared" ref="S145" si="854">IF(OR(LEN(R145)=0,R145=0),"",R145-R144)</f>
        <v>0.12999999999999901</v>
      </c>
      <c r="T145" s="18">
        <f>운전실적_원본!K145</f>
        <v>31.72</v>
      </c>
      <c r="U145" s="19">
        <f t="shared" si="641"/>
        <v>0</v>
      </c>
      <c r="V145" s="12">
        <f>운전실적_원본!L145</f>
        <v>0</v>
      </c>
      <c r="W145" s="16" t="str">
        <f t="shared" ref="W145" si="855">IF(OR(LEN(V145)=0,V145=0),"",V145-V144)</f>
        <v/>
      </c>
      <c r="X145" s="10">
        <f>운전실적_원본!M145</f>
        <v>0</v>
      </c>
      <c r="Y145" s="10">
        <f>운전실적_원본!N145</f>
        <v>0</v>
      </c>
      <c r="Z145" s="10">
        <f>운전실적_원본!O145</f>
        <v>0</v>
      </c>
      <c r="AA145" s="10">
        <f>운전실적_원본!P145</f>
        <v>0</v>
      </c>
      <c r="AB145" s="10">
        <f>운전실적_원본!Q145</f>
        <v>0</v>
      </c>
      <c r="AC145" s="10">
        <f>운전실적_원본!R145</f>
        <v>0</v>
      </c>
      <c r="AD145" s="181">
        <f>운전실적_원본!S145</f>
        <v>0</v>
      </c>
      <c r="AE145" s="181">
        <f>운전실적_원본!T145</f>
        <v>0</v>
      </c>
      <c r="AF145" s="181">
        <f>운전실적_원본!U145</f>
        <v>0</v>
      </c>
      <c r="AG145" s="181">
        <f>운전실적_원본!V145</f>
        <v>0</v>
      </c>
      <c r="AH145" s="106">
        <f t="shared" si="795"/>
        <v>0</v>
      </c>
      <c r="AI145" s="107">
        <f t="shared" si="803"/>
        <v>0</v>
      </c>
      <c r="AJ145" s="107">
        <f t="shared" si="804"/>
        <v>0</v>
      </c>
      <c r="AK145" s="204">
        <f t="shared" si="805"/>
        <v>0</v>
      </c>
      <c r="AL145" s="103"/>
      <c r="AM145" s="103"/>
      <c r="AN145" s="103"/>
      <c r="AO145" s="103"/>
      <c r="AP145" s="103"/>
      <c r="AQ145" s="105"/>
      <c r="AR145" s="103"/>
      <c r="AS145" s="103"/>
      <c r="AT145" s="101"/>
      <c r="AU145" s="101"/>
      <c r="AV145" s="101"/>
      <c r="AW145" s="101"/>
      <c r="AX145" s="32">
        <f>운전실적_원본!W145</f>
        <v>0</v>
      </c>
      <c r="AY145" s="198">
        <f>운전실적_원본!X145</f>
        <v>0</v>
      </c>
      <c r="AZ145" s="198">
        <f>운전실적_원본!Y145</f>
        <v>0</v>
      </c>
      <c r="BA145" s="198">
        <f>운전실적_원본!Z145</f>
        <v>0</v>
      </c>
      <c r="BB145" s="198">
        <f>운전실적_원본!AA145</f>
        <v>0</v>
      </c>
      <c r="BC145" s="198">
        <f>운전실적_원본!AB145</f>
        <v>0</v>
      </c>
      <c r="BD145" s="32" t="str">
        <f t="shared" si="788"/>
        <v>-</v>
      </c>
      <c r="BE145" s="11" t="str">
        <f t="shared" si="796"/>
        <v>-</v>
      </c>
      <c r="BF145" s="11">
        <f>운전실적_원본!AE145</f>
        <v>0</v>
      </c>
      <c r="BG145" s="31">
        <f t="shared" si="789"/>
        <v>0</v>
      </c>
    </row>
    <row r="146" spans="1:59">
      <c r="A146" s="6">
        <f t="shared" si="797"/>
        <v>45798</v>
      </c>
      <c r="B146" s="15">
        <f>운전실적_원본!B146</f>
        <v>6583</v>
      </c>
      <c r="C146" s="16">
        <f t="shared" si="633"/>
        <v>0</v>
      </c>
      <c r="D146" s="9">
        <f>운전실적_원본!C146</f>
        <v>236823</v>
      </c>
      <c r="E146" s="199">
        <f t="shared" si="634"/>
        <v>0</v>
      </c>
      <c r="F146" s="9">
        <f>운전실적_원본!D146</f>
        <v>230770</v>
      </c>
      <c r="G146" s="16">
        <f t="shared" si="635"/>
        <v>71</v>
      </c>
      <c r="H146" s="15">
        <f>운전실적_원본!E146</f>
        <v>14417</v>
      </c>
      <c r="I146" s="16">
        <f t="shared" si="636"/>
        <v>10</v>
      </c>
      <c r="J146" s="15">
        <f>운전실적_원본!E146</f>
        <v>14417</v>
      </c>
      <c r="K146" s="16">
        <f t="shared" si="636"/>
        <v>10</v>
      </c>
      <c r="L146" s="15">
        <f>운전실적_원본!G146</f>
        <v>3856</v>
      </c>
      <c r="M146" s="31">
        <f t="shared" ref="M146" si="856">IF(OR(LEN(L146)=0,L146=0),"",L146-L145)</f>
        <v>1</v>
      </c>
      <c r="N146" s="15">
        <f>운전실적_원본!H146</f>
        <v>15547</v>
      </c>
      <c r="O146" s="16">
        <f t="shared" ref="O146" si="857">IF(OR(LEN(N146)=0,N146=0),"",N146-N145)</f>
        <v>122</v>
      </c>
      <c r="P146" s="15">
        <f>운전실적_원본!I146</f>
        <v>272487</v>
      </c>
      <c r="Q146" s="16">
        <f t="shared" ref="Q146" si="858">IF(OR(LEN(P146)=0,P146=0),"",P146-P145)</f>
        <v>156</v>
      </c>
      <c r="R146" s="18">
        <f>운전실적_원본!J146</f>
        <v>32.049999999999997</v>
      </c>
      <c r="S146" s="19">
        <f t="shared" ref="S146" si="859">IF(OR(LEN(R146)=0,R146=0),"",R146-R145)</f>
        <v>6.9999999999996732E-2</v>
      </c>
      <c r="T146" s="18">
        <f>운전실적_원본!K146</f>
        <v>31.7</v>
      </c>
      <c r="U146" s="19">
        <f t="shared" si="641"/>
        <v>-1.9999999999999574E-2</v>
      </c>
      <c r="V146" s="12">
        <f>운전실적_원본!L146</f>
        <v>0</v>
      </c>
      <c r="W146" s="16" t="str">
        <f t="shared" ref="W146" si="860">IF(OR(LEN(V146)=0,V146=0),"",V146-V145)</f>
        <v/>
      </c>
      <c r="X146" s="10">
        <f>운전실적_원본!M146</f>
        <v>0</v>
      </c>
      <c r="Y146" s="10">
        <f>운전실적_원본!N146</f>
        <v>0</v>
      </c>
      <c r="Z146" s="10">
        <f>운전실적_원본!O146</f>
        <v>0</v>
      </c>
      <c r="AA146" s="10">
        <f>운전실적_원본!P146</f>
        <v>0</v>
      </c>
      <c r="AB146" s="10">
        <f>운전실적_원본!Q146</f>
        <v>0</v>
      </c>
      <c r="AC146" s="10">
        <f>운전실적_원본!R146</f>
        <v>0</v>
      </c>
      <c r="AD146" s="181">
        <f>운전실적_원본!S146</f>
        <v>0</v>
      </c>
      <c r="AE146" s="181">
        <f>운전실적_원본!T146</f>
        <v>0</v>
      </c>
      <c r="AF146" s="181">
        <f>운전실적_원본!U146</f>
        <v>0</v>
      </c>
      <c r="AG146" s="181">
        <f>운전실적_원본!V146</f>
        <v>0</v>
      </c>
      <c r="AH146" s="106">
        <f t="shared" si="795"/>
        <v>0</v>
      </c>
      <c r="AI146" s="107">
        <f t="shared" si="803"/>
        <v>0</v>
      </c>
      <c r="AJ146" s="107">
        <f t="shared" si="804"/>
        <v>0</v>
      </c>
      <c r="AK146" s="204">
        <f t="shared" si="805"/>
        <v>0</v>
      </c>
      <c r="AL146" s="103"/>
      <c r="AM146" s="103"/>
      <c r="AN146" s="103"/>
      <c r="AO146" s="103"/>
      <c r="AP146" s="103"/>
      <c r="AQ146" s="105"/>
      <c r="AR146" s="103"/>
      <c r="AS146" s="103"/>
      <c r="AT146" s="101"/>
      <c r="AU146" s="101"/>
      <c r="AV146" s="101"/>
      <c r="AW146" s="101"/>
      <c r="AX146" s="32">
        <f>운전실적_원본!W146</f>
        <v>0</v>
      </c>
      <c r="AY146" s="198">
        <f>운전실적_원본!X146</f>
        <v>0</v>
      </c>
      <c r="AZ146" s="198">
        <f>운전실적_원본!Y146</f>
        <v>0</v>
      </c>
      <c r="BA146" s="198">
        <f>운전실적_원본!Z146</f>
        <v>0</v>
      </c>
      <c r="BB146" s="198">
        <f>운전실적_원본!AA146</f>
        <v>0</v>
      </c>
      <c r="BC146" s="198">
        <f>운전실적_원본!AB146</f>
        <v>0</v>
      </c>
      <c r="BD146" s="32" t="str">
        <f t="shared" si="788"/>
        <v>-</v>
      </c>
      <c r="BE146" s="11" t="str">
        <f t="shared" si="796"/>
        <v>-</v>
      </c>
      <c r="BF146" s="11">
        <f>운전실적_원본!AE146</f>
        <v>0</v>
      </c>
      <c r="BG146" s="31">
        <f t="shared" si="789"/>
        <v>0</v>
      </c>
    </row>
    <row r="147" spans="1:59">
      <c r="A147" s="6">
        <f t="shared" si="797"/>
        <v>45799</v>
      </c>
      <c r="B147" s="15">
        <f>운전실적_원본!B147</f>
        <v>6583</v>
      </c>
      <c r="C147" s="16">
        <f t="shared" si="633"/>
        <v>0</v>
      </c>
      <c r="D147" s="9">
        <f>운전실적_원본!C147</f>
        <v>236823</v>
      </c>
      <c r="E147" s="199">
        <f t="shared" si="634"/>
        <v>0</v>
      </c>
      <c r="F147" s="9">
        <f>운전실적_원본!D147</f>
        <v>230808</v>
      </c>
      <c r="G147" s="16">
        <f t="shared" si="635"/>
        <v>38</v>
      </c>
      <c r="H147" s="15">
        <f>운전실적_원본!E147</f>
        <v>14427</v>
      </c>
      <c r="I147" s="16">
        <f t="shared" si="636"/>
        <v>10</v>
      </c>
      <c r="J147" s="15">
        <f>운전실적_원본!E147</f>
        <v>14427</v>
      </c>
      <c r="K147" s="16">
        <f t="shared" si="636"/>
        <v>10</v>
      </c>
      <c r="L147" s="15">
        <f>운전실적_원본!G147</f>
        <v>3856</v>
      </c>
      <c r="M147" s="31">
        <f t="shared" ref="M147" si="861">IF(OR(LEN(L147)=0,L147=0),"",L147-L146)</f>
        <v>0</v>
      </c>
      <c r="N147" s="15">
        <f>운전실적_원본!H147</f>
        <v>15642</v>
      </c>
      <c r="O147" s="16">
        <f t="shared" ref="O147" si="862">IF(OR(LEN(N147)=0,N147=0),"",N147-N146)</f>
        <v>95</v>
      </c>
      <c r="P147" s="15">
        <f>운전실적_원본!I147</f>
        <v>272593</v>
      </c>
      <c r="Q147" s="16">
        <f t="shared" ref="Q147" si="863">IF(OR(LEN(P147)=0,P147=0),"",P147-P146)</f>
        <v>106</v>
      </c>
      <c r="R147" s="18">
        <f>운전실적_원본!J147</f>
        <v>31.92</v>
      </c>
      <c r="S147" s="19">
        <f t="shared" ref="S147" si="864">IF(OR(LEN(R147)=0,R147=0),"",R147-R146)</f>
        <v>-0.12999999999999545</v>
      </c>
      <c r="T147" s="18">
        <f>운전실적_원본!K147</f>
        <v>31.73</v>
      </c>
      <c r="U147" s="19">
        <f t="shared" si="641"/>
        <v>3.0000000000001137E-2</v>
      </c>
      <c r="V147" s="12">
        <f>운전실적_원본!L147</f>
        <v>0</v>
      </c>
      <c r="W147" s="16" t="str">
        <f t="shared" ref="W147" si="865">IF(OR(LEN(V147)=0,V147=0),"",V147-V146)</f>
        <v/>
      </c>
      <c r="X147" s="10">
        <f>운전실적_원본!M147</f>
        <v>0</v>
      </c>
      <c r="Y147" s="10">
        <f>운전실적_원본!N147</f>
        <v>0</v>
      </c>
      <c r="Z147" s="10">
        <f>운전실적_원본!O147</f>
        <v>0</v>
      </c>
      <c r="AA147" s="10">
        <f>운전실적_원본!P147</f>
        <v>0</v>
      </c>
      <c r="AB147" s="10">
        <f>운전실적_원본!Q147</f>
        <v>0</v>
      </c>
      <c r="AC147" s="10">
        <f>운전실적_원본!R147</f>
        <v>0</v>
      </c>
      <c r="AD147" s="181">
        <f>운전실적_원본!S147</f>
        <v>0</v>
      </c>
      <c r="AE147" s="181">
        <f>운전실적_원본!T147</f>
        <v>0</v>
      </c>
      <c r="AF147" s="181">
        <f>운전실적_원본!U147</f>
        <v>0</v>
      </c>
      <c r="AG147" s="181">
        <f>운전실적_원본!V147</f>
        <v>0</v>
      </c>
      <c r="AH147" s="106">
        <f t="shared" si="795"/>
        <v>0</v>
      </c>
      <c r="AI147" s="107">
        <f t="shared" si="803"/>
        <v>0</v>
      </c>
      <c r="AJ147" s="107">
        <f t="shared" si="804"/>
        <v>0</v>
      </c>
      <c r="AK147" s="204">
        <f t="shared" si="805"/>
        <v>0</v>
      </c>
      <c r="AL147" s="103"/>
      <c r="AM147" s="103"/>
      <c r="AN147" s="103"/>
      <c r="AO147" s="103"/>
      <c r="AP147" s="103"/>
      <c r="AQ147" s="105"/>
      <c r="AR147" s="103"/>
      <c r="AS147" s="103"/>
      <c r="AT147" s="101"/>
      <c r="AU147" s="101"/>
      <c r="AV147" s="101"/>
      <c r="AW147" s="101"/>
      <c r="AX147" s="32">
        <f>운전실적_원본!W147</f>
        <v>0</v>
      </c>
      <c r="AY147" s="198">
        <f>운전실적_원본!X147</f>
        <v>0</v>
      </c>
      <c r="AZ147" s="198">
        <f>운전실적_원본!Y147</f>
        <v>0</v>
      </c>
      <c r="BA147" s="198">
        <f>운전실적_원본!Z147</f>
        <v>0</v>
      </c>
      <c r="BB147" s="198">
        <f>운전실적_원본!AA147</f>
        <v>0</v>
      </c>
      <c r="BC147" s="198">
        <f>운전실적_원본!AB147</f>
        <v>0</v>
      </c>
      <c r="BD147" s="32" t="str">
        <f t="shared" si="788"/>
        <v>-</v>
      </c>
      <c r="BE147" s="11" t="str">
        <f t="shared" si="796"/>
        <v>-</v>
      </c>
      <c r="BF147" s="11">
        <f>운전실적_원본!AE147</f>
        <v>0</v>
      </c>
      <c r="BG147" s="31">
        <f t="shared" si="789"/>
        <v>0</v>
      </c>
    </row>
    <row r="148" spans="1:59">
      <c r="A148" s="6">
        <f t="shared" si="797"/>
        <v>45800</v>
      </c>
      <c r="B148" s="15">
        <f>운전실적_원본!B148</f>
        <v>6583</v>
      </c>
      <c r="C148" s="16">
        <f t="shared" si="633"/>
        <v>0</v>
      </c>
      <c r="D148" s="9">
        <f>운전실적_원본!C148</f>
        <v>236867</v>
      </c>
      <c r="E148" s="199">
        <f t="shared" si="634"/>
        <v>44</v>
      </c>
      <c r="F148" s="9">
        <f>운전실적_원본!D148</f>
        <v>230822</v>
      </c>
      <c r="G148" s="16">
        <f t="shared" si="635"/>
        <v>14</v>
      </c>
      <c r="H148" s="15">
        <f>운전실적_원본!E148</f>
        <v>14441</v>
      </c>
      <c r="I148" s="16">
        <f t="shared" si="636"/>
        <v>14</v>
      </c>
      <c r="J148" s="15">
        <f>운전실적_원본!E148</f>
        <v>14441</v>
      </c>
      <c r="K148" s="16">
        <f t="shared" si="636"/>
        <v>14</v>
      </c>
      <c r="L148" s="15">
        <f>운전실적_원본!G148</f>
        <v>3857</v>
      </c>
      <c r="M148" s="31">
        <f t="shared" ref="M148" si="866">IF(OR(LEN(L148)=0,L148=0),"",L148-L147)</f>
        <v>1</v>
      </c>
      <c r="N148" s="15">
        <f>운전실적_원본!H148</f>
        <v>15732</v>
      </c>
      <c r="O148" s="16">
        <f t="shared" ref="O148" si="867">IF(OR(LEN(N148)=0,N148=0),"",N148-N147)</f>
        <v>90</v>
      </c>
      <c r="P148" s="15">
        <f>운전실적_원본!I148</f>
        <v>272715</v>
      </c>
      <c r="Q148" s="16">
        <f t="shared" ref="Q148" si="868">IF(OR(LEN(P148)=0,P148=0),"",P148-P147)</f>
        <v>122</v>
      </c>
      <c r="R148" s="18">
        <f>운전실적_원본!J148</f>
        <v>32.15</v>
      </c>
      <c r="S148" s="19">
        <f t="shared" ref="S148" si="869">IF(OR(LEN(R148)=0,R148=0),"",R148-R147)</f>
        <v>0.22999999999999687</v>
      </c>
      <c r="T148" s="18">
        <f>운전실적_원본!K148</f>
        <v>31.68</v>
      </c>
      <c r="U148" s="19">
        <f t="shared" si="641"/>
        <v>-5.0000000000000711E-2</v>
      </c>
      <c r="V148" s="12">
        <f>운전실적_원본!L148</f>
        <v>0</v>
      </c>
      <c r="W148" s="16" t="str">
        <f t="shared" ref="W148" si="870">IF(OR(LEN(V148)=0,V148=0),"",V148-V147)</f>
        <v/>
      </c>
      <c r="X148" s="10">
        <f>운전실적_원본!M148</f>
        <v>0</v>
      </c>
      <c r="Y148" s="10">
        <f>운전실적_원본!N148</f>
        <v>0</v>
      </c>
      <c r="Z148" s="10">
        <f>운전실적_원본!O148</f>
        <v>0</v>
      </c>
      <c r="AA148" s="10">
        <f>운전실적_원본!P148</f>
        <v>0</v>
      </c>
      <c r="AB148" s="10">
        <f>운전실적_원본!Q148</f>
        <v>0</v>
      </c>
      <c r="AC148" s="10">
        <f>운전실적_원본!R148</f>
        <v>0</v>
      </c>
      <c r="AD148" s="181">
        <f>운전실적_원본!S148</f>
        <v>0</v>
      </c>
      <c r="AE148" s="181">
        <f>운전실적_원본!T148</f>
        <v>0</v>
      </c>
      <c r="AF148" s="181">
        <f>운전실적_원본!U148</f>
        <v>0</v>
      </c>
      <c r="AG148" s="181">
        <f>운전실적_원본!V148</f>
        <v>0</v>
      </c>
      <c r="AH148" s="106">
        <f t="shared" si="795"/>
        <v>0</v>
      </c>
      <c r="AI148" s="107">
        <f t="shared" si="803"/>
        <v>0</v>
      </c>
      <c r="AJ148" s="107">
        <f t="shared" si="804"/>
        <v>0</v>
      </c>
      <c r="AK148" s="204">
        <f t="shared" si="805"/>
        <v>0</v>
      </c>
      <c r="AL148" s="103"/>
      <c r="AM148" s="103"/>
      <c r="AN148" s="103"/>
      <c r="AO148" s="103"/>
      <c r="AP148" s="103"/>
      <c r="AQ148" s="105"/>
      <c r="AR148" s="103"/>
      <c r="AS148" s="103"/>
      <c r="AT148" s="101"/>
      <c r="AU148" s="101"/>
      <c r="AV148" s="101"/>
      <c r="AW148" s="101"/>
      <c r="AX148" s="32">
        <f>운전실적_원본!W148</f>
        <v>0</v>
      </c>
      <c r="AY148" s="198">
        <f>운전실적_원본!X148</f>
        <v>0</v>
      </c>
      <c r="AZ148" s="198">
        <f>운전실적_원본!Y148</f>
        <v>0</v>
      </c>
      <c r="BA148" s="198">
        <f>운전실적_원본!Z148</f>
        <v>0</v>
      </c>
      <c r="BB148" s="198">
        <f>운전실적_원본!AA148</f>
        <v>0</v>
      </c>
      <c r="BC148" s="198">
        <f>운전실적_원본!AB148</f>
        <v>0</v>
      </c>
      <c r="BD148" s="32" t="str">
        <f t="shared" si="788"/>
        <v>-</v>
      </c>
      <c r="BE148" s="11" t="str">
        <f t="shared" si="796"/>
        <v>-</v>
      </c>
      <c r="BF148" s="11">
        <f>운전실적_원본!AE148</f>
        <v>0</v>
      </c>
      <c r="BG148" s="31">
        <f t="shared" si="789"/>
        <v>0</v>
      </c>
    </row>
    <row r="149" spans="1:59">
      <c r="A149" s="6">
        <f t="shared" si="797"/>
        <v>45801</v>
      </c>
      <c r="B149" s="15">
        <f>운전실적_원본!B149</f>
        <v>6583</v>
      </c>
      <c r="C149" s="16">
        <f t="shared" si="633"/>
        <v>0</v>
      </c>
      <c r="D149" s="9">
        <f>운전실적_원본!C149</f>
        <v>236867</v>
      </c>
      <c r="E149" s="199">
        <f t="shared" si="634"/>
        <v>0</v>
      </c>
      <c r="F149" s="9">
        <f>운전실적_원본!D149</f>
        <v>230822</v>
      </c>
      <c r="G149" s="16">
        <f t="shared" si="635"/>
        <v>0</v>
      </c>
      <c r="H149" s="15">
        <f>운전실적_원본!E149</f>
        <v>14443</v>
      </c>
      <c r="I149" s="16">
        <f t="shared" si="636"/>
        <v>2</v>
      </c>
      <c r="J149" s="15">
        <f>운전실적_원본!E149</f>
        <v>14443</v>
      </c>
      <c r="K149" s="16">
        <f t="shared" si="636"/>
        <v>2</v>
      </c>
      <c r="L149" s="15">
        <f>운전실적_원본!G149</f>
        <v>3857</v>
      </c>
      <c r="M149" s="31">
        <f t="shared" ref="M149" si="871">IF(OR(LEN(L149)=0,L149=0),"",L149-L148)</f>
        <v>0</v>
      </c>
      <c r="N149" s="15">
        <f>운전실적_원본!H149</f>
        <v>15742</v>
      </c>
      <c r="O149" s="16">
        <f t="shared" ref="O149" si="872">IF(OR(LEN(N149)=0,N149=0),"",N149-N148)</f>
        <v>10</v>
      </c>
      <c r="P149" s="15">
        <f>운전실적_원본!I149</f>
        <v>272731</v>
      </c>
      <c r="Q149" s="16">
        <f t="shared" ref="Q149" si="873">IF(OR(LEN(P149)=0,P149=0),"",P149-P148)</f>
        <v>16</v>
      </c>
      <c r="R149" s="18">
        <f>운전실적_원본!J149</f>
        <v>32.29</v>
      </c>
      <c r="S149" s="19">
        <f t="shared" ref="S149" si="874">IF(OR(LEN(R149)=0,R149=0),"",R149-R148)</f>
        <v>0.14000000000000057</v>
      </c>
      <c r="T149" s="18">
        <f>운전실적_원본!K149</f>
        <v>31.69</v>
      </c>
      <c r="U149" s="19">
        <f t="shared" si="641"/>
        <v>1.0000000000001563E-2</v>
      </c>
      <c r="V149" s="12">
        <f>운전실적_원본!L149</f>
        <v>0</v>
      </c>
      <c r="W149" s="16" t="str">
        <f t="shared" ref="W149" si="875">IF(OR(LEN(V149)=0,V149=0),"",V149-V148)</f>
        <v/>
      </c>
      <c r="X149" s="10">
        <f>운전실적_원본!M149</f>
        <v>0</v>
      </c>
      <c r="Y149" s="10">
        <f>운전실적_원본!N149</f>
        <v>0</v>
      </c>
      <c r="Z149" s="10">
        <f>운전실적_원본!O149</f>
        <v>0</v>
      </c>
      <c r="AA149" s="10">
        <f>운전실적_원본!P149</f>
        <v>0</v>
      </c>
      <c r="AB149" s="10">
        <f>운전실적_원본!Q149</f>
        <v>0</v>
      </c>
      <c r="AC149" s="10">
        <f>운전실적_원본!R149</f>
        <v>0</v>
      </c>
      <c r="AD149" s="181">
        <f>운전실적_원본!S149</f>
        <v>0</v>
      </c>
      <c r="AE149" s="181">
        <f>운전실적_원본!T149</f>
        <v>0</v>
      </c>
      <c r="AF149" s="181">
        <f>운전실적_원본!U149</f>
        <v>0</v>
      </c>
      <c r="AG149" s="181">
        <f>운전실적_원본!V149</f>
        <v>0</v>
      </c>
      <c r="AH149" s="106">
        <f t="shared" si="795"/>
        <v>0</v>
      </c>
      <c r="AI149" s="107">
        <f t="shared" si="803"/>
        <v>0</v>
      </c>
      <c r="AJ149" s="107">
        <f t="shared" si="804"/>
        <v>0</v>
      </c>
      <c r="AK149" s="204">
        <f t="shared" si="805"/>
        <v>0</v>
      </c>
      <c r="AL149" s="103"/>
      <c r="AM149" s="103"/>
      <c r="AN149" s="103"/>
      <c r="AO149" s="103"/>
      <c r="AP149" s="103"/>
      <c r="AQ149" s="105"/>
      <c r="AR149" s="103"/>
      <c r="AS149" s="103"/>
      <c r="AT149" s="101"/>
      <c r="AU149" s="101"/>
      <c r="AV149" s="101"/>
      <c r="AW149" s="101"/>
      <c r="AX149" s="32">
        <f>운전실적_원본!W149</f>
        <v>0</v>
      </c>
      <c r="AY149" s="198">
        <f>운전실적_원본!X149</f>
        <v>0</v>
      </c>
      <c r="AZ149" s="198">
        <f>운전실적_원본!Y149</f>
        <v>0</v>
      </c>
      <c r="BA149" s="198">
        <f>운전실적_원본!Z149</f>
        <v>0</v>
      </c>
      <c r="BB149" s="198">
        <f>운전실적_원본!AA149</f>
        <v>0</v>
      </c>
      <c r="BC149" s="198">
        <f>운전실적_원본!AB149</f>
        <v>0</v>
      </c>
      <c r="BD149" s="32" t="str">
        <f t="shared" si="788"/>
        <v>-</v>
      </c>
      <c r="BE149" s="11" t="str">
        <f t="shared" si="796"/>
        <v>-</v>
      </c>
      <c r="BF149" s="11">
        <f>운전실적_원본!AE149</f>
        <v>0</v>
      </c>
      <c r="BG149" s="31">
        <f t="shared" si="789"/>
        <v>0</v>
      </c>
    </row>
    <row r="150" spans="1:59">
      <c r="A150" s="6">
        <f t="shared" si="797"/>
        <v>45802</v>
      </c>
      <c r="B150" s="15">
        <f>운전실적_원본!B150</f>
        <v>6583</v>
      </c>
      <c r="C150" s="16">
        <f t="shared" si="633"/>
        <v>0</v>
      </c>
      <c r="D150" s="9">
        <f>운전실적_원본!C150</f>
        <v>236867</v>
      </c>
      <c r="E150" s="199">
        <f t="shared" si="634"/>
        <v>0</v>
      </c>
      <c r="F150" s="9">
        <f>운전실적_원본!D150</f>
        <v>230822</v>
      </c>
      <c r="G150" s="16">
        <f t="shared" si="635"/>
        <v>0</v>
      </c>
      <c r="H150" s="15">
        <f>운전실적_원본!E150</f>
        <v>14445</v>
      </c>
      <c r="I150" s="16">
        <f t="shared" si="636"/>
        <v>2</v>
      </c>
      <c r="J150" s="15">
        <f>운전실적_원본!E150</f>
        <v>14445</v>
      </c>
      <c r="K150" s="16">
        <f t="shared" si="636"/>
        <v>2</v>
      </c>
      <c r="L150" s="15">
        <f>운전실적_원본!G150</f>
        <v>3858</v>
      </c>
      <c r="M150" s="31">
        <f t="shared" ref="M150" si="876">IF(OR(LEN(L150)=0,L150=0),"",L150-L149)</f>
        <v>1</v>
      </c>
      <c r="N150" s="15">
        <f>운전실적_원본!H150</f>
        <v>15742</v>
      </c>
      <c r="O150" s="16">
        <f t="shared" ref="O150" si="877">IF(OR(LEN(N150)=0,N150=0),"",N150-N149)</f>
        <v>0</v>
      </c>
      <c r="P150" s="15">
        <f>운전실적_원본!I150</f>
        <v>272747</v>
      </c>
      <c r="Q150" s="16">
        <f t="shared" ref="Q150" si="878">IF(OR(LEN(P150)=0,P150=0),"",P150-P149)</f>
        <v>16</v>
      </c>
      <c r="R150" s="18">
        <f>운전실적_원본!J150</f>
        <v>32.31</v>
      </c>
      <c r="S150" s="19">
        <f t="shared" ref="S150" si="879">IF(OR(LEN(R150)=0,R150=0),"",R150-R149)</f>
        <v>2.0000000000003126E-2</v>
      </c>
      <c r="T150" s="18">
        <f>운전실적_원본!K150</f>
        <v>31.7</v>
      </c>
      <c r="U150" s="19">
        <f t="shared" si="641"/>
        <v>9.9999999999980105E-3</v>
      </c>
      <c r="V150" s="12">
        <f>운전실적_원본!L150</f>
        <v>0</v>
      </c>
      <c r="W150" s="16" t="str">
        <f t="shared" ref="W150" si="880">IF(OR(LEN(V150)=0,V150=0),"",V150-V149)</f>
        <v/>
      </c>
      <c r="X150" s="10">
        <f>운전실적_원본!M150</f>
        <v>0</v>
      </c>
      <c r="Y150" s="10">
        <f>운전실적_원본!N150</f>
        <v>0</v>
      </c>
      <c r="Z150" s="10">
        <f>운전실적_원본!O150</f>
        <v>0</v>
      </c>
      <c r="AA150" s="10">
        <f>운전실적_원본!P150</f>
        <v>0</v>
      </c>
      <c r="AB150" s="10">
        <f>운전실적_원본!Q150</f>
        <v>0</v>
      </c>
      <c r="AC150" s="10">
        <f>운전실적_원본!R150</f>
        <v>0</v>
      </c>
      <c r="AD150" s="181">
        <f>운전실적_원본!S150</f>
        <v>0</v>
      </c>
      <c r="AE150" s="181">
        <f>운전실적_원본!T150</f>
        <v>0</v>
      </c>
      <c r="AF150" s="181">
        <f>운전실적_원본!U150</f>
        <v>0</v>
      </c>
      <c r="AG150" s="181">
        <f>운전실적_원본!V150</f>
        <v>0</v>
      </c>
      <c r="AH150" s="106">
        <f t="shared" si="795"/>
        <v>0</v>
      </c>
      <c r="AI150" s="107">
        <f t="shared" si="803"/>
        <v>0</v>
      </c>
      <c r="AJ150" s="107">
        <f t="shared" si="804"/>
        <v>0</v>
      </c>
      <c r="AK150" s="204">
        <f t="shared" si="805"/>
        <v>0</v>
      </c>
      <c r="AL150" s="103"/>
      <c r="AM150" s="103"/>
      <c r="AN150" s="103"/>
      <c r="AO150" s="103"/>
      <c r="AP150" s="103"/>
      <c r="AQ150" s="105"/>
      <c r="AR150" s="103"/>
      <c r="AS150" s="103"/>
      <c r="AT150" s="101"/>
      <c r="AU150" s="101"/>
      <c r="AV150" s="101"/>
      <c r="AW150" s="101"/>
      <c r="AX150" s="32">
        <f>운전실적_원본!W150</f>
        <v>0</v>
      </c>
      <c r="AY150" s="198">
        <f>운전실적_원본!X150</f>
        <v>0</v>
      </c>
      <c r="AZ150" s="198">
        <f>운전실적_원본!Y150</f>
        <v>0</v>
      </c>
      <c r="BA150" s="198">
        <f>운전실적_원본!Z150</f>
        <v>0</v>
      </c>
      <c r="BB150" s="198">
        <f>운전실적_원본!AA150</f>
        <v>0</v>
      </c>
      <c r="BC150" s="198">
        <f>운전실적_원본!AB150</f>
        <v>0</v>
      </c>
      <c r="BD150" s="32" t="str">
        <f t="shared" si="788"/>
        <v>-</v>
      </c>
      <c r="BE150" s="11" t="str">
        <f t="shared" si="796"/>
        <v>-</v>
      </c>
      <c r="BF150" s="11">
        <f>운전실적_원본!AE150</f>
        <v>0</v>
      </c>
      <c r="BG150" s="31">
        <f t="shared" si="789"/>
        <v>0</v>
      </c>
    </row>
    <row r="151" spans="1:59">
      <c r="A151" s="6">
        <f t="shared" si="797"/>
        <v>45803</v>
      </c>
      <c r="B151" s="15">
        <f>운전실적_원본!B151</f>
        <v>6583</v>
      </c>
      <c r="C151" s="16">
        <f t="shared" si="633"/>
        <v>0</v>
      </c>
      <c r="D151" s="9">
        <f>운전실적_원본!C151</f>
        <v>236917</v>
      </c>
      <c r="E151" s="199">
        <f t="shared" si="634"/>
        <v>50</v>
      </c>
      <c r="F151" s="9">
        <f>운전실적_원본!D151</f>
        <v>230822</v>
      </c>
      <c r="G151" s="16">
        <f t="shared" si="635"/>
        <v>0</v>
      </c>
      <c r="H151" s="15">
        <f>운전실적_원본!E151</f>
        <v>14450</v>
      </c>
      <c r="I151" s="16">
        <f t="shared" si="636"/>
        <v>5</v>
      </c>
      <c r="J151" s="15">
        <f>운전실적_원본!E151</f>
        <v>14450</v>
      </c>
      <c r="K151" s="16">
        <f t="shared" si="636"/>
        <v>5</v>
      </c>
      <c r="L151" s="15">
        <f>운전실적_원본!G151</f>
        <v>3859</v>
      </c>
      <c r="M151" s="31">
        <f t="shared" ref="M151" si="881">IF(OR(LEN(L151)=0,L151=0),"",L151-L150)</f>
        <v>1</v>
      </c>
      <c r="N151" s="15">
        <f>운전실적_원본!H151</f>
        <v>15775</v>
      </c>
      <c r="O151" s="16">
        <f t="shared" ref="O151" si="882">IF(OR(LEN(N151)=0,N151=0),"",N151-N150)</f>
        <v>33</v>
      </c>
      <c r="P151" s="15">
        <f>운전실적_원본!I151</f>
        <v>272847</v>
      </c>
      <c r="Q151" s="16">
        <f t="shared" ref="Q151" si="883">IF(OR(LEN(P151)=0,P151=0),"",P151-P150)</f>
        <v>100</v>
      </c>
      <c r="R151" s="18">
        <f>운전실적_원본!J151</f>
        <v>32.14</v>
      </c>
      <c r="S151" s="19">
        <f t="shared" ref="S151" si="884">IF(OR(LEN(R151)=0,R151=0),"",R151-R150)</f>
        <v>-0.17000000000000171</v>
      </c>
      <c r="T151" s="18">
        <f>운전실적_원본!K151</f>
        <v>31.69</v>
      </c>
      <c r="U151" s="19">
        <f t="shared" si="641"/>
        <v>-9.9999999999980105E-3</v>
      </c>
      <c r="V151" s="12">
        <f>운전실적_원본!L151</f>
        <v>0</v>
      </c>
      <c r="W151" s="16" t="str">
        <f t="shared" ref="W151" si="885">IF(OR(LEN(V151)=0,V151=0),"",V151-V150)</f>
        <v/>
      </c>
      <c r="X151" s="10">
        <f>운전실적_원본!M151</f>
        <v>0</v>
      </c>
      <c r="Y151" s="10">
        <f>운전실적_원본!N151</f>
        <v>0</v>
      </c>
      <c r="Z151" s="10">
        <f>운전실적_원본!O151</f>
        <v>0</v>
      </c>
      <c r="AA151" s="10">
        <f>운전실적_원본!P151</f>
        <v>0</v>
      </c>
      <c r="AB151" s="10">
        <f>운전실적_원본!Q151</f>
        <v>0</v>
      </c>
      <c r="AC151" s="10">
        <f>운전실적_원본!R151</f>
        <v>0</v>
      </c>
      <c r="AD151" s="181">
        <f>운전실적_원본!S151</f>
        <v>0</v>
      </c>
      <c r="AE151" s="181">
        <f>운전실적_원본!T151</f>
        <v>0</v>
      </c>
      <c r="AF151" s="181">
        <f>운전실적_원본!U151</f>
        <v>0</v>
      </c>
      <c r="AG151" s="181">
        <f>운전실적_원본!V151</f>
        <v>0</v>
      </c>
      <c r="AH151" s="106">
        <f t="shared" si="795"/>
        <v>0</v>
      </c>
      <c r="AI151" s="107">
        <f t="shared" si="803"/>
        <v>0</v>
      </c>
      <c r="AJ151" s="107">
        <f t="shared" si="804"/>
        <v>0</v>
      </c>
      <c r="AK151" s="204">
        <f t="shared" si="805"/>
        <v>0</v>
      </c>
      <c r="AL151" s="103"/>
      <c r="AM151" s="103"/>
      <c r="AN151" s="103"/>
      <c r="AO151" s="103"/>
      <c r="AP151" s="103"/>
      <c r="AQ151" s="105"/>
      <c r="AR151" s="103"/>
      <c r="AS151" s="103"/>
      <c r="AT151" s="101"/>
      <c r="AU151" s="101"/>
      <c r="AV151" s="101"/>
      <c r="AW151" s="101"/>
      <c r="AX151" s="32">
        <f>운전실적_원본!W151</f>
        <v>0</v>
      </c>
      <c r="AY151" s="198">
        <f>운전실적_원본!X151</f>
        <v>0</v>
      </c>
      <c r="AZ151" s="198">
        <f>운전실적_원본!Y151</f>
        <v>0</v>
      </c>
      <c r="BA151" s="198">
        <f>운전실적_원본!Z151</f>
        <v>0</v>
      </c>
      <c r="BB151" s="198">
        <f>운전실적_원본!AA151</f>
        <v>0</v>
      </c>
      <c r="BC151" s="198">
        <f>운전실적_원본!AB151</f>
        <v>0</v>
      </c>
      <c r="BD151" s="32" t="str">
        <f t="shared" si="788"/>
        <v>-</v>
      </c>
      <c r="BE151" s="11" t="str">
        <f t="shared" si="796"/>
        <v>-</v>
      </c>
      <c r="BF151" s="11">
        <f>운전실적_원본!AE151</f>
        <v>0</v>
      </c>
      <c r="BG151" s="31">
        <f t="shared" si="789"/>
        <v>0</v>
      </c>
    </row>
    <row r="152" spans="1:59">
      <c r="A152" s="6">
        <f t="shared" si="797"/>
        <v>45804</v>
      </c>
      <c r="B152" s="15">
        <f>운전실적_원본!B152</f>
        <v>6583</v>
      </c>
      <c r="C152" s="16">
        <f t="shared" si="633"/>
        <v>0</v>
      </c>
      <c r="D152" s="9">
        <f>운전실적_원본!C152</f>
        <v>236958</v>
      </c>
      <c r="E152" s="199">
        <f t="shared" si="634"/>
        <v>41</v>
      </c>
      <c r="F152" s="9">
        <f>운전실적_원본!D152</f>
        <v>230822</v>
      </c>
      <c r="G152" s="16">
        <f t="shared" si="635"/>
        <v>0</v>
      </c>
      <c r="H152" s="15">
        <f>운전실적_원본!E152</f>
        <v>14456</v>
      </c>
      <c r="I152" s="16">
        <f t="shared" si="636"/>
        <v>6</v>
      </c>
      <c r="J152" s="15">
        <f>운전실적_원본!E152</f>
        <v>14456</v>
      </c>
      <c r="K152" s="16">
        <f t="shared" si="636"/>
        <v>6</v>
      </c>
      <c r="L152" s="15">
        <f>운전실적_원본!G152</f>
        <v>3859</v>
      </c>
      <c r="M152" s="31">
        <f t="shared" ref="M152" si="886">IF(OR(LEN(L152)=0,L152=0),"",L152-L151)</f>
        <v>0</v>
      </c>
      <c r="N152" s="15">
        <f>운전실적_원본!H152</f>
        <v>15823</v>
      </c>
      <c r="O152" s="16">
        <f t="shared" ref="O152" si="887">IF(OR(LEN(N152)=0,N152=0),"",N152-N151)</f>
        <v>48</v>
      </c>
      <c r="P152" s="15">
        <f>운전실적_원본!I152</f>
        <v>272909</v>
      </c>
      <c r="Q152" s="16">
        <f t="shared" ref="Q152" si="888">IF(OR(LEN(P152)=0,P152=0),"",P152-P151)</f>
        <v>62</v>
      </c>
      <c r="R152" s="18">
        <f>운전실적_원본!J152</f>
        <v>32.15</v>
      </c>
      <c r="S152" s="19">
        <f t="shared" ref="S152" si="889">IF(OR(LEN(R152)=0,R152=0),"",R152-R151)</f>
        <v>9.9999999999980105E-3</v>
      </c>
      <c r="T152" s="18">
        <f>운전실적_원본!K152</f>
        <v>31.67</v>
      </c>
      <c r="U152" s="19">
        <f t="shared" si="641"/>
        <v>-1.9999999999999574E-2</v>
      </c>
      <c r="V152" s="12">
        <f>운전실적_원본!L152</f>
        <v>0</v>
      </c>
      <c r="W152" s="16" t="str">
        <f t="shared" ref="W152" si="890">IF(OR(LEN(V152)=0,V152=0),"",V152-V151)</f>
        <v/>
      </c>
      <c r="X152" s="10">
        <f>운전실적_원본!M152</f>
        <v>0</v>
      </c>
      <c r="Y152" s="10">
        <f>운전실적_원본!N152</f>
        <v>0</v>
      </c>
      <c r="Z152" s="10">
        <f>운전실적_원본!O152</f>
        <v>0</v>
      </c>
      <c r="AA152" s="10">
        <f>운전실적_원본!P152</f>
        <v>0</v>
      </c>
      <c r="AB152" s="10">
        <f>운전실적_원본!Q152</f>
        <v>0</v>
      </c>
      <c r="AC152" s="10">
        <f>운전실적_원본!R152</f>
        <v>0</v>
      </c>
      <c r="AD152" s="181">
        <f>운전실적_원본!S152</f>
        <v>0</v>
      </c>
      <c r="AE152" s="181">
        <f>운전실적_원본!T152</f>
        <v>0</v>
      </c>
      <c r="AF152" s="181">
        <f>운전실적_원본!U152</f>
        <v>0</v>
      </c>
      <c r="AG152" s="181">
        <f>운전실적_원본!V152</f>
        <v>0</v>
      </c>
      <c r="AH152" s="106">
        <f t="shared" si="795"/>
        <v>0</v>
      </c>
      <c r="AI152" s="107">
        <f t="shared" si="803"/>
        <v>0</v>
      </c>
      <c r="AJ152" s="107">
        <f t="shared" si="804"/>
        <v>0</v>
      </c>
      <c r="AK152" s="204">
        <f t="shared" si="805"/>
        <v>0</v>
      </c>
      <c r="AL152" s="103"/>
      <c r="AM152" s="103"/>
      <c r="AN152" s="103"/>
      <c r="AO152" s="103"/>
      <c r="AP152" s="103"/>
      <c r="AQ152" s="105"/>
      <c r="AR152" s="103"/>
      <c r="AS152" s="103"/>
      <c r="AT152" s="101"/>
      <c r="AU152" s="101"/>
      <c r="AV152" s="101"/>
      <c r="AW152" s="101"/>
      <c r="AX152" s="32">
        <f>운전실적_원본!W152</f>
        <v>0</v>
      </c>
      <c r="AY152" s="198">
        <f>운전실적_원본!X152</f>
        <v>0</v>
      </c>
      <c r="AZ152" s="198">
        <f>운전실적_원본!Y152</f>
        <v>0</v>
      </c>
      <c r="BA152" s="198">
        <f>운전실적_원본!Z152</f>
        <v>0</v>
      </c>
      <c r="BB152" s="198">
        <f>운전실적_원본!AA152</f>
        <v>0</v>
      </c>
      <c r="BC152" s="198">
        <f>운전실적_원본!AB152</f>
        <v>0</v>
      </c>
      <c r="BD152" s="32" t="str">
        <f t="shared" si="788"/>
        <v>-</v>
      </c>
      <c r="BE152" s="11" t="str">
        <f t="shared" si="796"/>
        <v>-</v>
      </c>
      <c r="BF152" s="11">
        <f>운전실적_원본!AE152</f>
        <v>0</v>
      </c>
      <c r="BG152" s="31">
        <f t="shared" si="789"/>
        <v>0</v>
      </c>
    </row>
    <row r="153" spans="1:59">
      <c r="A153" s="6">
        <f t="shared" si="797"/>
        <v>45805</v>
      </c>
      <c r="B153" s="15">
        <f>운전실적_원본!B153</f>
        <v>6583</v>
      </c>
      <c r="C153" s="16">
        <f t="shared" si="633"/>
        <v>0</v>
      </c>
      <c r="D153" s="9">
        <f>운전실적_원본!C153</f>
        <v>236992</v>
      </c>
      <c r="E153" s="199">
        <f t="shared" si="634"/>
        <v>34</v>
      </c>
      <c r="F153" s="9">
        <f>운전실적_원본!D153</f>
        <v>230840</v>
      </c>
      <c r="G153" s="16">
        <f t="shared" si="635"/>
        <v>18</v>
      </c>
      <c r="H153" s="15">
        <f>운전실적_원본!E153</f>
        <v>14460</v>
      </c>
      <c r="I153" s="16">
        <f t="shared" si="636"/>
        <v>4</v>
      </c>
      <c r="J153" s="15">
        <f>운전실적_원본!E153</f>
        <v>14460</v>
      </c>
      <c r="K153" s="16">
        <f t="shared" si="636"/>
        <v>4</v>
      </c>
      <c r="L153" s="15">
        <f>운전실적_원본!G153</f>
        <v>3860</v>
      </c>
      <c r="M153" s="31">
        <f t="shared" ref="M153" si="891">IF(OR(LEN(L153)=0,L153=0),"",L153-L152)</f>
        <v>1</v>
      </c>
      <c r="N153" s="15">
        <f>운전실적_원본!H153</f>
        <v>15823</v>
      </c>
      <c r="O153" s="16">
        <f t="shared" ref="O153" si="892">IF(OR(LEN(N153)=0,N153=0),"",N153-N152)</f>
        <v>0</v>
      </c>
      <c r="P153" s="15">
        <f>운전실적_원본!I153</f>
        <v>273014</v>
      </c>
      <c r="Q153" s="16">
        <f t="shared" ref="Q153" si="893">IF(OR(LEN(P153)=0,P153=0),"",P153-P152)</f>
        <v>105</v>
      </c>
      <c r="R153" s="18">
        <f>운전실적_원본!J153</f>
        <v>32.200000000000003</v>
      </c>
      <c r="S153" s="19">
        <f t="shared" ref="S153" si="894">IF(OR(LEN(R153)=0,R153=0),"",R153-R152)</f>
        <v>5.0000000000004263E-2</v>
      </c>
      <c r="T153" s="18">
        <f>운전실적_원본!K153</f>
        <v>31.64</v>
      </c>
      <c r="U153" s="19">
        <f t="shared" si="641"/>
        <v>-3.0000000000001137E-2</v>
      </c>
      <c r="V153" s="12">
        <f>운전실적_원본!L153</f>
        <v>0</v>
      </c>
      <c r="W153" s="16" t="str">
        <f t="shared" ref="W153" si="895">IF(OR(LEN(V153)=0,V153=0),"",V153-V152)</f>
        <v/>
      </c>
      <c r="X153" s="10">
        <f>운전실적_원본!M153</f>
        <v>0</v>
      </c>
      <c r="Y153" s="10">
        <f>운전실적_원본!N153</f>
        <v>0</v>
      </c>
      <c r="Z153" s="10">
        <f>운전실적_원본!O153</f>
        <v>0</v>
      </c>
      <c r="AA153" s="10">
        <f>운전실적_원본!P153</f>
        <v>0</v>
      </c>
      <c r="AB153" s="10">
        <f>운전실적_원본!Q153</f>
        <v>0</v>
      </c>
      <c r="AC153" s="10">
        <f>운전실적_원본!R153</f>
        <v>0</v>
      </c>
      <c r="AD153" s="181">
        <f>운전실적_원본!S153</f>
        <v>0</v>
      </c>
      <c r="AE153" s="181">
        <f>운전실적_원본!T153</f>
        <v>0</v>
      </c>
      <c r="AF153" s="181">
        <f>운전실적_원본!U153</f>
        <v>0</v>
      </c>
      <c r="AG153" s="181">
        <f>운전실적_원본!V153</f>
        <v>0</v>
      </c>
      <c r="AH153" s="106">
        <f t="shared" si="795"/>
        <v>0</v>
      </c>
      <c r="AI153" s="107">
        <f t="shared" si="803"/>
        <v>0</v>
      </c>
      <c r="AJ153" s="107">
        <f t="shared" si="804"/>
        <v>0</v>
      </c>
      <c r="AK153" s="204">
        <f t="shared" si="805"/>
        <v>0</v>
      </c>
      <c r="AL153" s="103"/>
      <c r="AM153" s="103"/>
      <c r="AN153" s="103"/>
      <c r="AO153" s="103"/>
      <c r="AP153" s="103"/>
      <c r="AQ153" s="105"/>
      <c r="AR153" s="103"/>
      <c r="AS153" s="103"/>
      <c r="AT153" s="101"/>
      <c r="AU153" s="101"/>
      <c r="AV153" s="101"/>
      <c r="AW153" s="101"/>
      <c r="AX153" s="32">
        <f>운전실적_원본!W153</f>
        <v>0</v>
      </c>
      <c r="AY153" s="198">
        <f>운전실적_원본!X153</f>
        <v>0</v>
      </c>
      <c r="AZ153" s="198">
        <f>운전실적_원본!Y153</f>
        <v>0</v>
      </c>
      <c r="BA153" s="198">
        <f>운전실적_원본!Z153</f>
        <v>0</v>
      </c>
      <c r="BB153" s="198">
        <f>운전실적_원본!AA153</f>
        <v>0</v>
      </c>
      <c r="BC153" s="198">
        <f>운전실적_원본!AB153</f>
        <v>0</v>
      </c>
      <c r="BD153" s="32" t="str">
        <f t="shared" si="788"/>
        <v>-</v>
      </c>
      <c r="BE153" s="11" t="str">
        <f t="shared" si="796"/>
        <v>-</v>
      </c>
      <c r="BF153" s="11">
        <f>운전실적_원본!AE153</f>
        <v>0</v>
      </c>
      <c r="BG153" s="31">
        <f t="shared" si="789"/>
        <v>0</v>
      </c>
    </row>
    <row r="154" spans="1:59">
      <c r="A154" s="6">
        <f t="shared" si="797"/>
        <v>45806</v>
      </c>
      <c r="B154" s="15">
        <f>운전실적_원본!B154</f>
        <v>6583</v>
      </c>
      <c r="C154" s="16">
        <f t="shared" si="633"/>
        <v>0</v>
      </c>
      <c r="D154" s="9">
        <f>운전실적_원본!C154</f>
        <v>236992</v>
      </c>
      <c r="E154" s="199">
        <f t="shared" si="634"/>
        <v>0</v>
      </c>
      <c r="F154" s="9">
        <f>운전실적_원본!D154</f>
        <v>230964</v>
      </c>
      <c r="G154" s="16">
        <f t="shared" si="635"/>
        <v>124</v>
      </c>
      <c r="H154" s="15">
        <f>운전실적_원본!E154</f>
        <v>14467</v>
      </c>
      <c r="I154" s="16">
        <f t="shared" si="636"/>
        <v>7</v>
      </c>
      <c r="J154" s="15">
        <f>운전실적_원본!E154</f>
        <v>14467</v>
      </c>
      <c r="K154" s="16">
        <f t="shared" si="636"/>
        <v>7</v>
      </c>
      <c r="L154" s="15">
        <f>운전실적_원본!G154</f>
        <v>3862</v>
      </c>
      <c r="M154" s="31">
        <f t="shared" ref="M154" si="896">IF(OR(LEN(L154)=0,L154=0),"",L154-L153)</f>
        <v>2</v>
      </c>
      <c r="N154" s="15">
        <f>운전실적_원본!H154</f>
        <v>15919</v>
      </c>
      <c r="O154" s="16">
        <f t="shared" ref="O154" si="897">IF(OR(LEN(N154)=0,N154=0),"",N154-N153)</f>
        <v>96</v>
      </c>
      <c r="P154" s="15">
        <f>운전실적_원본!I154</f>
        <v>273214</v>
      </c>
      <c r="Q154" s="16">
        <f t="shared" ref="Q154" si="898">IF(OR(LEN(P154)=0,P154=0),"",P154-P153)</f>
        <v>200</v>
      </c>
      <c r="R154" s="18">
        <f>운전실적_원본!J154</f>
        <v>32.24</v>
      </c>
      <c r="S154" s="19">
        <f t="shared" ref="S154" si="899">IF(OR(LEN(R154)=0,R154=0),"",R154-R153)</f>
        <v>3.9999999999999147E-2</v>
      </c>
      <c r="T154" s="18">
        <f>운전실적_원본!K154</f>
        <v>31.63</v>
      </c>
      <c r="U154" s="19">
        <f t="shared" si="641"/>
        <v>-1.0000000000001563E-2</v>
      </c>
      <c r="V154" s="12">
        <f>운전실적_원본!L154</f>
        <v>0</v>
      </c>
      <c r="W154" s="16" t="str">
        <f t="shared" ref="W154" si="900">IF(OR(LEN(V154)=0,V154=0),"",V154-V153)</f>
        <v/>
      </c>
      <c r="X154" s="10">
        <f>운전실적_원본!M154</f>
        <v>30.2</v>
      </c>
      <c r="Y154" s="10">
        <f>운전실적_원본!N154</f>
        <v>0</v>
      </c>
      <c r="Z154" s="10">
        <f>운전실적_원본!O154</f>
        <v>0</v>
      </c>
      <c r="AA154" s="10">
        <f>운전실적_원본!P154</f>
        <v>0</v>
      </c>
      <c r="AB154" s="10">
        <f>운전실적_원본!Q154</f>
        <v>0</v>
      </c>
      <c r="AC154" s="10">
        <f>운전실적_원본!R154</f>
        <v>0</v>
      </c>
      <c r="AD154" s="181">
        <f>운전실적_원본!S154</f>
        <v>0</v>
      </c>
      <c r="AE154" s="181">
        <f>운전실적_원본!T154</f>
        <v>0</v>
      </c>
      <c r="AF154" s="181">
        <f>운전실적_원본!U154</f>
        <v>0</v>
      </c>
      <c r="AG154" s="181">
        <f>운전실적_원본!V154</f>
        <v>0</v>
      </c>
      <c r="AH154" s="106">
        <f t="shared" si="795"/>
        <v>8.3333333430346102E-2</v>
      </c>
      <c r="AI154" s="107">
        <f t="shared" si="803"/>
        <v>0</v>
      </c>
      <c r="AJ154" s="107">
        <f t="shared" si="804"/>
        <v>0</v>
      </c>
      <c r="AK154" s="204">
        <f t="shared" si="805"/>
        <v>0</v>
      </c>
      <c r="AL154" s="103">
        <v>45806.805555555555</v>
      </c>
      <c r="AM154" s="103">
        <v>45806.809027777781</v>
      </c>
      <c r="AN154" s="103"/>
      <c r="AO154" s="103"/>
      <c r="AP154" s="103"/>
      <c r="AQ154" s="105"/>
      <c r="AR154" s="103"/>
      <c r="AS154" s="103"/>
      <c r="AT154" s="101"/>
      <c r="AU154" s="101"/>
      <c r="AV154" s="101"/>
      <c r="AW154" s="101"/>
      <c r="AX154" s="32">
        <f>운전실적_원본!W154</f>
        <v>0</v>
      </c>
      <c r="AY154" s="198">
        <f>운전실적_원본!X154</f>
        <v>0</v>
      </c>
      <c r="AZ154" s="198">
        <f>운전실적_원본!Y154</f>
        <v>0</v>
      </c>
      <c r="BA154" s="198">
        <f>운전실적_원본!Z154</f>
        <v>0</v>
      </c>
      <c r="BB154" s="198">
        <f>운전실적_원본!AA154</f>
        <v>0</v>
      </c>
      <c r="BC154" s="198">
        <f>운전실적_원본!AB154</f>
        <v>0</v>
      </c>
      <c r="BD154" s="32" t="str">
        <f t="shared" si="788"/>
        <v>-</v>
      </c>
      <c r="BE154" s="11" t="str">
        <f t="shared" si="796"/>
        <v>-</v>
      </c>
      <c r="BF154" s="11">
        <f>운전실적_원본!AE154</f>
        <v>0</v>
      </c>
      <c r="BG154" s="31">
        <f t="shared" si="789"/>
        <v>0</v>
      </c>
    </row>
    <row r="155" spans="1:59">
      <c r="A155" s="6">
        <f t="shared" si="797"/>
        <v>45807</v>
      </c>
      <c r="B155" s="15">
        <f>운전실적_원본!B155</f>
        <v>6601</v>
      </c>
      <c r="C155" s="16">
        <f t="shared" si="633"/>
        <v>18</v>
      </c>
      <c r="D155" s="9">
        <f>운전실적_원본!C155</f>
        <v>237090</v>
      </c>
      <c r="E155" s="199">
        <f t="shared" si="634"/>
        <v>98</v>
      </c>
      <c r="F155" s="9">
        <f>운전실적_원본!D155</f>
        <v>230987</v>
      </c>
      <c r="G155" s="16">
        <f t="shared" si="635"/>
        <v>23</v>
      </c>
      <c r="H155" s="15">
        <f>운전실적_원본!E155</f>
        <v>14474</v>
      </c>
      <c r="I155" s="16">
        <f t="shared" si="636"/>
        <v>7</v>
      </c>
      <c r="J155" s="15">
        <f>운전실적_원본!E155</f>
        <v>14474</v>
      </c>
      <c r="K155" s="16">
        <f t="shared" si="636"/>
        <v>7</v>
      </c>
      <c r="L155" s="15">
        <f>운전실적_원본!G155</f>
        <v>3863</v>
      </c>
      <c r="M155" s="31">
        <f t="shared" ref="M155" si="901">IF(OR(LEN(L155)=0,L155=0),"",L155-L154)</f>
        <v>1</v>
      </c>
      <c r="N155" s="15">
        <f>운전실적_원본!H155</f>
        <v>16041</v>
      </c>
      <c r="O155" s="16">
        <f t="shared" ref="O155" si="902">IF(OR(LEN(N155)=0,N155=0),"",N155-N154)</f>
        <v>122</v>
      </c>
      <c r="P155" s="15">
        <f>운전실적_원본!I155</f>
        <v>273434</v>
      </c>
      <c r="Q155" s="16">
        <f t="shared" ref="Q155" si="903">IF(OR(LEN(P155)=0,P155=0),"",P155-P154)</f>
        <v>220</v>
      </c>
      <c r="R155" s="18">
        <f>운전실적_원본!J155</f>
        <v>32.24</v>
      </c>
      <c r="S155" s="19">
        <f t="shared" ref="S155" si="904">IF(OR(LEN(R155)=0,R155=0),"",R155-R154)</f>
        <v>0</v>
      </c>
      <c r="T155" s="18">
        <f>운전실적_원본!K155</f>
        <v>31.76</v>
      </c>
      <c r="U155" s="19">
        <f t="shared" si="641"/>
        <v>0.13000000000000256</v>
      </c>
      <c r="V155" s="12">
        <f>운전실적_원본!L155</f>
        <v>0</v>
      </c>
      <c r="W155" s="16" t="str">
        <f t="shared" ref="W155" si="905">IF(OR(LEN(V155)=0,V155=0),"",V155-V154)</f>
        <v/>
      </c>
      <c r="X155" s="10">
        <f>운전실적_원본!M155</f>
        <v>14826.1</v>
      </c>
      <c r="Y155" s="10">
        <f>운전실적_원본!N155</f>
        <v>0</v>
      </c>
      <c r="Z155" s="10">
        <f>운전실적_원본!O155</f>
        <v>0</v>
      </c>
      <c r="AA155" s="10">
        <f>운전실적_원본!P155</f>
        <v>0</v>
      </c>
      <c r="AB155" s="10">
        <f>운전실적_원본!Q155</f>
        <v>0</v>
      </c>
      <c r="AC155" s="10">
        <f>운전실적_원본!R155</f>
        <v>0</v>
      </c>
      <c r="AD155" s="181">
        <f>운전실적_원본!S155</f>
        <v>14</v>
      </c>
      <c r="AE155" s="181">
        <f>운전실적_원본!T155</f>
        <v>0</v>
      </c>
      <c r="AF155" s="181">
        <f>운전실적_원본!U155</f>
        <v>0</v>
      </c>
      <c r="AG155" s="181">
        <f>운전실적_원본!V155</f>
        <v>0</v>
      </c>
      <c r="AH155" s="106">
        <f t="shared" si="795"/>
        <v>14.083333333313931</v>
      </c>
      <c r="AI155" s="107">
        <f t="shared" si="803"/>
        <v>0</v>
      </c>
      <c r="AJ155" s="107">
        <f t="shared" si="804"/>
        <v>0</v>
      </c>
      <c r="AK155" s="204">
        <f t="shared" si="805"/>
        <v>0</v>
      </c>
      <c r="AL155" s="103">
        <v>45807.145833333336</v>
      </c>
      <c r="AM155" s="103">
        <v>45807.732638888891</v>
      </c>
      <c r="AN155" s="103"/>
      <c r="AO155" s="103"/>
      <c r="AP155" s="103"/>
      <c r="AQ155" s="105"/>
      <c r="AR155" s="103"/>
      <c r="AS155" s="103"/>
      <c r="AT155" s="101"/>
      <c r="AU155" s="101"/>
      <c r="AV155" s="101"/>
      <c r="AW155" s="101"/>
      <c r="AX155" s="32">
        <f>운전실적_원본!W155</f>
        <v>80</v>
      </c>
      <c r="AY155" s="198">
        <f>운전실적_원본!X155</f>
        <v>0</v>
      </c>
      <c r="AZ155" s="198">
        <f>운전실적_원본!Y155</f>
        <v>0</v>
      </c>
      <c r="BA155" s="198">
        <f>운전실적_원본!Z155</f>
        <v>0</v>
      </c>
      <c r="BB155" s="198">
        <f>운전실적_원본!AA155</f>
        <v>0</v>
      </c>
      <c r="BC155" s="198">
        <f>운전실적_원본!AB155</f>
        <v>80</v>
      </c>
      <c r="BD155" s="32">
        <f t="shared" si="788"/>
        <v>5.7142857142857144</v>
      </c>
      <c r="BE155" s="11">
        <f t="shared" si="796"/>
        <v>0.11119450699135462</v>
      </c>
      <c r="BF155" s="11">
        <f>운전실적_원본!AE155</f>
        <v>0</v>
      </c>
      <c r="BG155" s="31">
        <f t="shared" si="789"/>
        <v>0</v>
      </c>
    </row>
    <row r="156" spans="1:59" s="197" customFormat="1">
      <c r="A156" s="205">
        <f t="shared" si="797"/>
        <v>45808</v>
      </c>
      <c r="B156" s="182">
        <f>운전실적_원본!B156</f>
        <v>6635</v>
      </c>
      <c r="C156" s="183">
        <f t="shared" si="633"/>
        <v>34</v>
      </c>
      <c r="D156" s="184">
        <f>운전실적_원본!C156</f>
        <v>237161</v>
      </c>
      <c r="E156" s="202">
        <f t="shared" si="634"/>
        <v>71</v>
      </c>
      <c r="F156" s="184">
        <f>운전실적_원본!D156</f>
        <v>231051</v>
      </c>
      <c r="G156" s="183">
        <f t="shared" si="635"/>
        <v>64</v>
      </c>
      <c r="H156" s="182">
        <f>운전실적_원본!E156</f>
        <v>14476</v>
      </c>
      <c r="I156" s="183">
        <f t="shared" si="636"/>
        <v>2</v>
      </c>
      <c r="J156" s="182">
        <f>운전실적_원본!E156</f>
        <v>14476</v>
      </c>
      <c r="K156" s="183">
        <f t="shared" si="636"/>
        <v>2</v>
      </c>
      <c r="L156" s="182">
        <f>운전실적_원본!G156</f>
        <v>3863</v>
      </c>
      <c r="M156" s="185">
        <f t="shared" ref="M156" si="906">IF(OR(LEN(L156)=0,L156=0),"",L156-L155)</f>
        <v>0</v>
      </c>
      <c r="N156" s="182">
        <f>운전실적_원본!H156</f>
        <v>16127</v>
      </c>
      <c r="O156" s="183">
        <f t="shared" ref="O156" si="907">IF(OR(LEN(N156)=0,N156=0),"",N156-N155)</f>
        <v>86</v>
      </c>
      <c r="P156" s="182">
        <f>운전실적_원본!I156</f>
        <v>273677</v>
      </c>
      <c r="Q156" s="183">
        <f t="shared" ref="Q156" si="908">IF(OR(LEN(P156)=0,P156=0),"",P156-P155)</f>
        <v>243</v>
      </c>
      <c r="R156" s="186">
        <f>운전실적_원본!J156</f>
        <v>32.119999999999997</v>
      </c>
      <c r="S156" s="187">
        <f t="shared" ref="S156" si="909">IF(OR(LEN(R156)=0,R156=0),"",R156-R155)</f>
        <v>-0.12000000000000455</v>
      </c>
      <c r="T156" s="186">
        <f>운전실적_원본!K156</f>
        <v>31.92</v>
      </c>
      <c r="U156" s="187">
        <f t="shared" si="641"/>
        <v>0.16000000000000014</v>
      </c>
      <c r="V156" s="184">
        <f>운전실적_원본!L156</f>
        <v>0</v>
      </c>
      <c r="W156" s="183" t="str">
        <f t="shared" ref="W156" si="910">IF(OR(LEN(V156)=0,V156=0),"",V156-V155)</f>
        <v/>
      </c>
      <c r="X156" s="188">
        <f>운전실적_원본!M156</f>
        <v>0</v>
      </c>
      <c r="Y156" s="188">
        <f>운전실적_원본!N156</f>
        <v>0</v>
      </c>
      <c r="Z156" s="188">
        <f>운전실적_원본!O156</f>
        <v>0</v>
      </c>
      <c r="AA156" s="188">
        <f>운전실적_원본!P156</f>
        <v>0</v>
      </c>
      <c r="AB156" s="188">
        <f>운전실적_원본!Q156</f>
        <v>0</v>
      </c>
      <c r="AC156" s="188">
        <f>운전실적_원본!R156</f>
        <v>0</v>
      </c>
      <c r="AD156" s="189">
        <f>운전실적_원본!S156</f>
        <v>0</v>
      </c>
      <c r="AE156" s="189">
        <f>운전실적_원본!T156</f>
        <v>0</v>
      </c>
      <c r="AF156" s="189">
        <f>운전실적_원본!U156</f>
        <v>0</v>
      </c>
      <c r="AG156" s="189">
        <f>운전실적_원본!V156</f>
        <v>0</v>
      </c>
      <c r="AH156" s="190">
        <f t="shared" si="795"/>
        <v>0</v>
      </c>
      <c r="AI156" s="191">
        <f t="shared" si="803"/>
        <v>0</v>
      </c>
      <c r="AJ156" s="191">
        <f t="shared" si="804"/>
        <v>0</v>
      </c>
      <c r="AK156" s="206">
        <f t="shared" si="805"/>
        <v>0</v>
      </c>
      <c r="AL156" s="192"/>
      <c r="AM156" s="192"/>
      <c r="AN156" s="192"/>
      <c r="AO156" s="192"/>
      <c r="AP156" s="192"/>
      <c r="AQ156" s="193"/>
      <c r="AR156" s="192"/>
      <c r="AS156" s="192"/>
      <c r="AT156" s="194"/>
      <c r="AU156" s="194"/>
      <c r="AV156" s="194"/>
      <c r="AW156" s="194"/>
      <c r="AX156" s="195">
        <f>운전실적_원본!W156</f>
        <v>0</v>
      </c>
      <c r="AY156" s="196">
        <f>운전실적_원본!X156</f>
        <v>0</v>
      </c>
      <c r="AZ156" s="196">
        <f>운전실적_원본!Y156</f>
        <v>0</v>
      </c>
      <c r="BA156" s="196">
        <f>운전실적_원본!Z156</f>
        <v>0</v>
      </c>
      <c r="BB156" s="196">
        <f>운전실적_원본!AA156</f>
        <v>0</v>
      </c>
      <c r="BC156" s="185">
        <f>운전실적_원본!AB156</f>
        <v>0</v>
      </c>
      <c r="BD156" s="195" t="str">
        <f t="shared" si="788"/>
        <v>-</v>
      </c>
      <c r="BE156" s="196" t="str">
        <f t="shared" si="796"/>
        <v>-</v>
      </c>
      <c r="BF156" s="196">
        <f>운전실적_원본!AE156</f>
        <v>0</v>
      </c>
      <c r="BG156" s="185">
        <f t="shared" si="789"/>
        <v>0</v>
      </c>
    </row>
    <row r="157" spans="1:59">
      <c r="A157" s="6">
        <f t="shared" si="797"/>
        <v>45809</v>
      </c>
      <c r="B157" s="15">
        <f>운전실적_원본!B157</f>
        <v>6652</v>
      </c>
      <c r="C157" s="16">
        <f t="shared" si="633"/>
        <v>17</v>
      </c>
      <c r="D157" s="9">
        <f>운전실적_원본!C157</f>
        <v>237161</v>
      </c>
      <c r="E157" s="199">
        <f t="shared" si="634"/>
        <v>0</v>
      </c>
      <c r="F157" s="9">
        <f>운전실적_원본!D157</f>
        <v>231112</v>
      </c>
      <c r="G157" s="16">
        <f t="shared" si="635"/>
        <v>61</v>
      </c>
      <c r="H157" s="15">
        <f>운전실적_원본!E157</f>
        <v>14479</v>
      </c>
      <c r="I157" s="16">
        <f t="shared" si="636"/>
        <v>3</v>
      </c>
      <c r="J157" s="15">
        <f>운전실적_원본!E157</f>
        <v>14479</v>
      </c>
      <c r="K157" s="16">
        <f t="shared" si="636"/>
        <v>3</v>
      </c>
      <c r="L157" s="15">
        <f>운전실적_원본!G157</f>
        <v>3863.8</v>
      </c>
      <c r="M157" s="31">
        <f t="shared" ref="M157" si="911">IF(OR(LEN(L157)=0,L157=0),"",L157-L156)</f>
        <v>0.8000000000001819</v>
      </c>
      <c r="N157" s="15">
        <f>운전실적_원본!H157</f>
        <v>16159</v>
      </c>
      <c r="O157" s="16">
        <f t="shared" ref="O157" si="912">IF(OR(LEN(N157)=0,N157=0),"",N157-N156)</f>
        <v>32</v>
      </c>
      <c r="P157" s="15">
        <f>운전실적_원본!I157</f>
        <v>273780</v>
      </c>
      <c r="Q157" s="16">
        <f t="shared" ref="Q157" si="913">IF(OR(LEN(P157)=0,P157=0),"",P157-P156)</f>
        <v>103</v>
      </c>
      <c r="R157" s="18">
        <f>운전실적_원본!J157</f>
        <v>32.04</v>
      </c>
      <c r="S157" s="19">
        <f t="shared" ref="S157" si="914">IF(OR(LEN(R157)=0,R157=0),"",R157-R156)</f>
        <v>-7.9999999999998295E-2</v>
      </c>
      <c r="T157" s="18">
        <f>운전실적_원본!K157</f>
        <v>32.04</v>
      </c>
      <c r="U157" s="19">
        <f t="shared" si="641"/>
        <v>0.11999999999999744</v>
      </c>
      <c r="V157" s="12">
        <f>운전실적_원본!L157</f>
        <v>0</v>
      </c>
      <c r="W157" s="16" t="str">
        <f t="shared" ref="W157" si="915">IF(OR(LEN(V157)=0,V157=0),"",V157-V156)</f>
        <v/>
      </c>
      <c r="X157" s="10">
        <f>운전실적_원본!M157</f>
        <v>0</v>
      </c>
      <c r="Y157" s="10">
        <f>운전실적_원본!N157</f>
        <v>0</v>
      </c>
      <c r="Z157" s="10">
        <f>운전실적_원본!O157</f>
        <v>0</v>
      </c>
      <c r="AA157" s="10">
        <f>운전실적_원본!P157</f>
        <v>0</v>
      </c>
      <c r="AB157" s="10">
        <f>운전실적_원본!Q157</f>
        <v>0</v>
      </c>
      <c r="AC157" s="10">
        <f>운전실적_원본!R157</f>
        <v>0</v>
      </c>
      <c r="AD157" s="181">
        <f>운전실적_원본!S157</f>
        <v>0</v>
      </c>
      <c r="AE157" s="181">
        <f>운전실적_원본!T157</f>
        <v>0</v>
      </c>
      <c r="AF157" s="181">
        <f>운전실적_원본!U157</f>
        <v>0</v>
      </c>
      <c r="AG157" s="181">
        <f>운전실적_원본!V157</f>
        <v>0</v>
      </c>
      <c r="AH157" s="106">
        <f t="shared" si="795"/>
        <v>0</v>
      </c>
      <c r="AI157" s="107">
        <f t="shared" si="803"/>
        <v>0</v>
      </c>
      <c r="AJ157" s="107">
        <f t="shared" si="804"/>
        <v>0</v>
      </c>
      <c r="AK157" s="204">
        <f t="shared" si="805"/>
        <v>0</v>
      </c>
      <c r="AL157" s="103"/>
      <c r="AM157" s="103"/>
      <c r="AN157" s="103"/>
      <c r="AO157" s="103"/>
      <c r="AP157" s="103"/>
      <c r="AQ157" s="105"/>
      <c r="AR157" s="103"/>
      <c r="AS157" s="103"/>
      <c r="AT157" s="101"/>
      <c r="AU157" s="101"/>
      <c r="AV157" s="101"/>
      <c r="AW157" s="101"/>
      <c r="AX157" s="32">
        <f>운전실적_원본!W157</f>
        <v>0</v>
      </c>
      <c r="AY157" s="198">
        <f>운전실적_원본!X157</f>
        <v>0</v>
      </c>
      <c r="AZ157" s="198">
        <f>운전실적_원본!Y157</f>
        <v>0</v>
      </c>
      <c r="BA157" s="198">
        <f>운전실적_원본!Z157</f>
        <v>0</v>
      </c>
      <c r="BB157" s="198">
        <f>운전실적_원본!AA157</f>
        <v>0</v>
      </c>
      <c r="BC157" s="198">
        <f>운전실적_원본!AB157</f>
        <v>0</v>
      </c>
      <c r="BD157" s="32" t="str">
        <f t="shared" si="788"/>
        <v>-</v>
      </c>
      <c r="BE157" s="11" t="str">
        <f t="shared" si="796"/>
        <v>-</v>
      </c>
      <c r="BF157" s="11">
        <f>운전실적_원본!AE157</f>
        <v>0</v>
      </c>
      <c r="BG157" s="31">
        <f t="shared" si="789"/>
        <v>0</v>
      </c>
    </row>
    <row r="158" spans="1:59">
      <c r="A158" s="6">
        <f t="shared" si="797"/>
        <v>45810</v>
      </c>
      <c r="B158" s="15">
        <f>운전실적_원본!B158</f>
        <v>6672</v>
      </c>
      <c r="C158" s="16">
        <f t="shared" si="633"/>
        <v>20</v>
      </c>
      <c r="D158" s="9">
        <f>운전실적_원본!C158</f>
        <v>237253</v>
      </c>
      <c r="E158" s="199">
        <f t="shared" si="634"/>
        <v>92</v>
      </c>
      <c r="F158" s="9">
        <f>운전실적_원본!D158</f>
        <v>231167</v>
      </c>
      <c r="G158" s="16">
        <f t="shared" si="635"/>
        <v>55</v>
      </c>
      <c r="H158" s="15">
        <f>운전실적_원본!E158</f>
        <v>14483</v>
      </c>
      <c r="I158" s="16">
        <f t="shared" si="636"/>
        <v>4</v>
      </c>
      <c r="J158" s="15">
        <f>운전실적_원본!E158</f>
        <v>14483</v>
      </c>
      <c r="K158" s="16">
        <f t="shared" si="636"/>
        <v>4</v>
      </c>
      <c r="L158" s="15">
        <f>운전실적_원본!G158</f>
        <v>3864.7</v>
      </c>
      <c r="M158" s="31">
        <f t="shared" ref="M158" si="916">IF(OR(LEN(L158)=0,L158=0),"",L158-L157)</f>
        <v>0.8999999999996362</v>
      </c>
      <c r="N158" s="15">
        <f>운전실적_원본!H158</f>
        <v>16273</v>
      </c>
      <c r="O158" s="16">
        <f t="shared" ref="O158" si="917">IF(OR(LEN(N158)=0,N158=0),"",N158-N157)</f>
        <v>114</v>
      </c>
      <c r="P158" s="15">
        <f>운전실적_원본!I158</f>
        <v>274045</v>
      </c>
      <c r="Q158" s="16">
        <f t="shared" ref="Q158" si="918">IF(OR(LEN(P158)=0,P158=0),"",P158-P157)</f>
        <v>265</v>
      </c>
      <c r="R158" s="18">
        <f>운전실적_원본!J158</f>
        <v>32.18</v>
      </c>
      <c r="S158" s="19">
        <f t="shared" ref="S158" si="919">IF(OR(LEN(R158)=0,R158=0),"",R158-R157)</f>
        <v>0.14000000000000057</v>
      </c>
      <c r="T158" s="18">
        <f>운전실적_원본!K158</f>
        <v>32.18</v>
      </c>
      <c r="U158" s="19">
        <f t="shared" si="641"/>
        <v>0.14000000000000057</v>
      </c>
      <c r="V158" s="12">
        <f>운전실적_원본!L158</f>
        <v>0</v>
      </c>
      <c r="W158" s="16" t="str">
        <f t="shared" ref="W158" si="920">IF(OR(LEN(V158)=0,V158=0),"",V158-V157)</f>
        <v/>
      </c>
      <c r="X158" s="10">
        <f>운전실적_원본!M158</f>
        <v>0</v>
      </c>
      <c r="Y158" s="10">
        <f>운전실적_원본!N158</f>
        <v>0</v>
      </c>
      <c r="Z158" s="10">
        <f>운전실적_원본!O158</f>
        <v>0</v>
      </c>
      <c r="AA158" s="10">
        <f>운전실적_원본!P158</f>
        <v>0</v>
      </c>
      <c r="AB158" s="10">
        <f>운전실적_원본!Q158</f>
        <v>0</v>
      </c>
      <c r="AC158" s="10">
        <f>운전실적_원본!R158</f>
        <v>0</v>
      </c>
      <c r="AD158" s="181">
        <f>운전실적_원본!S158</f>
        <v>0</v>
      </c>
      <c r="AE158" s="181">
        <f>운전실적_원본!T158</f>
        <v>0</v>
      </c>
      <c r="AF158" s="181">
        <f>운전실적_원본!U158</f>
        <v>0</v>
      </c>
      <c r="AG158" s="181">
        <f>운전실적_원본!V158</f>
        <v>0</v>
      </c>
      <c r="AH158" s="106">
        <f t="shared" si="795"/>
        <v>0</v>
      </c>
      <c r="AI158" s="107">
        <f t="shared" si="803"/>
        <v>0</v>
      </c>
      <c r="AJ158" s="107">
        <f t="shared" si="804"/>
        <v>0</v>
      </c>
      <c r="AK158" s="204">
        <f t="shared" si="805"/>
        <v>0</v>
      </c>
      <c r="AL158" s="103"/>
      <c r="AM158" s="103"/>
      <c r="AN158" s="103"/>
      <c r="AO158" s="103"/>
      <c r="AP158" s="103"/>
      <c r="AQ158" s="105"/>
      <c r="AR158" s="103"/>
      <c r="AS158" s="103"/>
      <c r="AT158" s="101"/>
      <c r="AU158" s="101"/>
      <c r="AV158" s="101"/>
      <c r="AW158" s="101"/>
      <c r="AX158" s="32">
        <f>운전실적_원본!W158</f>
        <v>0</v>
      </c>
      <c r="AY158" s="198">
        <f>운전실적_원본!X158</f>
        <v>0</v>
      </c>
      <c r="AZ158" s="198">
        <f>운전실적_원본!Y158</f>
        <v>0</v>
      </c>
      <c r="BA158" s="198">
        <f>운전실적_원본!Z158</f>
        <v>0</v>
      </c>
      <c r="BB158" s="198">
        <f>운전실적_원본!AA158</f>
        <v>0</v>
      </c>
      <c r="BC158" s="198">
        <f>운전실적_원본!AB158</f>
        <v>0</v>
      </c>
      <c r="BD158" s="32" t="str">
        <f t="shared" si="788"/>
        <v>-</v>
      </c>
      <c r="BE158" s="11" t="str">
        <f t="shared" si="796"/>
        <v>-</v>
      </c>
      <c r="BF158" s="11">
        <f>운전실적_원본!AE158</f>
        <v>0</v>
      </c>
      <c r="BG158" s="31">
        <f t="shared" si="789"/>
        <v>0</v>
      </c>
    </row>
    <row r="159" spans="1:59">
      <c r="A159" s="6">
        <f t="shared" si="797"/>
        <v>45811</v>
      </c>
      <c r="B159" s="15">
        <f>운전실적_원본!B159</f>
        <v>6709</v>
      </c>
      <c r="C159" s="16">
        <f t="shared" si="633"/>
        <v>37</v>
      </c>
      <c r="D159" s="9">
        <f>운전실적_원본!C159</f>
        <v>237332</v>
      </c>
      <c r="E159" s="199">
        <f t="shared" si="634"/>
        <v>79</v>
      </c>
      <c r="F159" s="9">
        <f>운전실적_원본!D159</f>
        <v>231299</v>
      </c>
      <c r="G159" s="16">
        <f t="shared" si="635"/>
        <v>132</v>
      </c>
      <c r="H159" s="15">
        <f>운전실적_원본!E159</f>
        <v>14486</v>
      </c>
      <c r="I159" s="16">
        <f t="shared" si="636"/>
        <v>3</v>
      </c>
      <c r="J159" s="15">
        <f>운전실적_원본!E159</f>
        <v>14486</v>
      </c>
      <c r="K159" s="16">
        <f t="shared" si="636"/>
        <v>3</v>
      </c>
      <c r="L159" s="15">
        <f>운전실적_원본!G159</f>
        <v>3865.2</v>
      </c>
      <c r="M159" s="31">
        <f t="shared" ref="M159" si="921">IF(OR(LEN(L159)=0,L159=0),"",L159-L158)</f>
        <v>0.5</v>
      </c>
      <c r="N159" s="15">
        <f>운전실적_원본!H159</f>
        <v>16378</v>
      </c>
      <c r="O159" s="16">
        <f t="shared" ref="O159" si="922">IF(OR(LEN(N159)=0,N159=0),"",N159-N158)</f>
        <v>105</v>
      </c>
      <c r="P159" s="15">
        <f>운전실적_원본!I159</f>
        <v>274349</v>
      </c>
      <c r="Q159" s="16">
        <f t="shared" ref="Q159" si="923">IF(OR(LEN(P159)=0,P159=0),"",P159-P158)</f>
        <v>304</v>
      </c>
      <c r="R159" s="18">
        <f>운전실적_원본!J159</f>
        <v>32.4</v>
      </c>
      <c r="S159" s="19">
        <f t="shared" ref="S159" si="924">IF(OR(LEN(R159)=0,R159=0),"",R159-R158)</f>
        <v>0.21999999999999886</v>
      </c>
      <c r="T159" s="18">
        <f>운전실적_원본!K159</f>
        <v>32.4</v>
      </c>
      <c r="U159" s="19">
        <f t="shared" si="641"/>
        <v>0.21999999999999886</v>
      </c>
      <c r="V159" s="12">
        <f>운전실적_원본!L159</f>
        <v>0</v>
      </c>
      <c r="W159" s="16" t="str">
        <f t="shared" ref="W159" si="925">IF(OR(LEN(V159)=0,V159=0),"",V159-V158)</f>
        <v/>
      </c>
      <c r="X159" s="10">
        <f>운전실적_원본!M159</f>
        <v>0</v>
      </c>
      <c r="Y159" s="10">
        <f>운전실적_원본!N159</f>
        <v>0</v>
      </c>
      <c r="Z159" s="10">
        <f>운전실적_원본!O159</f>
        <v>0</v>
      </c>
      <c r="AA159" s="10">
        <f>운전실적_원본!P159</f>
        <v>0</v>
      </c>
      <c r="AB159" s="10">
        <f>운전실적_원본!Q159</f>
        <v>0</v>
      </c>
      <c r="AC159" s="10">
        <f>운전실적_원본!R159</f>
        <v>0</v>
      </c>
      <c r="AD159" s="181">
        <f>운전실적_원본!S159</f>
        <v>0</v>
      </c>
      <c r="AE159" s="181">
        <f>운전실적_원본!T159</f>
        <v>0</v>
      </c>
      <c r="AF159" s="181">
        <f>운전실적_원본!U159</f>
        <v>0</v>
      </c>
      <c r="AG159" s="181">
        <f>운전실적_원본!V159</f>
        <v>0</v>
      </c>
      <c r="AH159" s="106">
        <f t="shared" si="795"/>
        <v>0</v>
      </c>
      <c r="AI159" s="107">
        <f t="shared" si="803"/>
        <v>0</v>
      </c>
      <c r="AJ159" s="107">
        <f t="shared" si="804"/>
        <v>0</v>
      </c>
      <c r="AK159" s="204">
        <f t="shared" si="805"/>
        <v>0</v>
      </c>
      <c r="AL159" s="103"/>
      <c r="AM159" s="103"/>
      <c r="AN159" s="103"/>
      <c r="AO159" s="103"/>
      <c r="AP159" s="103"/>
      <c r="AQ159" s="105"/>
      <c r="AR159" s="103"/>
      <c r="AS159" s="103"/>
      <c r="AT159" s="101"/>
      <c r="AU159" s="101"/>
      <c r="AV159" s="101"/>
      <c r="AW159" s="101"/>
      <c r="AX159" s="32">
        <f>운전실적_원본!W159</f>
        <v>0</v>
      </c>
      <c r="AY159" s="198">
        <f>운전실적_원본!X159</f>
        <v>0</v>
      </c>
      <c r="AZ159" s="198">
        <f>운전실적_원본!Y159</f>
        <v>0</v>
      </c>
      <c r="BA159" s="198">
        <f>운전실적_원본!Z159</f>
        <v>0</v>
      </c>
      <c r="BB159" s="198">
        <f>운전실적_원본!AA159</f>
        <v>0</v>
      </c>
      <c r="BC159" s="198">
        <f>운전실적_원본!AB159</f>
        <v>0</v>
      </c>
      <c r="BD159" s="32" t="str">
        <f t="shared" si="788"/>
        <v>-</v>
      </c>
      <c r="BE159" s="11" t="str">
        <f t="shared" si="796"/>
        <v>-</v>
      </c>
      <c r="BF159" s="11">
        <f>운전실적_원본!AE159</f>
        <v>0</v>
      </c>
      <c r="BG159" s="31">
        <f t="shared" si="789"/>
        <v>0</v>
      </c>
    </row>
    <row r="160" spans="1:59">
      <c r="A160" s="6">
        <f t="shared" si="797"/>
        <v>45812</v>
      </c>
      <c r="B160" s="15">
        <f>운전실적_원본!B160</f>
        <v>6731</v>
      </c>
      <c r="C160" s="16">
        <f t="shared" si="633"/>
        <v>22</v>
      </c>
      <c r="D160" s="9">
        <f>운전실적_원본!C160</f>
        <v>237434</v>
      </c>
      <c r="E160" s="199">
        <f t="shared" si="634"/>
        <v>102</v>
      </c>
      <c r="F160" s="9">
        <f>운전실적_원본!D160</f>
        <v>231341</v>
      </c>
      <c r="G160" s="16">
        <f t="shared" si="635"/>
        <v>42</v>
      </c>
      <c r="H160" s="15">
        <f>운전실적_원본!E160</f>
        <v>14488</v>
      </c>
      <c r="I160" s="16">
        <f t="shared" si="636"/>
        <v>2</v>
      </c>
      <c r="J160" s="15">
        <f>운전실적_원본!E160</f>
        <v>14488</v>
      </c>
      <c r="K160" s="16">
        <f t="shared" si="636"/>
        <v>2</v>
      </c>
      <c r="L160" s="15">
        <f>운전실적_원본!G160</f>
        <v>3866.1</v>
      </c>
      <c r="M160" s="31">
        <f t="shared" ref="M160" si="926">IF(OR(LEN(L160)=0,L160=0),"",L160-L159)</f>
        <v>0.90000000000009095</v>
      </c>
      <c r="N160" s="15">
        <f>운전실적_원본!H160</f>
        <v>16491</v>
      </c>
      <c r="O160" s="16">
        <f t="shared" ref="O160" si="927">IF(OR(LEN(N160)=0,N160=0),"",N160-N159)</f>
        <v>113</v>
      </c>
      <c r="P160" s="15">
        <f>운전실적_원본!I160</f>
        <v>274596</v>
      </c>
      <c r="Q160" s="16">
        <f t="shared" ref="Q160" si="928">IF(OR(LEN(P160)=0,P160=0),"",P160-P159)</f>
        <v>247</v>
      </c>
      <c r="R160" s="18">
        <f>운전실적_원본!J160</f>
        <v>32.6</v>
      </c>
      <c r="S160" s="19">
        <f t="shared" ref="S160" si="929">IF(OR(LEN(R160)=0,R160=0),"",R160-R159)</f>
        <v>0.20000000000000284</v>
      </c>
      <c r="T160" s="18">
        <f>운전실적_원본!K160</f>
        <v>32.6</v>
      </c>
      <c r="U160" s="19">
        <f t="shared" si="641"/>
        <v>0.20000000000000284</v>
      </c>
      <c r="V160" s="12">
        <f>운전실적_원본!L160</f>
        <v>0</v>
      </c>
      <c r="W160" s="16" t="str">
        <f t="shared" ref="W160" si="930">IF(OR(LEN(V160)=0,V160=0),"",V160-V159)</f>
        <v/>
      </c>
      <c r="X160" s="10">
        <f>운전실적_원본!M160</f>
        <v>0</v>
      </c>
      <c r="Y160" s="10">
        <f>운전실적_원본!N160</f>
        <v>0</v>
      </c>
      <c r="Z160" s="10">
        <f>운전실적_원본!O160</f>
        <v>0</v>
      </c>
      <c r="AA160" s="10">
        <f>운전실적_원본!P160</f>
        <v>0</v>
      </c>
      <c r="AB160" s="10">
        <f>운전실적_원본!Q160</f>
        <v>0</v>
      </c>
      <c r="AC160" s="10">
        <f>운전실적_원본!R160</f>
        <v>0</v>
      </c>
      <c r="AD160" s="181">
        <f>운전실적_원본!S160</f>
        <v>0</v>
      </c>
      <c r="AE160" s="181">
        <f>운전실적_원본!T160</f>
        <v>0</v>
      </c>
      <c r="AF160" s="181">
        <f>운전실적_원본!U160</f>
        <v>0</v>
      </c>
      <c r="AG160" s="181">
        <f>운전실적_원본!V160</f>
        <v>0</v>
      </c>
      <c r="AH160" s="106">
        <f t="shared" si="795"/>
        <v>0</v>
      </c>
      <c r="AI160" s="107">
        <f t="shared" si="803"/>
        <v>0</v>
      </c>
      <c r="AJ160" s="107">
        <f t="shared" si="804"/>
        <v>0</v>
      </c>
      <c r="AK160" s="204">
        <f t="shared" si="805"/>
        <v>0</v>
      </c>
      <c r="AL160" s="103"/>
      <c r="AM160" s="103"/>
      <c r="AN160" s="103"/>
      <c r="AO160" s="103"/>
      <c r="AP160" s="103"/>
      <c r="AQ160" s="105"/>
      <c r="AR160" s="103"/>
      <c r="AS160" s="103"/>
      <c r="AT160" s="101"/>
      <c r="AU160" s="101"/>
      <c r="AV160" s="101"/>
      <c r="AW160" s="101"/>
      <c r="AX160" s="32">
        <f>운전실적_원본!W160</f>
        <v>0</v>
      </c>
      <c r="AY160" s="198">
        <f>운전실적_원본!X160</f>
        <v>0</v>
      </c>
      <c r="AZ160" s="198">
        <f>운전실적_원본!Y160</f>
        <v>0</v>
      </c>
      <c r="BA160" s="198">
        <f>운전실적_원본!Z160</f>
        <v>0</v>
      </c>
      <c r="BB160" s="198">
        <f>운전실적_원본!AA160</f>
        <v>0</v>
      </c>
      <c r="BC160" s="198">
        <f>운전실적_원본!AB160</f>
        <v>0</v>
      </c>
      <c r="BD160" s="32" t="str">
        <f t="shared" si="788"/>
        <v>-</v>
      </c>
      <c r="BE160" s="11" t="str">
        <f t="shared" si="796"/>
        <v>-</v>
      </c>
      <c r="BF160" s="11">
        <f>운전실적_원본!AE160</f>
        <v>0</v>
      </c>
      <c r="BG160" s="31">
        <f t="shared" si="789"/>
        <v>0</v>
      </c>
    </row>
    <row r="161" spans="1:59">
      <c r="A161" s="6">
        <f t="shared" si="797"/>
        <v>45813</v>
      </c>
      <c r="B161" s="15">
        <f>운전실적_원본!B161</f>
        <v>6766</v>
      </c>
      <c r="C161" s="16">
        <f t="shared" si="633"/>
        <v>35</v>
      </c>
      <c r="D161" s="9">
        <f>운전실적_원본!C161</f>
        <v>237509</v>
      </c>
      <c r="E161" s="199">
        <f t="shared" si="634"/>
        <v>75</v>
      </c>
      <c r="F161" s="9">
        <f>운전실적_원본!D161</f>
        <v>231406</v>
      </c>
      <c r="G161" s="16">
        <f t="shared" si="635"/>
        <v>65</v>
      </c>
      <c r="H161" s="15">
        <f>운전실적_원본!E161</f>
        <v>14490</v>
      </c>
      <c r="I161" s="16">
        <f t="shared" si="636"/>
        <v>2</v>
      </c>
      <c r="J161" s="15">
        <f>운전실적_원본!E161</f>
        <v>14490</v>
      </c>
      <c r="K161" s="16">
        <f t="shared" si="636"/>
        <v>2</v>
      </c>
      <c r="L161" s="15">
        <f>운전실적_원본!G161</f>
        <v>3866.7</v>
      </c>
      <c r="M161" s="31">
        <f t="shared" ref="M161" si="931">IF(OR(LEN(L161)=0,L161=0),"",L161-L160)</f>
        <v>0.59999999999990905</v>
      </c>
      <c r="N161" s="15">
        <f>운전실적_원본!H161</f>
        <v>16547</v>
      </c>
      <c r="O161" s="16">
        <f t="shared" ref="O161" si="932">IF(OR(LEN(N161)=0,N161=0),"",N161-N160)</f>
        <v>56</v>
      </c>
      <c r="P161" s="15">
        <f>운전실적_원본!I161</f>
        <v>274848</v>
      </c>
      <c r="Q161" s="16">
        <f t="shared" ref="Q161" si="933">IF(OR(LEN(P161)=0,P161=0),"",P161-P160)</f>
        <v>252</v>
      </c>
      <c r="R161" s="18">
        <f>운전실적_원본!J161</f>
        <v>32.729999999999997</v>
      </c>
      <c r="S161" s="19">
        <f t="shared" ref="S161" si="934">IF(OR(LEN(R161)=0,R161=0),"",R161-R160)</f>
        <v>0.12999999999999545</v>
      </c>
      <c r="T161" s="18">
        <f>운전실적_원본!K161</f>
        <v>32.729999999999997</v>
      </c>
      <c r="U161" s="19">
        <f t="shared" si="641"/>
        <v>0.12999999999999545</v>
      </c>
      <c r="V161" s="12">
        <f>운전실적_원본!L161</f>
        <v>0</v>
      </c>
      <c r="W161" s="16" t="str">
        <f t="shared" ref="W161" si="935">IF(OR(LEN(V161)=0,V161=0),"",V161-V160)</f>
        <v/>
      </c>
      <c r="X161" s="10">
        <f>운전실적_원본!M161</f>
        <v>0</v>
      </c>
      <c r="Y161" s="10">
        <f>운전실적_원본!N161</f>
        <v>0</v>
      </c>
      <c r="Z161" s="10">
        <f>운전실적_원본!O161</f>
        <v>0</v>
      </c>
      <c r="AA161" s="10">
        <f>운전실적_원본!P161</f>
        <v>0</v>
      </c>
      <c r="AB161" s="10">
        <f>운전실적_원본!Q161</f>
        <v>0</v>
      </c>
      <c r="AC161" s="10">
        <f>운전실적_원본!R161</f>
        <v>0</v>
      </c>
      <c r="AD161" s="181">
        <f>운전실적_원본!S161</f>
        <v>0</v>
      </c>
      <c r="AE161" s="181">
        <f>운전실적_원본!T161</f>
        <v>0</v>
      </c>
      <c r="AF161" s="181">
        <f>운전실적_원본!U161</f>
        <v>0</v>
      </c>
      <c r="AG161" s="181">
        <f>운전실적_원본!V161</f>
        <v>0</v>
      </c>
      <c r="AH161" s="106">
        <f t="shared" si="795"/>
        <v>0</v>
      </c>
      <c r="AI161" s="107">
        <f t="shared" si="803"/>
        <v>0</v>
      </c>
      <c r="AJ161" s="107">
        <f t="shared" si="804"/>
        <v>0</v>
      </c>
      <c r="AK161" s="204">
        <f t="shared" si="805"/>
        <v>0</v>
      </c>
      <c r="AL161" s="103"/>
      <c r="AM161" s="103"/>
      <c r="AN161" s="103"/>
      <c r="AO161" s="103"/>
      <c r="AP161" s="103"/>
      <c r="AQ161" s="105"/>
      <c r="AR161" s="103"/>
      <c r="AS161" s="103"/>
      <c r="AT161" s="101"/>
      <c r="AU161" s="101"/>
      <c r="AV161" s="101"/>
      <c r="AW161" s="101"/>
      <c r="AX161" s="32">
        <f>운전실적_원본!W161</f>
        <v>0</v>
      </c>
      <c r="AY161" s="198">
        <f>운전실적_원본!X161</f>
        <v>0</v>
      </c>
      <c r="AZ161" s="198">
        <f>운전실적_원본!Y161</f>
        <v>0</v>
      </c>
      <c r="BA161" s="198">
        <f>운전실적_원본!Z161</f>
        <v>0</v>
      </c>
      <c r="BB161" s="198">
        <f>운전실적_원본!AA161</f>
        <v>0</v>
      </c>
      <c r="BC161" s="198">
        <f>운전실적_원본!AB161</f>
        <v>0</v>
      </c>
      <c r="BD161" s="32" t="str">
        <f t="shared" si="788"/>
        <v>-</v>
      </c>
      <c r="BE161" s="11" t="str">
        <f t="shared" si="796"/>
        <v>-</v>
      </c>
      <c r="BF161" s="11">
        <f>운전실적_원본!AE161</f>
        <v>0</v>
      </c>
      <c r="BG161" s="31">
        <f t="shared" si="789"/>
        <v>0</v>
      </c>
    </row>
    <row r="162" spans="1:59">
      <c r="A162" s="6">
        <f t="shared" si="797"/>
        <v>45814</v>
      </c>
      <c r="B162" s="15">
        <f>운전실적_원본!B162</f>
        <v>6801</v>
      </c>
      <c r="C162" s="16">
        <f t="shared" si="633"/>
        <v>35</v>
      </c>
      <c r="D162" s="9">
        <f>운전실적_원본!C162</f>
        <v>237552</v>
      </c>
      <c r="E162" s="199">
        <f t="shared" si="634"/>
        <v>43</v>
      </c>
      <c r="F162" s="9">
        <f>운전실적_원본!D162</f>
        <v>231476</v>
      </c>
      <c r="G162" s="16">
        <f t="shared" si="635"/>
        <v>70</v>
      </c>
      <c r="H162" s="15">
        <f>운전실적_원본!E162</f>
        <v>14492</v>
      </c>
      <c r="I162" s="16">
        <f t="shared" si="636"/>
        <v>2</v>
      </c>
      <c r="J162" s="15">
        <f>운전실적_원본!E162</f>
        <v>14492</v>
      </c>
      <c r="K162" s="16">
        <f t="shared" si="636"/>
        <v>2</v>
      </c>
      <c r="L162" s="15">
        <f>운전실적_원본!G162</f>
        <v>3867</v>
      </c>
      <c r="M162" s="31">
        <f t="shared" ref="M162" si="936">IF(OR(LEN(L162)=0,L162=0),"",L162-L161)</f>
        <v>0.3000000000001819</v>
      </c>
      <c r="N162" s="15">
        <f>운전실적_원본!H162</f>
        <v>16547</v>
      </c>
      <c r="O162" s="16">
        <f t="shared" ref="O162" si="937">IF(OR(LEN(N162)=0,N162=0),"",N162-N161)</f>
        <v>0</v>
      </c>
      <c r="P162" s="15">
        <f>운전실적_원본!I162</f>
        <v>274951</v>
      </c>
      <c r="Q162" s="16">
        <f t="shared" ref="Q162" si="938">IF(OR(LEN(P162)=0,P162=0),"",P162-P161)</f>
        <v>103</v>
      </c>
      <c r="R162" s="18">
        <f>운전실적_원본!J162</f>
        <v>32.85</v>
      </c>
      <c r="S162" s="19">
        <f t="shared" ref="S162" si="939">IF(OR(LEN(R162)=0,R162=0),"",R162-R161)</f>
        <v>0.12000000000000455</v>
      </c>
      <c r="T162" s="18">
        <f>운전실적_원본!K162</f>
        <v>32.85</v>
      </c>
      <c r="U162" s="19">
        <f t="shared" si="641"/>
        <v>0.12000000000000455</v>
      </c>
      <c r="V162" s="12">
        <f>운전실적_원본!L162</f>
        <v>0</v>
      </c>
      <c r="W162" s="16" t="str">
        <f t="shared" ref="W162" si="940">IF(OR(LEN(V162)=0,V162=0),"",V162-V161)</f>
        <v/>
      </c>
      <c r="X162" s="10">
        <f>운전실적_원본!M162</f>
        <v>0</v>
      </c>
      <c r="Y162" s="10">
        <f>운전실적_원본!N162</f>
        <v>0</v>
      </c>
      <c r="Z162" s="10">
        <f>운전실적_원본!O162</f>
        <v>0</v>
      </c>
      <c r="AA162" s="10">
        <f>운전실적_원본!P162</f>
        <v>0</v>
      </c>
      <c r="AB162" s="10">
        <f>운전실적_원본!Q162</f>
        <v>0</v>
      </c>
      <c r="AC162" s="10">
        <f>운전실적_원본!R162</f>
        <v>0</v>
      </c>
      <c r="AD162" s="181">
        <f>운전실적_원본!S162</f>
        <v>0</v>
      </c>
      <c r="AE162" s="181">
        <f>운전실적_원본!T162</f>
        <v>0</v>
      </c>
      <c r="AF162" s="181">
        <f>운전실적_원본!U162</f>
        <v>0</v>
      </c>
      <c r="AG162" s="181">
        <f>운전실적_원본!V162</f>
        <v>0</v>
      </c>
      <c r="AH162" s="106">
        <f t="shared" si="795"/>
        <v>0</v>
      </c>
      <c r="AI162" s="107">
        <f t="shared" si="803"/>
        <v>0</v>
      </c>
      <c r="AJ162" s="107">
        <f t="shared" si="804"/>
        <v>0</v>
      </c>
      <c r="AK162" s="204">
        <f t="shared" si="805"/>
        <v>0</v>
      </c>
      <c r="AL162" s="103"/>
      <c r="AM162" s="103"/>
      <c r="AN162" s="103"/>
      <c r="AO162" s="103"/>
      <c r="AP162" s="103"/>
      <c r="AQ162" s="105"/>
      <c r="AR162" s="103"/>
      <c r="AS162" s="103"/>
      <c r="AT162" s="101"/>
      <c r="AU162" s="101"/>
      <c r="AV162" s="101"/>
      <c r="AW162" s="101"/>
      <c r="AX162" s="32">
        <f>운전실적_원본!W162</f>
        <v>0</v>
      </c>
      <c r="AY162" s="198">
        <f>운전실적_원본!X162</f>
        <v>0</v>
      </c>
      <c r="AZ162" s="198">
        <f>운전실적_원본!Y162</f>
        <v>0</v>
      </c>
      <c r="BA162" s="198">
        <f>운전실적_원본!Z162</f>
        <v>0</v>
      </c>
      <c r="BB162" s="198">
        <f>운전실적_원본!AA162</f>
        <v>0</v>
      </c>
      <c r="BC162" s="198">
        <f>운전실적_원본!AB162</f>
        <v>0</v>
      </c>
      <c r="BD162" s="32" t="str">
        <f t="shared" si="788"/>
        <v>-</v>
      </c>
      <c r="BE162" s="11" t="str">
        <f t="shared" si="796"/>
        <v>-</v>
      </c>
      <c r="BF162" s="11">
        <f>운전실적_원본!AE162</f>
        <v>0</v>
      </c>
      <c r="BG162" s="31">
        <f t="shared" si="789"/>
        <v>0</v>
      </c>
    </row>
    <row r="163" spans="1:59">
      <c r="A163" s="6">
        <f t="shared" si="797"/>
        <v>45815</v>
      </c>
      <c r="B163" s="15">
        <f>운전실적_원본!B163</f>
        <v>6823</v>
      </c>
      <c r="C163" s="16">
        <f t="shared" si="633"/>
        <v>22</v>
      </c>
      <c r="D163" s="9">
        <f>운전실적_원본!C163</f>
        <v>237664</v>
      </c>
      <c r="E163" s="199">
        <f t="shared" si="634"/>
        <v>112</v>
      </c>
      <c r="F163" s="9">
        <f>운전실적_원본!D163</f>
        <v>231476</v>
      </c>
      <c r="G163" s="16">
        <f t="shared" si="635"/>
        <v>0</v>
      </c>
      <c r="H163" s="15">
        <f>운전실적_원본!E163</f>
        <v>14494</v>
      </c>
      <c r="I163" s="16">
        <f t="shared" si="636"/>
        <v>2</v>
      </c>
      <c r="J163" s="15">
        <f>운전실적_원본!E163</f>
        <v>14494</v>
      </c>
      <c r="K163" s="16">
        <f t="shared" si="636"/>
        <v>2</v>
      </c>
      <c r="L163" s="15">
        <f>운전실적_원본!G163</f>
        <v>3867.4</v>
      </c>
      <c r="M163" s="31">
        <f t="shared" ref="M163" si="941">IF(OR(LEN(L163)=0,L163=0),"",L163-L162)</f>
        <v>0.40000000000009095</v>
      </c>
      <c r="N163" s="15">
        <f>운전실적_원본!H163</f>
        <v>16547</v>
      </c>
      <c r="O163" s="16">
        <f t="shared" ref="O163" si="942">IF(OR(LEN(N163)=0,N163=0),"",N163-N162)</f>
        <v>0</v>
      </c>
      <c r="P163" s="15">
        <f>운전실적_원본!I163</f>
        <v>275094</v>
      </c>
      <c r="Q163" s="16">
        <f t="shared" ref="Q163" si="943">IF(OR(LEN(P163)=0,P163=0),"",P163-P162)</f>
        <v>143</v>
      </c>
      <c r="R163" s="18">
        <f>운전실적_원본!J163</f>
        <v>33.020000000000003</v>
      </c>
      <c r="S163" s="19">
        <f t="shared" ref="S163" si="944">IF(OR(LEN(R163)=0,R163=0),"",R163-R162)</f>
        <v>0.17000000000000171</v>
      </c>
      <c r="T163" s="18">
        <f>운전실적_원본!K163</f>
        <v>33.020000000000003</v>
      </c>
      <c r="U163" s="19">
        <f t="shared" si="641"/>
        <v>0.17000000000000171</v>
      </c>
      <c r="V163" s="12">
        <f>운전실적_원본!L163</f>
        <v>0</v>
      </c>
      <c r="W163" s="16" t="str">
        <f t="shared" ref="W163" si="945">IF(OR(LEN(V163)=0,V163=0),"",V163-V162)</f>
        <v/>
      </c>
      <c r="X163" s="10">
        <f>운전실적_원본!M163</f>
        <v>0</v>
      </c>
      <c r="Y163" s="10">
        <f>운전실적_원본!N163</f>
        <v>0</v>
      </c>
      <c r="Z163" s="10">
        <f>운전실적_원본!O163</f>
        <v>0</v>
      </c>
      <c r="AA163" s="10">
        <f>운전실적_원본!P163</f>
        <v>0</v>
      </c>
      <c r="AB163" s="10">
        <f>운전실적_원본!Q163</f>
        <v>0</v>
      </c>
      <c r="AC163" s="10">
        <f>운전실적_원본!R163</f>
        <v>0</v>
      </c>
      <c r="AD163" s="181">
        <f>운전실적_원본!S163</f>
        <v>0</v>
      </c>
      <c r="AE163" s="181">
        <f>운전실적_원본!T163</f>
        <v>0</v>
      </c>
      <c r="AF163" s="181">
        <f>운전실적_원본!U163</f>
        <v>0</v>
      </c>
      <c r="AG163" s="181">
        <f>운전실적_원본!V163</f>
        <v>0</v>
      </c>
      <c r="AH163" s="106">
        <f t="shared" si="795"/>
        <v>0</v>
      </c>
      <c r="AI163" s="107">
        <f t="shared" si="803"/>
        <v>0</v>
      </c>
      <c r="AJ163" s="107">
        <f t="shared" si="804"/>
        <v>0</v>
      </c>
      <c r="AK163" s="204">
        <f t="shared" si="805"/>
        <v>0</v>
      </c>
      <c r="AL163" s="103"/>
      <c r="AM163" s="103"/>
      <c r="AN163" s="103"/>
      <c r="AO163" s="103"/>
      <c r="AP163" s="103"/>
      <c r="AQ163" s="105"/>
      <c r="AR163" s="103"/>
      <c r="AS163" s="103"/>
      <c r="AT163" s="101"/>
      <c r="AU163" s="101"/>
      <c r="AV163" s="101"/>
      <c r="AW163" s="101"/>
      <c r="AX163" s="32">
        <f>운전실적_원본!W163</f>
        <v>0</v>
      </c>
      <c r="AY163" s="198">
        <f>운전실적_원본!X163</f>
        <v>0</v>
      </c>
      <c r="AZ163" s="198">
        <f>운전실적_원본!Y163</f>
        <v>0</v>
      </c>
      <c r="BA163" s="198">
        <f>운전실적_원본!Z163</f>
        <v>0</v>
      </c>
      <c r="BB163" s="198">
        <f>운전실적_원본!AA163</f>
        <v>0</v>
      </c>
      <c r="BC163" s="198">
        <f>운전실적_원본!AB163</f>
        <v>0</v>
      </c>
      <c r="BD163" s="32" t="str">
        <f t="shared" si="788"/>
        <v>-</v>
      </c>
      <c r="BE163" s="11" t="str">
        <f t="shared" si="796"/>
        <v>-</v>
      </c>
      <c r="BF163" s="11">
        <f>운전실적_원본!AE163</f>
        <v>0</v>
      </c>
      <c r="BG163" s="31">
        <f t="shared" si="789"/>
        <v>0</v>
      </c>
    </row>
    <row r="164" spans="1:59">
      <c r="A164" s="6">
        <f t="shared" si="797"/>
        <v>45816</v>
      </c>
      <c r="B164" s="15">
        <f>운전실적_원본!B164</f>
        <v>6823</v>
      </c>
      <c r="C164" s="16">
        <f t="shared" si="633"/>
        <v>0</v>
      </c>
      <c r="D164" s="9">
        <f>운전실적_원본!C164</f>
        <v>237664</v>
      </c>
      <c r="E164" s="199">
        <f t="shared" si="634"/>
        <v>0</v>
      </c>
      <c r="F164" s="9">
        <f>운전실적_원본!D164</f>
        <v>231476</v>
      </c>
      <c r="G164" s="16">
        <f t="shared" si="635"/>
        <v>0</v>
      </c>
      <c r="H164" s="15">
        <f>운전실적_원본!E164</f>
        <v>14496</v>
      </c>
      <c r="I164" s="16">
        <f t="shared" si="636"/>
        <v>2</v>
      </c>
      <c r="J164" s="15">
        <f>운전실적_원본!E164</f>
        <v>14496</v>
      </c>
      <c r="K164" s="16">
        <f t="shared" si="636"/>
        <v>2</v>
      </c>
      <c r="L164" s="15">
        <f>운전실적_원본!G164</f>
        <v>3867.8</v>
      </c>
      <c r="M164" s="31">
        <f t="shared" ref="M164" si="946">IF(OR(LEN(L164)=0,L164=0),"",L164-L163)</f>
        <v>0.40000000000009095</v>
      </c>
      <c r="N164" s="15">
        <f>운전실적_원본!H164</f>
        <v>16547</v>
      </c>
      <c r="O164" s="16">
        <f t="shared" ref="O164" si="947">IF(OR(LEN(N164)=0,N164=0),"",N164-N163)</f>
        <v>0</v>
      </c>
      <c r="P164" s="15">
        <f>운전실적_원본!I164</f>
        <v>275109</v>
      </c>
      <c r="Q164" s="16">
        <f t="shared" ref="Q164" si="948">IF(OR(LEN(P164)=0,P164=0),"",P164-P163)</f>
        <v>15</v>
      </c>
      <c r="R164" s="18">
        <f>운전실적_원본!J164</f>
        <v>32.979999999999997</v>
      </c>
      <c r="S164" s="19">
        <f t="shared" ref="S164" si="949">IF(OR(LEN(R164)=0,R164=0),"",R164-R163)</f>
        <v>-4.0000000000006253E-2</v>
      </c>
      <c r="T164" s="18">
        <f>운전실적_원본!K164</f>
        <v>32.979999999999997</v>
      </c>
      <c r="U164" s="19">
        <f t="shared" si="641"/>
        <v>-4.0000000000006253E-2</v>
      </c>
      <c r="V164" s="12">
        <f>운전실적_원본!L164</f>
        <v>0</v>
      </c>
      <c r="W164" s="16" t="str">
        <f t="shared" ref="W164" si="950">IF(OR(LEN(V164)=0,V164=0),"",V164-V163)</f>
        <v/>
      </c>
      <c r="X164" s="10">
        <f>운전실적_원본!M164</f>
        <v>0</v>
      </c>
      <c r="Y164" s="10">
        <f>운전실적_원본!N164</f>
        <v>0</v>
      </c>
      <c r="Z164" s="10">
        <f>운전실적_원본!O164</f>
        <v>0</v>
      </c>
      <c r="AA164" s="10">
        <f>운전실적_원본!P164</f>
        <v>0</v>
      </c>
      <c r="AB164" s="10">
        <f>운전실적_원본!Q164</f>
        <v>0</v>
      </c>
      <c r="AC164" s="10">
        <f>운전실적_원본!R164</f>
        <v>0</v>
      </c>
      <c r="AD164" s="181">
        <f>운전실적_원본!S164</f>
        <v>0</v>
      </c>
      <c r="AE164" s="181">
        <f>운전실적_원본!T164</f>
        <v>0</v>
      </c>
      <c r="AF164" s="181">
        <f>운전실적_원본!U164</f>
        <v>0</v>
      </c>
      <c r="AG164" s="181">
        <f>운전실적_원본!V164</f>
        <v>0</v>
      </c>
      <c r="AH164" s="106">
        <f t="shared" si="795"/>
        <v>0</v>
      </c>
      <c r="AI164" s="107">
        <f t="shared" si="803"/>
        <v>0</v>
      </c>
      <c r="AJ164" s="107">
        <f t="shared" si="804"/>
        <v>0</v>
      </c>
      <c r="AK164" s="204">
        <f t="shared" si="805"/>
        <v>0</v>
      </c>
      <c r="AL164" s="103"/>
      <c r="AM164" s="103"/>
      <c r="AN164" s="103"/>
      <c r="AO164" s="103"/>
      <c r="AP164" s="103"/>
      <c r="AQ164" s="105"/>
      <c r="AR164" s="103"/>
      <c r="AS164" s="103"/>
      <c r="AT164" s="101"/>
      <c r="AU164" s="101"/>
      <c r="AV164" s="101"/>
      <c r="AW164" s="101"/>
      <c r="AX164" s="32">
        <f>운전실적_원본!W164</f>
        <v>0</v>
      </c>
      <c r="AY164" s="198">
        <f>운전실적_원본!X164</f>
        <v>0</v>
      </c>
      <c r="AZ164" s="198">
        <f>운전실적_원본!Y164</f>
        <v>0</v>
      </c>
      <c r="BA164" s="198">
        <f>운전실적_원본!Z164</f>
        <v>0</v>
      </c>
      <c r="BB164" s="198">
        <f>운전실적_원본!AA164</f>
        <v>0</v>
      </c>
      <c r="BC164" s="198">
        <f>운전실적_원본!AB164</f>
        <v>0</v>
      </c>
      <c r="BD164" s="32" t="str">
        <f t="shared" si="788"/>
        <v>-</v>
      </c>
      <c r="BE164" s="11" t="str">
        <f t="shared" si="796"/>
        <v>-</v>
      </c>
      <c r="BF164" s="11">
        <f>운전실적_원본!AE164</f>
        <v>0</v>
      </c>
      <c r="BG164" s="31">
        <f t="shared" si="789"/>
        <v>0</v>
      </c>
    </row>
    <row r="165" spans="1:59">
      <c r="A165" s="6">
        <f t="shared" si="797"/>
        <v>45817</v>
      </c>
      <c r="B165" s="15">
        <f>운전실적_원본!B165</f>
        <v>6844</v>
      </c>
      <c r="C165" s="16">
        <f t="shared" si="633"/>
        <v>21</v>
      </c>
      <c r="D165" s="9">
        <f>운전실적_원본!C165</f>
        <v>237683</v>
      </c>
      <c r="E165" s="199">
        <f t="shared" si="634"/>
        <v>19</v>
      </c>
      <c r="F165" s="9">
        <f>운전실적_원본!D165</f>
        <v>231565</v>
      </c>
      <c r="G165" s="16">
        <f t="shared" si="635"/>
        <v>89</v>
      </c>
      <c r="H165" s="15">
        <f>운전실적_원본!E165</f>
        <v>14504</v>
      </c>
      <c r="I165" s="16">
        <f t="shared" si="636"/>
        <v>8</v>
      </c>
      <c r="J165" s="15">
        <f>운전실적_원본!E165</f>
        <v>14504</v>
      </c>
      <c r="K165" s="16">
        <f t="shared" si="636"/>
        <v>8</v>
      </c>
      <c r="L165" s="15">
        <f>운전실적_원본!G165</f>
        <v>3868.5</v>
      </c>
      <c r="M165" s="31">
        <f t="shared" ref="M165" si="951">IF(OR(LEN(L165)=0,L165=0),"",L165-L164)</f>
        <v>0.6999999999998181</v>
      </c>
      <c r="N165" s="15">
        <f>운전실적_원본!H165</f>
        <v>16638</v>
      </c>
      <c r="O165" s="16">
        <f t="shared" ref="O165" si="952">IF(OR(LEN(N165)=0,N165=0),"",N165-N164)</f>
        <v>91</v>
      </c>
      <c r="P165" s="15">
        <f>운전실적_원본!I165</f>
        <v>275324</v>
      </c>
      <c r="Q165" s="16">
        <f t="shared" ref="Q165" si="953">IF(OR(LEN(P165)=0,P165=0),"",P165-P164)</f>
        <v>215</v>
      </c>
      <c r="R165" s="18">
        <f>운전실적_원본!J165</f>
        <v>32.99</v>
      </c>
      <c r="S165" s="19">
        <f t="shared" ref="S165" si="954">IF(OR(LEN(R165)=0,R165=0),"",R165-R164)</f>
        <v>1.0000000000005116E-2</v>
      </c>
      <c r="T165" s="18">
        <f>운전실적_원본!K165</f>
        <v>32.99</v>
      </c>
      <c r="U165" s="19">
        <f t="shared" si="641"/>
        <v>1.0000000000005116E-2</v>
      </c>
      <c r="V165" s="12">
        <f>운전실적_원본!L165</f>
        <v>0</v>
      </c>
      <c r="W165" s="16" t="str">
        <f t="shared" ref="W165" si="955">IF(OR(LEN(V165)=0,V165=0),"",V165-V164)</f>
        <v/>
      </c>
      <c r="X165" s="10">
        <f>운전실적_원본!M165</f>
        <v>0</v>
      </c>
      <c r="Y165" s="10">
        <f>운전실적_원본!N165</f>
        <v>0</v>
      </c>
      <c r="Z165" s="10">
        <f>운전실적_원본!O165</f>
        <v>0</v>
      </c>
      <c r="AA165" s="10">
        <f>운전실적_원본!P165</f>
        <v>0</v>
      </c>
      <c r="AB165" s="10">
        <f>운전실적_원본!Q165</f>
        <v>0</v>
      </c>
      <c r="AC165" s="10">
        <f>운전실적_원본!R165</f>
        <v>0</v>
      </c>
      <c r="AD165" s="181">
        <f>운전실적_원본!S165</f>
        <v>0</v>
      </c>
      <c r="AE165" s="181">
        <f>운전실적_원본!T165</f>
        <v>0</v>
      </c>
      <c r="AF165" s="181">
        <f>운전실적_원본!U165</f>
        <v>0</v>
      </c>
      <c r="AG165" s="181">
        <f>운전실적_원본!V165</f>
        <v>0</v>
      </c>
      <c r="AH165" s="106">
        <f t="shared" si="795"/>
        <v>0</v>
      </c>
      <c r="AI165" s="107">
        <f t="shared" si="803"/>
        <v>0</v>
      </c>
      <c r="AJ165" s="107">
        <f t="shared" si="804"/>
        <v>0</v>
      </c>
      <c r="AK165" s="204">
        <f t="shared" si="805"/>
        <v>0</v>
      </c>
      <c r="AL165" s="103"/>
      <c r="AM165" s="103"/>
      <c r="AN165" s="103"/>
      <c r="AO165" s="103"/>
      <c r="AP165" s="103"/>
      <c r="AQ165" s="105"/>
      <c r="AR165" s="103"/>
      <c r="AS165" s="103"/>
      <c r="AT165" s="101"/>
      <c r="AU165" s="101"/>
      <c r="AV165" s="101"/>
      <c r="AW165" s="101"/>
      <c r="AX165" s="32">
        <f>운전실적_원본!W165</f>
        <v>0</v>
      </c>
      <c r="AY165" s="198">
        <f>운전실적_원본!X165</f>
        <v>0</v>
      </c>
      <c r="AZ165" s="198">
        <f>운전실적_원본!Y165</f>
        <v>0</v>
      </c>
      <c r="BA165" s="198">
        <f>운전실적_원본!Z165</f>
        <v>0</v>
      </c>
      <c r="BB165" s="198">
        <f>운전실적_원본!AA165</f>
        <v>0</v>
      </c>
      <c r="BC165" s="198">
        <f>운전실적_원본!AB165</f>
        <v>0</v>
      </c>
      <c r="BD165" s="32" t="str">
        <f t="shared" si="788"/>
        <v>-</v>
      </c>
      <c r="BE165" s="11" t="str">
        <f t="shared" si="796"/>
        <v>-</v>
      </c>
      <c r="BF165" s="11">
        <f>운전실적_원본!AE165</f>
        <v>0</v>
      </c>
      <c r="BG165" s="31">
        <f t="shared" si="789"/>
        <v>0</v>
      </c>
    </row>
    <row r="166" spans="1:59">
      <c r="A166" s="6">
        <f t="shared" si="797"/>
        <v>45818</v>
      </c>
      <c r="B166" s="15">
        <f>운전실적_원본!B166</f>
        <v>6878</v>
      </c>
      <c r="C166" s="16">
        <f t="shared" si="633"/>
        <v>34</v>
      </c>
      <c r="D166" s="9">
        <f>운전실적_원본!C166</f>
        <v>237722</v>
      </c>
      <c r="E166" s="199">
        <f t="shared" si="634"/>
        <v>39</v>
      </c>
      <c r="F166" s="9">
        <f>운전실적_원본!D166</f>
        <v>231644</v>
      </c>
      <c r="G166" s="16">
        <f t="shared" si="635"/>
        <v>79</v>
      </c>
      <c r="H166" s="15">
        <f>운전실적_원본!E166</f>
        <v>14513</v>
      </c>
      <c r="I166" s="16">
        <f t="shared" si="636"/>
        <v>9</v>
      </c>
      <c r="J166" s="15">
        <f>운전실적_원본!E166</f>
        <v>14513</v>
      </c>
      <c r="K166" s="16">
        <f t="shared" si="636"/>
        <v>9</v>
      </c>
      <c r="L166" s="15">
        <f>운전실적_원본!G166</f>
        <v>3869</v>
      </c>
      <c r="M166" s="31">
        <f t="shared" ref="M166" si="956">IF(OR(LEN(L166)=0,L166=0),"",L166-L165)</f>
        <v>0.5</v>
      </c>
      <c r="N166" s="15">
        <f>운전실적_원본!H166</f>
        <v>16699</v>
      </c>
      <c r="O166" s="16">
        <f t="shared" ref="O166" si="957">IF(OR(LEN(N166)=0,N166=0),"",N166-N165)</f>
        <v>61</v>
      </c>
      <c r="P166" s="15">
        <f>운전실적_원본!I166</f>
        <v>275533</v>
      </c>
      <c r="Q166" s="16">
        <f t="shared" ref="Q166" si="958">IF(OR(LEN(P166)=0,P166=0),"",P166-P165)</f>
        <v>209</v>
      </c>
      <c r="R166" s="18">
        <f>운전실적_원본!J166</f>
        <v>33.04</v>
      </c>
      <c r="S166" s="19">
        <f t="shared" ref="S166" si="959">IF(OR(LEN(R166)=0,R166=0),"",R166-R165)</f>
        <v>4.9999999999997158E-2</v>
      </c>
      <c r="T166" s="18">
        <f>운전실적_원본!K166</f>
        <v>33.04</v>
      </c>
      <c r="U166" s="19">
        <f t="shared" si="641"/>
        <v>4.9999999999997158E-2</v>
      </c>
      <c r="V166" s="12">
        <f>운전실적_원본!L166</f>
        <v>0</v>
      </c>
      <c r="W166" s="16" t="str">
        <f t="shared" ref="W166" si="960">IF(OR(LEN(V166)=0,V166=0),"",V166-V165)</f>
        <v/>
      </c>
      <c r="X166" s="10">
        <f>운전실적_원본!M166</f>
        <v>0</v>
      </c>
      <c r="Y166" s="10">
        <f>운전실적_원본!N166</f>
        <v>0</v>
      </c>
      <c r="Z166" s="10">
        <f>운전실적_원본!O166</f>
        <v>0</v>
      </c>
      <c r="AA166" s="10">
        <f>운전실적_원본!P166</f>
        <v>0</v>
      </c>
      <c r="AB166" s="10">
        <f>운전실적_원본!Q166</f>
        <v>0</v>
      </c>
      <c r="AC166" s="10">
        <f>운전실적_원본!R166</f>
        <v>0</v>
      </c>
      <c r="AD166" s="181">
        <f>운전실적_원본!S166</f>
        <v>0</v>
      </c>
      <c r="AE166" s="181">
        <f>운전실적_원본!T166</f>
        <v>0</v>
      </c>
      <c r="AF166" s="181">
        <f>운전실적_원본!U166</f>
        <v>0</v>
      </c>
      <c r="AG166" s="181">
        <f>운전실적_원본!V166</f>
        <v>0</v>
      </c>
      <c r="AH166" s="106">
        <f t="shared" si="795"/>
        <v>0</v>
      </c>
      <c r="AI166" s="107">
        <f t="shared" si="803"/>
        <v>0</v>
      </c>
      <c r="AJ166" s="107">
        <f t="shared" si="804"/>
        <v>0</v>
      </c>
      <c r="AK166" s="204">
        <f t="shared" si="805"/>
        <v>0</v>
      </c>
      <c r="AL166" s="103"/>
      <c r="AM166" s="103"/>
      <c r="AN166" s="103"/>
      <c r="AO166" s="103"/>
      <c r="AP166" s="103"/>
      <c r="AQ166" s="105"/>
      <c r="AR166" s="103"/>
      <c r="AS166" s="103"/>
      <c r="AT166" s="101"/>
      <c r="AU166" s="101"/>
      <c r="AV166" s="101"/>
      <c r="AW166" s="101"/>
      <c r="AX166" s="32">
        <f>운전실적_원본!W166</f>
        <v>0</v>
      </c>
      <c r="AY166" s="198">
        <f>운전실적_원본!X166</f>
        <v>0</v>
      </c>
      <c r="AZ166" s="198">
        <f>운전실적_원본!Y166</f>
        <v>0</v>
      </c>
      <c r="BA166" s="198">
        <f>운전실적_원본!Z166</f>
        <v>0</v>
      </c>
      <c r="BB166" s="198">
        <f>운전실적_원본!AA166</f>
        <v>0</v>
      </c>
      <c r="BC166" s="198">
        <f>운전실적_원본!AB166</f>
        <v>0</v>
      </c>
      <c r="BD166" s="32" t="str">
        <f t="shared" si="788"/>
        <v>-</v>
      </c>
      <c r="BE166" s="11" t="str">
        <f t="shared" si="796"/>
        <v>-</v>
      </c>
      <c r="BF166" s="11">
        <f>운전실적_원본!AE166</f>
        <v>0</v>
      </c>
      <c r="BG166" s="31">
        <f t="shared" si="789"/>
        <v>0</v>
      </c>
    </row>
    <row r="167" spans="1:59">
      <c r="A167" s="6">
        <f t="shared" si="797"/>
        <v>45819</v>
      </c>
      <c r="B167" s="15">
        <f>운전실적_원본!B167</f>
        <v>6913</v>
      </c>
      <c r="C167" s="16">
        <f t="shared" si="633"/>
        <v>35</v>
      </c>
      <c r="D167" s="9">
        <f>운전실적_원본!C167</f>
        <v>237816</v>
      </c>
      <c r="E167" s="199">
        <f t="shared" si="634"/>
        <v>94</v>
      </c>
      <c r="F167" s="9">
        <f>운전실적_원본!D167</f>
        <v>231644</v>
      </c>
      <c r="G167" s="16">
        <f t="shared" si="635"/>
        <v>0</v>
      </c>
      <c r="H167" s="15">
        <f>운전실적_원본!E167</f>
        <v>14521</v>
      </c>
      <c r="I167" s="16">
        <f t="shared" si="636"/>
        <v>8</v>
      </c>
      <c r="J167" s="15">
        <f>운전실적_원본!E167</f>
        <v>14521</v>
      </c>
      <c r="K167" s="16">
        <f t="shared" si="636"/>
        <v>8</v>
      </c>
      <c r="L167" s="15">
        <f>운전실적_원본!G167</f>
        <v>3869.4</v>
      </c>
      <c r="M167" s="31">
        <f t="shared" ref="M167" si="961">IF(OR(LEN(L167)=0,L167=0),"",L167-L166)</f>
        <v>0.40000000000009095</v>
      </c>
      <c r="N167" s="15">
        <f>운전실적_원본!H167</f>
        <v>16699</v>
      </c>
      <c r="O167" s="16">
        <f t="shared" ref="O167" si="962">IF(OR(LEN(N167)=0,N167=0),"",N167-N166)</f>
        <v>0</v>
      </c>
      <c r="P167" s="15">
        <f>운전실적_원본!I167</f>
        <v>275695</v>
      </c>
      <c r="Q167" s="16">
        <f t="shared" ref="Q167" si="963">IF(OR(LEN(P167)=0,P167=0),"",P167-P166)</f>
        <v>162</v>
      </c>
      <c r="R167" s="18">
        <f>운전실적_원본!J167</f>
        <v>33.200000000000003</v>
      </c>
      <c r="S167" s="19">
        <f t="shared" ref="S167" si="964">IF(OR(LEN(R167)=0,R167=0),"",R167-R166)</f>
        <v>0.16000000000000369</v>
      </c>
      <c r="T167" s="18">
        <f>운전실적_원본!K167</f>
        <v>33.200000000000003</v>
      </c>
      <c r="U167" s="19">
        <f t="shared" si="641"/>
        <v>0.16000000000000369</v>
      </c>
      <c r="V167" s="12">
        <f>운전실적_원본!L167</f>
        <v>0</v>
      </c>
      <c r="W167" s="16" t="str">
        <f t="shared" ref="W167" si="965">IF(OR(LEN(V167)=0,V167=0),"",V167-V166)</f>
        <v/>
      </c>
      <c r="X167" s="10">
        <f>운전실적_원본!M167</f>
        <v>0</v>
      </c>
      <c r="Y167" s="10">
        <f>운전실적_원본!N167</f>
        <v>0</v>
      </c>
      <c r="Z167" s="10">
        <f>운전실적_원본!O167</f>
        <v>0</v>
      </c>
      <c r="AA167" s="10">
        <f>운전실적_원본!P167</f>
        <v>0</v>
      </c>
      <c r="AB167" s="10">
        <f>운전실적_원본!Q167</f>
        <v>0</v>
      </c>
      <c r="AC167" s="10">
        <f>운전실적_원본!R167</f>
        <v>0</v>
      </c>
      <c r="AD167" s="181">
        <f>운전실적_원본!S167</f>
        <v>0</v>
      </c>
      <c r="AE167" s="181">
        <f>운전실적_원본!T167</f>
        <v>0</v>
      </c>
      <c r="AF167" s="181">
        <f>운전실적_원본!U167</f>
        <v>0</v>
      </c>
      <c r="AG167" s="181">
        <f>운전실적_원본!V167</f>
        <v>0</v>
      </c>
      <c r="AH167" s="106">
        <f t="shared" si="795"/>
        <v>0</v>
      </c>
      <c r="AI167" s="107">
        <f t="shared" si="803"/>
        <v>0</v>
      </c>
      <c r="AJ167" s="107">
        <f t="shared" si="804"/>
        <v>0</v>
      </c>
      <c r="AK167" s="204">
        <f t="shared" si="805"/>
        <v>0</v>
      </c>
      <c r="AL167" s="103"/>
      <c r="AM167" s="103"/>
      <c r="AN167" s="103"/>
      <c r="AO167" s="103"/>
      <c r="AP167" s="103"/>
      <c r="AQ167" s="105"/>
      <c r="AR167" s="103"/>
      <c r="AS167" s="103"/>
      <c r="AT167" s="101"/>
      <c r="AU167" s="101"/>
      <c r="AV167" s="101"/>
      <c r="AW167" s="101"/>
      <c r="AX167" s="32">
        <f>운전실적_원본!W167</f>
        <v>0</v>
      </c>
      <c r="AY167" s="198">
        <f>운전실적_원본!X167</f>
        <v>0</v>
      </c>
      <c r="AZ167" s="198">
        <f>운전실적_원본!Y167</f>
        <v>0</v>
      </c>
      <c r="BA167" s="198">
        <f>운전실적_원본!Z167</f>
        <v>0</v>
      </c>
      <c r="BB167" s="198">
        <f>운전실적_원본!AA167</f>
        <v>0</v>
      </c>
      <c r="BC167" s="198">
        <f>운전실적_원본!AB167</f>
        <v>0</v>
      </c>
      <c r="BD167" s="32" t="str">
        <f t="shared" si="788"/>
        <v>-</v>
      </c>
      <c r="BE167" s="11" t="str">
        <f t="shared" si="796"/>
        <v>-</v>
      </c>
      <c r="BF167" s="11">
        <f>운전실적_원본!AE167</f>
        <v>0</v>
      </c>
      <c r="BG167" s="31">
        <f t="shared" si="789"/>
        <v>0</v>
      </c>
    </row>
    <row r="168" spans="1:59">
      <c r="A168" s="6">
        <f t="shared" si="797"/>
        <v>45820</v>
      </c>
      <c r="B168" s="15">
        <f>운전실적_원본!B168</f>
        <v>6948</v>
      </c>
      <c r="C168" s="16">
        <f t="shared" ref="C168:C231" si="966">IF(OR(LEN(B168)=0,B168=0),"",B168-B167)</f>
        <v>35</v>
      </c>
      <c r="D168" s="9">
        <f>운전실적_원본!C168</f>
        <v>237871</v>
      </c>
      <c r="E168" s="199">
        <f t="shared" ref="E168:E231" si="967">IF(OR(LEN(D168)=0,D168=0),"",D168-D167)</f>
        <v>55</v>
      </c>
      <c r="F168" s="9">
        <f>운전실적_원본!D168</f>
        <v>231743</v>
      </c>
      <c r="G168" s="16">
        <f t="shared" ref="G168:G231" si="968">IF(OR(LEN(F168)=0,F168=0),"",F168-F167)</f>
        <v>99</v>
      </c>
      <c r="H168" s="15">
        <f>운전실적_원본!E168</f>
        <v>14530</v>
      </c>
      <c r="I168" s="16">
        <f t="shared" ref="I168:K231" si="969">IF(OR(LEN(H168)=0,H168=0),"",H168-H167)</f>
        <v>9</v>
      </c>
      <c r="J168" s="15">
        <f>운전실적_원본!E168</f>
        <v>14530</v>
      </c>
      <c r="K168" s="16">
        <f t="shared" si="969"/>
        <v>9</v>
      </c>
      <c r="L168" s="15">
        <f>운전실적_원본!G168</f>
        <v>3870</v>
      </c>
      <c r="M168" s="31">
        <f t="shared" ref="M168" si="970">IF(OR(LEN(L168)=0,L168=0),"",L168-L167)</f>
        <v>0.59999999999990905</v>
      </c>
      <c r="N168" s="15">
        <f>운전실적_원본!H168</f>
        <v>16772</v>
      </c>
      <c r="O168" s="16">
        <f t="shared" ref="O168" si="971">IF(OR(LEN(N168)=0,N168=0),"",N168-N167)</f>
        <v>73</v>
      </c>
      <c r="P168" s="15">
        <f>운전실적_원본!I168</f>
        <v>275951</v>
      </c>
      <c r="Q168" s="16">
        <f t="shared" ref="Q168" si="972">IF(OR(LEN(P168)=0,P168=0),"",P168-P167)</f>
        <v>256</v>
      </c>
      <c r="R168" s="18">
        <f>운전실적_원본!J168</f>
        <v>33.26</v>
      </c>
      <c r="S168" s="19">
        <f t="shared" ref="S168" si="973">IF(OR(LEN(R168)=0,R168=0),"",R168-R167)</f>
        <v>5.9999999999995168E-2</v>
      </c>
      <c r="T168" s="18">
        <f>운전실적_원본!K168</f>
        <v>33.26</v>
      </c>
      <c r="U168" s="19">
        <f t="shared" ref="U168:U231" si="974">IF(OR(LEN(T168)=0,T168=0),"",T168-T167)</f>
        <v>5.9999999999995168E-2</v>
      </c>
      <c r="V168" s="12">
        <f>운전실적_원본!L168</f>
        <v>0</v>
      </c>
      <c r="W168" s="16" t="str">
        <f t="shared" ref="W168" si="975">IF(OR(LEN(V168)=0,V168=0),"",V168-V167)</f>
        <v/>
      </c>
      <c r="X168" s="10">
        <f>운전실적_원본!M168</f>
        <v>0</v>
      </c>
      <c r="Y168" s="10">
        <f>운전실적_원본!N168</f>
        <v>0</v>
      </c>
      <c r="Z168" s="10">
        <f>운전실적_원본!O168</f>
        <v>0</v>
      </c>
      <c r="AA168" s="10">
        <f>운전실적_원본!P168</f>
        <v>0</v>
      </c>
      <c r="AB168" s="10">
        <f>운전실적_원본!Q168</f>
        <v>0</v>
      </c>
      <c r="AC168" s="10">
        <f>운전실적_원본!R168</f>
        <v>0</v>
      </c>
      <c r="AD168" s="181">
        <f>운전실적_원본!S168</f>
        <v>0</v>
      </c>
      <c r="AE168" s="181">
        <f>운전실적_원본!T168</f>
        <v>0</v>
      </c>
      <c r="AF168" s="181">
        <f>운전실적_원본!U168</f>
        <v>0</v>
      </c>
      <c r="AG168" s="181">
        <f>운전실적_원본!V168</f>
        <v>0</v>
      </c>
      <c r="AH168" s="106">
        <f t="shared" si="795"/>
        <v>0</v>
      </c>
      <c r="AI168" s="107">
        <f t="shared" si="803"/>
        <v>0</v>
      </c>
      <c r="AJ168" s="107">
        <f t="shared" si="804"/>
        <v>0</v>
      </c>
      <c r="AK168" s="204">
        <f t="shared" si="805"/>
        <v>0</v>
      </c>
      <c r="AL168" s="103"/>
      <c r="AM168" s="103"/>
      <c r="AN168" s="103"/>
      <c r="AO168" s="103"/>
      <c r="AP168" s="103"/>
      <c r="AQ168" s="105"/>
      <c r="AR168" s="103"/>
      <c r="AS168" s="103"/>
      <c r="AT168" s="101"/>
      <c r="AU168" s="101"/>
      <c r="AV168" s="101"/>
      <c r="AW168" s="101"/>
      <c r="AX168" s="32">
        <f>운전실적_원본!W168</f>
        <v>0</v>
      </c>
      <c r="AY168" s="198">
        <f>운전실적_원본!X168</f>
        <v>0</v>
      </c>
      <c r="AZ168" s="198">
        <f>운전실적_원본!Y168</f>
        <v>0</v>
      </c>
      <c r="BA168" s="198">
        <f>운전실적_원본!Z168</f>
        <v>0</v>
      </c>
      <c r="BB168" s="198">
        <f>운전실적_원본!AA168</f>
        <v>0</v>
      </c>
      <c r="BC168" s="198">
        <f>운전실적_원본!AB168</f>
        <v>0</v>
      </c>
      <c r="BD168" s="32" t="str">
        <f t="shared" si="788"/>
        <v>-</v>
      </c>
      <c r="BE168" s="11" t="str">
        <f t="shared" si="796"/>
        <v>-</v>
      </c>
      <c r="BF168" s="11">
        <f>운전실적_원본!AE168</f>
        <v>0</v>
      </c>
      <c r="BG168" s="31">
        <f t="shared" si="789"/>
        <v>0</v>
      </c>
    </row>
    <row r="169" spans="1:59">
      <c r="A169" s="6">
        <f t="shared" si="797"/>
        <v>45821</v>
      </c>
      <c r="B169" s="15">
        <f>운전실적_원본!B169</f>
        <v>6970</v>
      </c>
      <c r="C169" s="16">
        <f t="shared" si="966"/>
        <v>22</v>
      </c>
      <c r="D169" s="9">
        <f>운전실적_원본!C169</f>
        <v>237929</v>
      </c>
      <c r="E169" s="199">
        <f t="shared" si="967"/>
        <v>58</v>
      </c>
      <c r="F169" s="9">
        <f>운전실적_원본!D169</f>
        <v>231813</v>
      </c>
      <c r="G169" s="16">
        <f t="shared" si="968"/>
        <v>70</v>
      </c>
      <c r="H169" s="15">
        <f>운전실적_원본!E169</f>
        <v>14539</v>
      </c>
      <c r="I169" s="16">
        <f t="shared" si="969"/>
        <v>9</v>
      </c>
      <c r="J169" s="15">
        <f>운전실적_원본!E169</f>
        <v>14539</v>
      </c>
      <c r="K169" s="16">
        <f t="shared" si="969"/>
        <v>9</v>
      </c>
      <c r="L169" s="15">
        <f>운전실적_원본!G169</f>
        <v>3870.5</v>
      </c>
      <c r="M169" s="31">
        <f t="shared" ref="M169" si="976">IF(OR(LEN(L169)=0,L169=0),"",L169-L168)</f>
        <v>0.5</v>
      </c>
      <c r="N169" s="15">
        <f>운전실적_원본!H169</f>
        <v>16805</v>
      </c>
      <c r="O169" s="16">
        <f t="shared" ref="O169" si="977">IF(OR(LEN(N169)=0,N169=0),"",N169-N168)</f>
        <v>33</v>
      </c>
      <c r="P169" s="15">
        <f>운전실적_원본!I169</f>
        <v>276165</v>
      </c>
      <c r="Q169" s="16">
        <f t="shared" ref="Q169" si="978">IF(OR(LEN(P169)=0,P169=0),"",P169-P168)</f>
        <v>214</v>
      </c>
      <c r="R169" s="18">
        <f>운전실적_원본!J169</f>
        <v>33.369999999999997</v>
      </c>
      <c r="S169" s="19">
        <f t="shared" ref="S169" si="979">IF(OR(LEN(R169)=0,R169=0),"",R169-R168)</f>
        <v>0.10999999999999943</v>
      </c>
      <c r="T169" s="18">
        <f>운전실적_원본!K169</f>
        <v>33.369999999999997</v>
      </c>
      <c r="U169" s="19">
        <f t="shared" si="974"/>
        <v>0.10999999999999943</v>
      </c>
      <c r="V169" s="12">
        <f>운전실적_원본!L169</f>
        <v>0</v>
      </c>
      <c r="W169" s="16" t="str">
        <f t="shared" ref="W169" si="980">IF(OR(LEN(V169)=0,V169=0),"",V169-V168)</f>
        <v/>
      </c>
      <c r="X169" s="10">
        <f>운전실적_원본!M169</f>
        <v>0</v>
      </c>
      <c r="Y169" s="10">
        <f>운전실적_원본!N169</f>
        <v>0</v>
      </c>
      <c r="Z169" s="10">
        <f>운전실적_원본!O169</f>
        <v>0</v>
      </c>
      <c r="AA169" s="10">
        <f>운전실적_원본!P169</f>
        <v>0</v>
      </c>
      <c r="AB169" s="10">
        <f>운전실적_원본!Q169</f>
        <v>0</v>
      </c>
      <c r="AC169" s="10">
        <f>운전실적_원본!R169</f>
        <v>0</v>
      </c>
      <c r="AD169" s="181">
        <f>운전실적_원본!S169</f>
        <v>0</v>
      </c>
      <c r="AE169" s="181">
        <f>운전실적_원본!T169</f>
        <v>0</v>
      </c>
      <c r="AF169" s="181">
        <f>운전실적_원본!U169</f>
        <v>0</v>
      </c>
      <c r="AG169" s="181">
        <f>운전실적_원본!V169</f>
        <v>0</v>
      </c>
      <c r="AH169" s="106">
        <f t="shared" si="795"/>
        <v>0</v>
      </c>
      <c r="AI169" s="107">
        <f t="shared" si="803"/>
        <v>0</v>
      </c>
      <c r="AJ169" s="107">
        <f t="shared" si="804"/>
        <v>0</v>
      </c>
      <c r="AK169" s="204">
        <f t="shared" si="805"/>
        <v>0</v>
      </c>
      <c r="AL169" s="103"/>
      <c r="AM169" s="103"/>
      <c r="AN169" s="103"/>
      <c r="AO169" s="103"/>
      <c r="AP169" s="103"/>
      <c r="AQ169" s="105"/>
      <c r="AR169" s="103"/>
      <c r="AS169" s="103"/>
      <c r="AT169" s="101"/>
      <c r="AU169" s="101"/>
      <c r="AV169" s="101"/>
      <c r="AW169" s="101"/>
      <c r="AX169" s="32">
        <f>운전실적_원본!W169</f>
        <v>0</v>
      </c>
      <c r="AY169" s="198">
        <f>운전실적_원본!X169</f>
        <v>0</v>
      </c>
      <c r="AZ169" s="198">
        <f>운전실적_원본!Y169</f>
        <v>0</v>
      </c>
      <c r="BA169" s="198">
        <f>운전실적_원본!Z169</f>
        <v>0</v>
      </c>
      <c r="BB169" s="198">
        <f>운전실적_원본!AA169</f>
        <v>0</v>
      </c>
      <c r="BC169" s="198">
        <f>운전실적_원본!AB169</f>
        <v>0</v>
      </c>
      <c r="BD169" s="32" t="str">
        <f t="shared" si="788"/>
        <v>-</v>
      </c>
      <c r="BE169" s="11" t="str">
        <f t="shared" si="796"/>
        <v>-</v>
      </c>
      <c r="BF169" s="11">
        <f>운전실적_원본!AE169</f>
        <v>0</v>
      </c>
      <c r="BG169" s="31">
        <f t="shared" si="789"/>
        <v>0</v>
      </c>
    </row>
    <row r="170" spans="1:59">
      <c r="A170" s="6">
        <f t="shared" si="797"/>
        <v>45822</v>
      </c>
      <c r="B170" s="15">
        <f>운전실적_원본!B170</f>
        <v>6991</v>
      </c>
      <c r="C170" s="16">
        <f t="shared" si="966"/>
        <v>21</v>
      </c>
      <c r="D170" s="9">
        <f>운전실적_원본!C170</f>
        <v>237962</v>
      </c>
      <c r="E170" s="199">
        <f t="shared" si="967"/>
        <v>33</v>
      </c>
      <c r="F170" s="9">
        <f>운전실적_원본!D170</f>
        <v>231813</v>
      </c>
      <c r="G170" s="16">
        <f t="shared" si="968"/>
        <v>0</v>
      </c>
      <c r="H170" s="15">
        <f>운전실적_원본!E170</f>
        <v>14542</v>
      </c>
      <c r="I170" s="16">
        <f t="shared" si="969"/>
        <v>3</v>
      </c>
      <c r="J170" s="15">
        <f>운전실적_원본!E170</f>
        <v>14542</v>
      </c>
      <c r="K170" s="16">
        <f t="shared" si="969"/>
        <v>3</v>
      </c>
      <c r="L170" s="15">
        <f>운전실적_원본!G170</f>
        <v>3870.5</v>
      </c>
      <c r="M170" s="31">
        <f t="shared" ref="M170" si="981">IF(OR(LEN(L170)=0,L170=0),"",L170-L169)</f>
        <v>0</v>
      </c>
      <c r="N170" s="15">
        <f>운전실적_원본!H170</f>
        <v>16805</v>
      </c>
      <c r="O170" s="16">
        <f t="shared" ref="O170" si="982">IF(OR(LEN(N170)=0,N170=0),"",N170-N169)</f>
        <v>0</v>
      </c>
      <c r="P170" s="15">
        <f>운전실적_원본!I170</f>
        <v>276265</v>
      </c>
      <c r="Q170" s="16">
        <f t="shared" ref="Q170" si="983">IF(OR(LEN(P170)=0,P170=0),"",P170-P169)</f>
        <v>100</v>
      </c>
      <c r="R170" s="18">
        <f>운전실적_원본!J170</f>
        <v>33.42</v>
      </c>
      <c r="S170" s="19">
        <f t="shared" ref="S170" si="984">IF(OR(LEN(R170)=0,R170=0),"",R170-R169)</f>
        <v>5.0000000000004263E-2</v>
      </c>
      <c r="T170" s="18">
        <f>운전실적_원본!K170</f>
        <v>33.42</v>
      </c>
      <c r="U170" s="19">
        <f t="shared" si="974"/>
        <v>5.0000000000004263E-2</v>
      </c>
      <c r="V170" s="12">
        <f>운전실적_원본!L170</f>
        <v>0</v>
      </c>
      <c r="W170" s="16" t="str">
        <f t="shared" ref="W170" si="985">IF(OR(LEN(V170)=0,V170=0),"",V170-V169)</f>
        <v/>
      </c>
      <c r="X170" s="10">
        <f>운전실적_원본!M170</f>
        <v>0</v>
      </c>
      <c r="Y170" s="10">
        <f>운전실적_원본!N170</f>
        <v>0</v>
      </c>
      <c r="Z170" s="10">
        <f>운전실적_원본!O170</f>
        <v>0</v>
      </c>
      <c r="AA170" s="10">
        <f>운전실적_원본!P170</f>
        <v>0</v>
      </c>
      <c r="AB170" s="10">
        <f>운전실적_원본!Q170</f>
        <v>0</v>
      </c>
      <c r="AC170" s="10">
        <f>운전실적_원본!R170</f>
        <v>0</v>
      </c>
      <c r="AD170" s="181">
        <f>운전실적_원본!S170</f>
        <v>0</v>
      </c>
      <c r="AE170" s="181">
        <f>운전실적_원본!T170</f>
        <v>0</v>
      </c>
      <c r="AF170" s="181">
        <f>운전실적_원본!U170</f>
        <v>0</v>
      </c>
      <c r="AG170" s="181">
        <f>운전실적_원본!V170</f>
        <v>0</v>
      </c>
      <c r="AH170" s="106">
        <f t="shared" si="795"/>
        <v>0</v>
      </c>
      <c r="AI170" s="107">
        <f t="shared" si="803"/>
        <v>0</v>
      </c>
      <c r="AJ170" s="107">
        <f t="shared" si="804"/>
        <v>0</v>
      </c>
      <c r="AK170" s="204">
        <f t="shared" si="805"/>
        <v>0</v>
      </c>
      <c r="AL170" s="103"/>
      <c r="AM170" s="103"/>
      <c r="AN170" s="103"/>
      <c r="AO170" s="103"/>
      <c r="AP170" s="103"/>
      <c r="AQ170" s="105"/>
      <c r="AR170" s="103"/>
      <c r="AS170" s="103"/>
      <c r="AT170" s="101"/>
      <c r="AU170" s="101"/>
      <c r="AV170" s="101"/>
      <c r="AW170" s="101"/>
      <c r="AX170" s="32">
        <f>운전실적_원본!W170</f>
        <v>0</v>
      </c>
      <c r="AY170" s="198">
        <f>운전실적_원본!X170</f>
        <v>0</v>
      </c>
      <c r="AZ170" s="198">
        <f>운전실적_원본!Y170</f>
        <v>0</v>
      </c>
      <c r="BA170" s="198">
        <f>운전실적_원본!Z170</f>
        <v>0</v>
      </c>
      <c r="BB170" s="198">
        <f>운전실적_원본!AA170</f>
        <v>0</v>
      </c>
      <c r="BC170" s="198">
        <f>운전실적_원본!AB170</f>
        <v>0</v>
      </c>
      <c r="BD170" s="32" t="str">
        <f t="shared" si="788"/>
        <v>-</v>
      </c>
      <c r="BE170" s="11" t="str">
        <f t="shared" si="796"/>
        <v>-</v>
      </c>
      <c r="BF170" s="11">
        <f>운전실적_원본!AE170</f>
        <v>0</v>
      </c>
      <c r="BG170" s="31">
        <f t="shared" si="789"/>
        <v>0</v>
      </c>
    </row>
    <row r="171" spans="1:59">
      <c r="A171" s="6">
        <f t="shared" si="797"/>
        <v>45823</v>
      </c>
      <c r="B171" s="15">
        <f>운전실적_원본!B171</f>
        <v>6991</v>
      </c>
      <c r="C171" s="16">
        <f t="shared" si="966"/>
        <v>0</v>
      </c>
      <c r="D171" s="9">
        <f>운전실적_원본!C171</f>
        <v>237962</v>
      </c>
      <c r="E171" s="199">
        <f t="shared" si="967"/>
        <v>0</v>
      </c>
      <c r="F171" s="9">
        <f>운전실적_원본!D171</f>
        <v>231813</v>
      </c>
      <c r="G171" s="16">
        <f t="shared" si="968"/>
        <v>0</v>
      </c>
      <c r="H171" s="15">
        <f>운전실적_원본!E171</f>
        <v>14544</v>
      </c>
      <c r="I171" s="16">
        <f t="shared" si="969"/>
        <v>2</v>
      </c>
      <c r="J171" s="15">
        <f>운전실적_원본!E171</f>
        <v>14544</v>
      </c>
      <c r="K171" s="16">
        <f t="shared" si="969"/>
        <v>2</v>
      </c>
      <c r="L171" s="15">
        <f>운전실적_원본!G171</f>
        <v>3871.4</v>
      </c>
      <c r="M171" s="31">
        <f t="shared" ref="M171" si="986">IF(OR(LEN(L171)=0,L171=0),"",L171-L170)</f>
        <v>0.90000000000009095</v>
      </c>
      <c r="N171" s="15">
        <f>운전실적_원본!H171</f>
        <v>16823</v>
      </c>
      <c r="O171" s="16">
        <f t="shared" ref="O171" si="987">IF(OR(LEN(N171)=0,N171=0),"",N171-N170)</f>
        <v>18</v>
      </c>
      <c r="P171" s="15">
        <f>운전실적_원본!I171</f>
        <v>276279</v>
      </c>
      <c r="Q171" s="16">
        <f t="shared" ref="Q171" si="988">IF(OR(LEN(P171)=0,P171=0),"",P171-P170)</f>
        <v>14</v>
      </c>
      <c r="R171" s="18">
        <f>운전실적_원본!J171</f>
        <v>33.4</v>
      </c>
      <c r="S171" s="19">
        <f t="shared" ref="S171" si="989">IF(OR(LEN(R171)=0,R171=0),"",R171-R170)</f>
        <v>-2.0000000000003126E-2</v>
      </c>
      <c r="T171" s="18">
        <f>운전실적_원본!K171</f>
        <v>33.4</v>
      </c>
      <c r="U171" s="19">
        <f t="shared" si="974"/>
        <v>-2.0000000000003126E-2</v>
      </c>
      <c r="V171" s="12">
        <f>운전실적_원본!L171</f>
        <v>0</v>
      </c>
      <c r="W171" s="16" t="str">
        <f t="shared" ref="W171" si="990">IF(OR(LEN(V171)=0,V171=0),"",V171-V170)</f>
        <v/>
      </c>
      <c r="X171" s="10">
        <f>운전실적_원본!M171</f>
        <v>0</v>
      </c>
      <c r="Y171" s="10">
        <f>운전실적_원본!N171</f>
        <v>0</v>
      </c>
      <c r="Z171" s="10">
        <f>운전실적_원본!O171</f>
        <v>0</v>
      </c>
      <c r="AA171" s="10">
        <f>운전실적_원본!P171</f>
        <v>0</v>
      </c>
      <c r="AB171" s="10">
        <f>운전실적_원본!Q171</f>
        <v>0</v>
      </c>
      <c r="AC171" s="10">
        <f>운전실적_원본!R171</f>
        <v>0</v>
      </c>
      <c r="AD171" s="181">
        <f>운전실적_원본!S171</f>
        <v>0</v>
      </c>
      <c r="AE171" s="181">
        <f>운전실적_원본!T171</f>
        <v>0</v>
      </c>
      <c r="AF171" s="181">
        <f>운전실적_원본!U171</f>
        <v>0</v>
      </c>
      <c r="AG171" s="181">
        <f>운전실적_원본!V171</f>
        <v>0</v>
      </c>
      <c r="AH171" s="106">
        <f t="shared" si="795"/>
        <v>0</v>
      </c>
      <c r="AI171" s="107">
        <f t="shared" si="803"/>
        <v>0</v>
      </c>
      <c r="AJ171" s="107">
        <f t="shared" si="804"/>
        <v>0</v>
      </c>
      <c r="AK171" s="204">
        <f t="shared" si="805"/>
        <v>0</v>
      </c>
      <c r="AL171" s="103"/>
      <c r="AM171" s="103"/>
      <c r="AN171" s="103"/>
      <c r="AO171" s="103"/>
      <c r="AP171" s="103"/>
      <c r="AQ171" s="105"/>
      <c r="AR171" s="103"/>
      <c r="AS171" s="103"/>
      <c r="AT171" s="101"/>
      <c r="AU171" s="101"/>
      <c r="AV171" s="101"/>
      <c r="AW171" s="101"/>
      <c r="AX171" s="32">
        <f>운전실적_원본!W171</f>
        <v>0</v>
      </c>
      <c r="AY171" s="198">
        <f>운전실적_원본!X171</f>
        <v>0</v>
      </c>
      <c r="AZ171" s="198">
        <f>운전실적_원본!Y171</f>
        <v>0</v>
      </c>
      <c r="BA171" s="198">
        <f>운전실적_원본!Z171</f>
        <v>0</v>
      </c>
      <c r="BB171" s="198">
        <f>운전실적_원본!AA171</f>
        <v>0</v>
      </c>
      <c r="BC171" s="198">
        <f>운전실적_원본!AB171</f>
        <v>0</v>
      </c>
      <c r="BD171" s="32" t="str">
        <f t="shared" si="788"/>
        <v>-</v>
      </c>
      <c r="BE171" s="11" t="str">
        <f t="shared" si="796"/>
        <v>-</v>
      </c>
      <c r="BF171" s="11">
        <f>운전실적_원본!AE171</f>
        <v>0</v>
      </c>
      <c r="BG171" s="31">
        <f t="shared" si="789"/>
        <v>0</v>
      </c>
    </row>
    <row r="172" spans="1:59">
      <c r="A172" s="6">
        <f t="shared" si="797"/>
        <v>45824</v>
      </c>
      <c r="B172" s="15">
        <f>운전실적_원본!B172</f>
        <v>6991</v>
      </c>
      <c r="C172" s="16">
        <f t="shared" si="966"/>
        <v>0</v>
      </c>
      <c r="D172" s="9">
        <f>운전실적_원본!C172</f>
        <v>237962</v>
      </c>
      <c r="E172" s="199">
        <f t="shared" si="967"/>
        <v>0</v>
      </c>
      <c r="F172" s="9">
        <f>운전실적_원본!D172</f>
        <v>231813</v>
      </c>
      <c r="G172" s="16">
        <f t="shared" si="968"/>
        <v>0</v>
      </c>
      <c r="H172" s="15">
        <f>운전실적_원본!E172</f>
        <v>14552</v>
      </c>
      <c r="I172" s="16">
        <f t="shared" si="969"/>
        <v>8</v>
      </c>
      <c r="J172" s="15">
        <f>운전실적_원본!E172</f>
        <v>14552</v>
      </c>
      <c r="K172" s="16">
        <f t="shared" si="969"/>
        <v>8</v>
      </c>
      <c r="L172" s="15">
        <f>운전실적_원본!G172</f>
        <v>3871.8</v>
      </c>
      <c r="M172" s="31">
        <f t="shared" ref="M172" si="991">IF(OR(LEN(L172)=0,L172=0),"",L172-L171)</f>
        <v>0.40000000000009095</v>
      </c>
      <c r="N172" s="15">
        <f>운전실적_원본!H172</f>
        <v>16823</v>
      </c>
      <c r="O172" s="16">
        <f t="shared" ref="O172" si="992">IF(OR(LEN(N172)=0,N172=0),"",N172-N171)</f>
        <v>0</v>
      </c>
      <c r="P172" s="15">
        <f>운전실적_원본!I172</f>
        <v>276345</v>
      </c>
      <c r="Q172" s="16">
        <f t="shared" ref="Q172" si="993">IF(OR(LEN(P172)=0,P172=0),"",P172-P171)</f>
        <v>66</v>
      </c>
      <c r="R172" s="18">
        <f>운전실적_원본!J172</f>
        <v>33.409999999999997</v>
      </c>
      <c r="S172" s="19">
        <f t="shared" ref="S172" si="994">IF(OR(LEN(R172)=0,R172=0),"",R172-R171)</f>
        <v>9.9999999999980105E-3</v>
      </c>
      <c r="T172" s="18">
        <f>운전실적_원본!K172</f>
        <v>33.409999999999997</v>
      </c>
      <c r="U172" s="19">
        <f t="shared" si="974"/>
        <v>9.9999999999980105E-3</v>
      </c>
      <c r="V172" s="12">
        <f>운전실적_원본!L172</f>
        <v>0</v>
      </c>
      <c r="W172" s="16" t="str">
        <f t="shared" ref="W172" si="995">IF(OR(LEN(V172)=0,V172=0),"",V172-V171)</f>
        <v/>
      </c>
      <c r="X172" s="10">
        <f>운전실적_원본!M172</f>
        <v>0</v>
      </c>
      <c r="Y172" s="10">
        <f>운전실적_원본!N172</f>
        <v>0</v>
      </c>
      <c r="Z172" s="10">
        <f>운전실적_원본!O172</f>
        <v>0</v>
      </c>
      <c r="AA172" s="10">
        <f>운전실적_원본!P172</f>
        <v>0</v>
      </c>
      <c r="AB172" s="10">
        <f>운전실적_원본!Q172</f>
        <v>0</v>
      </c>
      <c r="AC172" s="10">
        <f>운전실적_원본!R172</f>
        <v>0</v>
      </c>
      <c r="AD172" s="181">
        <f>운전실적_원본!S172</f>
        <v>0</v>
      </c>
      <c r="AE172" s="181">
        <f>운전실적_원본!T172</f>
        <v>0</v>
      </c>
      <c r="AF172" s="181">
        <f>운전실적_원본!U172</f>
        <v>0</v>
      </c>
      <c r="AG172" s="181">
        <f>운전실적_원본!V172</f>
        <v>0</v>
      </c>
      <c r="AH172" s="106">
        <f t="shared" si="795"/>
        <v>0</v>
      </c>
      <c r="AI172" s="107">
        <f t="shared" si="803"/>
        <v>0</v>
      </c>
      <c r="AJ172" s="107">
        <f t="shared" si="804"/>
        <v>0</v>
      </c>
      <c r="AK172" s="204">
        <f t="shared" si="805"/>
        <v>0</v>
      </c>
      <c r="AL172" s="103"/>
      <c r="AM172" s="103"/>
      <c r="AN172" s="103"/>
      <c r="AO172" s="103"/>
      <c r="AP172" s="103"/>
      <c r="AQ172" s="105"/>
      <c r="AR172" s="103"/>
      <c r="AS172" s="103"/>
      <c r="AT172" s="101"/>
      <c r="AU172" s="101"/>
      <c r="AV172" s="101"/>
      <c r="AW172" s="101"/>
      <c r="AX172" s="32">
        <f>운전실적_원본!W172</f>
        <v>0</v>
      </c>
      <c r="AY172" s="198">
        <f>운전실적_원본!X172</f>
        <v>0</v>
      </c>
      <c r="AZ172" s="198">
        <f>운전실적_원본!Y172</f>
        <v>0</v>
      </c>
      <c r="BA172" s="198">
        <f>운전실적_원본!Z172</f>
        <v>0</v>
      </c>
      <c r="BB172" s="198">
        <f>운전실적_원본!AA172</f>
        <v>0</v>
      </c>
      <c r="BC172" s="198">
        <f>운전실적_원본!AB172</f>
        <v>0</v>
      </c>
      <c r="BD172" s="32" t="str">
        <f t="shared" si="788"/>
        <v>-</v>
      </c>
      <c r="BE172" s="11" t="str">
        <f t="shared" si="796"/>
        <v>-</v>
      </c>
      <c r="BF172" s="11">
        <f>운전실적_원본!AE172</f>
        <v>0</v>
      </c>
      <c r="BG172" s="31">
        <f t="shared" si="789"/>
        <v>0</v>
      </c>
    </row>
    <row r="173" spans="1:59">
      <c r="A173" s="6">
        <f t="shared" si="797"/>
        <v>45825</v>
      </c>
      <c r="B173" s="15">
        <f>운전실적_원본!B173</f>
        <v>6991</v>
      </c>
      <c r="C173" s="16">
        <f t="shared" si="966"/>
        <v>0</v>
      </c>
      <c r="D173" s="9">
        <f>운전실적_원본!C173</f>
        <v>238009</v>
      </c>
      <c r="E173" s="199">
        <f t="shared" si="967"/>
        <v>47</v>
      </c>
      <c r="F173" s="9">
        <f>운전실적_원본!D173</f>
        <v>231813</v>
      </c>
      <c r="G173" s="16">
        <f t="shared" si="968"/>
        <v>0</v>
      </c>
      <c r="H173" s="15">
        <f>운전실적_원본!E173</f>
        <v>14561</v>
      </c>
      <c r="I173" s="16">
        <f t="shared" si="969"/>
        <v>9</v>
      </c>
      <c r="J173" s="15">
        <f>운전실적_원본!E173</f>
        <v>14561</v>
      </c>
      <c r="K173" s="16">
        <f t="shared" si="969"/>
        <v>9</v>
      </c>
      <c r="L173" s="15">
        <f>운전실적_원본!G173</f>
        <v>3872.4</v>
      </c>
      <c r="M173" s="31">
        <f t="shared" ref="M173" si="996">IF(OR(LEN(L173)=0,L173=0),"",L173-L172)</f>
        <v>0.59999999999990905</v>
      </c>
      <c r="N173" s="15">
        <f>운전실적_원본!H173</f>
        <v>16906</v>
      </c>
      <c r="O173" s="16">
        <f t="shared" ref="O173" si="997">IF(OR(LEN(N173)=0,N173=0),"",N173-N172)</f>
        <v>83</v>
      </c>
      <c r="P173" s="15">
        <f>운전실적_원본!I173</f>
        <v>276464</v>
      </c>
      <c r="Q173" s="16">
        <f t="shared" ref="Q173" si="998">IF(OR(LEN(P173)=0,P173=0),"",P173-P172)</f>
        <v>119</v>
      </c>
      <c r="R173" s="18">
        <f>운전실적_원본!J173</f>
        <v>33.39</v>
      </c>
      <c r="S173" s="19">
        <f t="shared" ref="S173" si="999">IF(OR(LEN(R173)=0,R173=0),"",R173-R172)</f>
        <v>-1.9999999999996021E-2</v>
      </c>
      <c r="T173" s="18">
        <f>운전실적_원본!K173</f>
        <v>33.39</v>
      </c>
      <c r="U173" s="19">
        <f t="shared" si="974"/>
        <v>-1.9999999999996021E-2</v>
      </c>
      <c r="V173" s="12">
        <f>운전실적_원본!L173</f>
        <v>0</v>
      </c>
      <c r="W173" s="16" t="str">
        <f t="shared" ref="W173" si="1000">IF(OR(LEN(V173)=0,V173=0),"",V173-V172)</f>
        <v/>
      </c>
      <c r="X173" s="10">
        <f>운전실적_원본!M173</f>
        <v>0</v>
      </c>
      <c r="Y173" s="10">
        <f>운전실적_원본!N173</f>
        <v>0</v>
      </c>
      <c r="Z173" s="10">
        <f>운전실적_원본!O173</f>
        <v>0</v>
      </c>
      <c r="AA173" s="10">
        <f>운전실적_원본!P173</f>
        <v>0</v>
      </c>
      <c r="AB173" s="10">
        <f>운전실적_원본!Q173</f>
        <v>0</v>
      </c>
      <c r="AC173" s="10">
        <f>운전실적_원본!R173</f>
        <v>0</v>
      </c>
      <c r="AD173" s="181">
        <f>운전실적_원본!S173</f>
        <v>0</v>
      </c>
      <c r="AE173" s="181">
        <f>운전실적_원본!T173</f>
        <v>0</v>
      </c>
      <c r="AF173" s="181">
        <f>운전실적_원본!U173</f>
        <v>0</v>
      </c>
      <c r="AG173" s="181">
        <f>운전실적_원본!V173</f>
        <v>0</v>
      </c>
      <c r="AH173" s="106">
        <f t="shared" si="795"/>
        <v>0</v>
      </c>
      <c r="AI173" s="107">
        <f t="shared" si="803"/>
        <v>0</v>
      </c>
      <c r="AJ173" s="107">
        <f t="shared" si="804"/>
        <v>0</v>
      </c>
      <c r="AK173" s="204">
        <f t="shared" si="805"/>
        <v>0</v>
      </c>
      <c r="AL173" s="103"/>
      <c r="AM173" s="103"/>
      <c r="AN173" s="103"/>
      <c r="AO173" s="103"/>
      <c r="AP173" s="103"/>
      <c r="AQ173" s="105"/>
      <c r="AR173" s="103"/>
      <c r="AS173" s="103"/>
      <c r="AT173" s="101"/>
      <c r="AU173" s="101"/>
      <c r="AV173" s="101"/>
      <c r="AW173" s="101"/>
      <c r="AX173" s="32">
        <f>운전실적_원본!W173</f>
        <v>0</v>
      </c>
      <c r="AY173" s="198">
        <f>운전실적_원본!X173</f>
        <v>0</v>
      </c>
      <c r="AZ173" s="198">
        <f>운전실적_원본!Y173</f>
        <v>0</v>
      </c>
      <c r="BA173" s="198">
        <f>운전실적_원본!Z173</f>
        <v>0</v>
      </c>
      <c r="BB173" s="198">
        <f>운전실적_원본!AA173</f>
        <v>0</v>
      </c>
      <c r="BC173" s="198">
        <f>운전실적_원본!AB173</f>
        <v>0</v>
      </c>
      <c r="BD173" s="32" t="str">
        <f t="shared" si="788"/>
        <v>-</v>
      </c>
      <c r="BE173" s="11" t="str">
        <f t="shared" si="796"/>
        <v>-</v>
      </c>
      <c r="BF173" s="11">
        <f>운전실적_원본!AE173</f>
        <v>0</v>
      </c>
      <c r="BG173" s="31">
        <f t="shared" si="789"/>
        <v>0</v>
      </c>
    </row>
    <row r="174" spans="1:59">
      <c r="A174" s="6">
        <f t="shared" si="797"/>
        <v>45826</v>
      </c>
      <c r="B174" s="15">
        <f>운전실적_원본!B174</f>
        <v>6991</v>
      </c>
      <c r="C174" s="16">
        <f t="shared" si="966"/>
        <v>0</v>
      </c>
      <c r="D174" s="9">
        <f>운전실적_원본!C174</f>
        <v>238049</v>
      </c>
      <c r="E174" s="199">
        <f t="shared" si="967"/>
        <v>40</v>
      </c>
      <c r="F174" s="9">
        <f>운전실적_원본!D174</f>
        <v>231813</v>
      </c>
      <c r="G174" s="16">
        <f t="shared" si="968"/>
        <v>0</v>
      </c>
      <c r="H174" s="15">
        <f>운전실적_원본!E174</f>
        <v>14572</v>
      </c>
      <c r="I174" s="16">
        <f t="shared" si="969"/>
        <v>11</v>
      </c>
      <c r="J174" s="15">
        <f>운전실적_원본!E174</f>
        <v>14572</v>
      </c>
      <c r="K174" s="16">
        <f t="shared" si="969"/>
        <v>11</v>
      </c>
      <c r="L174" s="15">
        <f>운전실적_원본!G174</f>
        <v>3872.7</v>
      </c>
      <c r="M174" s="31">
        <f t="shared" ref="M174" si="1001">IF(OR(LEN(L174)=0,L174=0),"",L174-L173)</f>
        <v>0.29999999999972715</v>
      </c>
      <c r="N174" s="15">
        <f>운전실적_원본!H174</f>
        <v>16906</v>
      </c>
      <c r="O174" s="16">
        <f t="shared" ref="O174" si="1002">IF(OR(LEN(N174)=0,N174=0),"",N174-N173)</f>
        <v>0</v>
      </c>
      <c r="P174" s="15">
        <f>운전실적_원본!I174</f>
        <v>276588</v>
      </c>
      <c r="Q174" s="16">
        <f t="shared" ref="Q174" si="1003">IF(OR(LEN(P174)=0,P174=0),"",P174-P173)</f>
        <v>124</v>
      </c>
      <c r="R174" s="18">
        <f>운전실적_원본!J174</f>
        <v>33.43</v>
      </c>
      <c r="S174" s="19">
        <f t="shared" ref="S174" si="1004">IF(OR(LEN(R174)=0,R174=0),"",R174-R173)</f>
        <v>3.9999999999999147E-2</v>
      </c>
      <c r="T174" s="18">
        <f>운전실적_원본!K174</f>
        <v>33.43</v>
      </c>
      <c r="U174" s="19">
        <f t="shared" si="974"/>
        <v>3.9999999999999147E-2</v>
      </c>
      <c r="V174" s="12">
        <f>운전실적_원본!L174</f>
        <v>0</v>
      </c>
      <c r="W174" s="16" t="str">
        <f t="shared" ref="W174" si="1005">IF(OR(LEN(V174)=0,V174=0),"",V174-V173)</f>
        <v/>
      </c>
      <c r="X174" s="10">
        <f>운전실적_원본!M174</f>
        <v>0</v>
      </c>
      <c r="Y174" s="10">
        <f>운전실적_원본!N174</f>
        <v>0</v>
      </c>
      <c r="Z174" s="10">
        <f>운전실적_원본!O174</f>
        <v>0</v>
      </c>
      <c r="AA174" s="10">
        <f>운전실적_원본!P174</f>
        <v>0</v>
      </c>
      <c r="AB174" s="10">
        <f>운전실적_원본!Q174</f>
        <v>0</v>
      </c>
      <c r="AC174" s="10">
        <f>운전실적_원본!R174</f>
        <v>0</v>
      </c>
      <c r="AD174" s="181">
        <f>운전실적_원본!S174</f>
        <v>0</v>
      </c>
      <c r="AE174" s="181">
        <f>운전실적_원본!T174</f>
        <v>0</v>
      </c>
      <c r="AF174" s="181">
        <f>운전실적_원본!U174</f>
        <v>0</v>
      </c>
      <c r="AG174" s="181">
        <f>운전실적_원본!V174</f>
        <v>0</v>
      </c>
      <c r="AH174" s="106">
        <f t="shared" si="795"/>
        <v>0</v>
      </c>
      <c r="AI174" s="107">
        <f t="shared" si="803"/>
        <v>0</v>
      </c>
      <c r="AJ174" s="107">
        <f t="shared" si="804"/>
        <v>0</v>
      </c>
      <c r="AK174" s="204">
        <f t="shared" si="805"/>
        <v>0</v>
      </c>
      <c r="AL174" s="103"/>
      <c r="AM174" s="103"/>
      <c r="AN174" s="103"/>
      <c r="AO174" s="103"/>
      <c r="AP174" s="103"/>
      <c r="AQ174" s="105"/>
      <c r="AR174" s="103"/>
      <c r="AS174" s="103"/>
      <c r="AT174" s="101"/>
      <c r="AU174" s="101"/>
      <c r="AV174" s="101"/>
      <c r="AW174" s="101"/>
      <c r="AX174" s="32">
        <f>운전실적_원본!W174</f>
        <v>0</v>
      </c>
      <c r="AY174" s="198">
        <f>운전실적_원본!X174</f>
        <v>0</v>
      </c>
      <c r="AZ174" s="198">
        <f>운전실적_원본!Y174</f>
        <v>0</v>
      </c>
      <c r="BA174" s="198">
        <f>운전실적_원본!Z174</f>
        <v>0</v>
      </c>
      <c r="BB174" s="198">
        <f>운전실적_원본!AA174</f>
        <v>0</v>
      </c>
      <c r="BC174" s="198">
        <f>운전실적_원본!AB174</f>
        <v>0</v>
      </c>
      <c r="BD174" s="32" t="str">
        <f t="shared" si="788"/>
        <v>-</v>
      </c>
      <c r="BE174" s="11" t="str">
        <f t="shared" si="796"/>
        <v>-</v>
      </c>
      <c r="BF174" s="11">
        <f>운전실적_원본!AE174</f>
        <v>0</v>
      </c>
      <c r="BG174" s="31">
        <f t="shared" si="789"/>
        <v>0</v>
      </c>
    </row>
    <row r="175" spans="1:59">
      <c r="A175" s="6">
        <f t="shared" si="797"/>
        <v>45827</v>
      </c>
      <c r="B175" s="15">
        <f>운전실적_원본!B175</f>
        <v>6991</v>
      </c>
      <c r="C175" s="16">
        <f t="shared" si="966"/>
        <v>0</v>
      </c>
      <c r="D175" s="9">
        <f>운전실적_원본!C175</f>
        <v>238049</v>
      </c>
      <c r="E175" s="199">
        <f t="shared" si="967"/>
        <v>0</v>
      </c>
      <c r="F175" s="9">
        <f>운전실적_원본!D175</f>
        <v>231852</v>
      </c>
      <c r="G175" s="16">
        <f t="shared" si="968"/>
        <v>39</v>
      </c>
      <c r="H175" s="15">
        <f>운전실적_원본!E175</f>
        <v>14572</v>
      </c>
      <c r="I175" s="16">
        <f t="shared" si="969"/>
        <v>0</v>
      </c>
      <c r="J175" s="15">
        <f>운전실적_원본!E175</f>
        <v>14572</v>
      </c>
      <c r="K175" s="16">
        <f t="shared" si="969"/>
        <v>0</v>
      </c>
      <c r="L175" s="15">
        <f>운전실적_원본!G175</f>
        <v>3873.5</v>
      </c>
      <c r="M175" s="31">
        <f t="shared" ref="M175" si="1006">IF(OR(LEN(L175)=0,L175=0),"",L175-L174)</f>
        <v>0.8000000000001819</v>
      </c>
      <c r="N175" s="15">
        <f>운전실적_원본!H175</f>
        <v>16963</v>
      </c>
      <c r="O175" s="16">
        <f t="shared" ref="O175" si="1007">IF(OR(LEN(N175)=0,N175=0),"",N175-N174)</f>
        <v>57</v>
      </c>
      <c r="P175" s="15">
        <f>운전실적_원본!I175</f>
        <v>276744</v>
      </c>
      <c r="Q175" s="16">
        <f t="shared" ref="Q175" si="1008">IF(OR(LEN(P175)=0,P175=0),"",P175-P174)</f>
        <v>156</v>
      </c>
      <c r="R175" s="18">
        <f>운전실적_원본!J175</f>
        <v>33.869999999999997</v>
      </c>
      <c r="S175" s="19">
        <f t="shared" ref="S175" si="1009">IF(OR(LEN(R175)=0,R175=0),"",R175-R174)</f>
        <v>0.43999999999999773</v>
      </c>
      <c r="T175" s="18">
        <f>운전실적_원본!K175</f>
        <v>33.869999999999997</v>
      </c>
      <c r="U175" s="19">
        <f t="shared" si="974"/>
        <v>0.43999999999999773</v>
      </c>
      <c r="V175" s="12">
        <f>운전실적_원본!L175</f>
        <v>0</v>
      </c>
      <c r="W175" s="16" t="str">
        <f t="shared" ref="W175" si="1010">IF(OR(LEN(V175)=0,V175=0),"",V175-V174)</f>
        <v/>
      </c>
      <c r="X175" s="10">
        <f>운전실적_원본!M175</f>
        <v>0</v>
      </c>
      <c r="Y175" s="10">
        <f>운전실적_원본!N175</f>
        <v>0</v>
      </c>
      <c r="Z175" s="10">
        <f>운전실적_원본!O175</f>
        <v>0</v>
      </c>
      <c r="AA175" s="10">
        <f>운전실적_원본!P175</f>
        <v>0</v>
      </c>
      <c r="AB175" s="10">
        <f>운전실적_원본!Q175</f>
        <v>0</v>
      </c>
      <c r="AC175" s="10">
        <f>운전실적_원본!R175</f>
        <v>0</v>
      </c>
      <c r="AD175" s="181">
        <f>운전실적_원본!S175</f>
        <v>0</v>
      </c>
      <c r="AE175" s="181">
        <f>운전실적_원본!T175</f>
        <v>0</v>
      </c>
      <c r="AF175" s="181">
        <f>운전실적_원본!U175</f>
        <v>0</v>
      </c>
      <c r="AG175" s="181">
        <f>운전실적_원본!V175</f>
        <v>0</v>
      </c>
      <c r="AH175" s="106">
        <f t="shared" si="795"/>
        <v>0</v>
      </c>
      <c r="AI175" s="107">
        <f t="shared" si="803"/>
        <v>0</v>
      </c>
      <c r="AJ175" s="107">
        <f t="shared" si="804"/>
        <v>0</v>
      </c>
      <c r="AK175" s="204">
        <f t="shared" si="805"/>
        <v>0</v>
      </c>
      <c r="AL175" s="103"/>
      <c r="AM175" s="103"/>
      <c r="AN175" s="103"/>
      <c r="AO175" s="103"/>
      <c r="AP175" s="103"/>
      <c r="AQ175" s="105"/>
      <c r="AR175" s="103"/>
      <c r="AS175" s="103"/>
      <c r="AT175" s="101"/>
      <c r="AU175" s="101"/>
      <c r="AV175" s="101"/>
      <c r="AW175" s="101"/>
      <c r="AX175" s="32">
        <f>운전실적_원본!W175</f>
        <v>0</v>
      </c>
      <c r="AY175" s="198">
        <f>운전실적_원본!X175</f>
        <v>0</v>
      </c>
      <c r="AZ175" s="198">
        <f>운전실적_원본!Y175</f>
        <v>0</v>
      </c>
      <c r="BA175" s="198">
        <f>운전실적_원본!Z175</f>
        <v>0</v>
      </c>
      <c r="BB175" s="198">
        <f>운전실적_원본!AA175</f>
        <v>0</v>
      </c>
      <c r="BC175" s="198">
        <f>운전실적_원본!AB175</f>
        <v>0</v>
      </c>
      <c r="BD175" s="32" t="str">
        <f t="shared" si="788"/>
        <v>-</v>
      </c>
      <c r="BE175" s="11" t="str">
        <f t="shared" si="796"/>
        <v>-</v>
      </c>
      <c r="BF175" s="11">
        <f>운전실적_원본!AE175</f>
        <v>0</v>
      </c>
      <c r="BG175" s="31">
        <f t="shared" si="789"/>
        <v>0</v>
      </c>
    </row>
    <row r="176" spans="1:59">
      <c r="A176" s="6">
        <f t="shared" si="797"/>
        <v>45828</v>
      </c>
      <c r="B176" s="15">
        <f>운전실적_원본!B176</f>
        <v>6991</v>
      </c>
      <c r="C176" s="16">
        <f t="shared" si="966"/>
        <v>0</v>
      </c>
      <c r="D176" s="9">
        <f>운전실적_원본!C176</f>
        <v>238049</v>
      </c>
      <c r="E176" s="199">
        <f t="shared" si="967"/>
        <v>0</v>
      </c>
      <c r="F176" s="9">
        <f>운전실적_원본!D176</f>
        <v>231852</v>
      </c>
      <c r="G176" s="16">
        <f t="shared" si="968"/>
        <v>0</v>
      </c>
      <c r="H176" s="15">
        <f>운전실적_원본!E176</f>
        <v>14594</v>
      </c>
      <c r="I176" s="16">
        <f t="shared" si="969"/>
        <v>22</v>
      </c>
      <c r="J176" s="15">
        <f>운전실적_원본!E176</f>
        <v>14594</v>
      </c>
      <c r="K176" s="16">
        <f t="shared" si="969"/>
        <v>22</v>
      </c>
      <c r="L176" s="15">
        <f>운전실적_원본!G176</f>
        <v>3873.8</v>
      </c>
      <c r="M176" s="31">
        <f t="shared" ref="M176" si="1011">IF(OR(LEN(L176)=0,L176=0),"",L176-L175)</f>
        <v>0.3000000000001819</v>
      </c>
      <c r="N176" s="15">
        <f>운전실적_원본!H176</f>
        <v>16963</v>
      </c>
      <c r="O176" s="16">
        <f t="shared" ref="O176" si="1012">IF(OR(LEN(N176)=0,N176=0),"",N176-N175)</f>
        <v>0</v>
      </c>
      <c r="P176" s="15">
        <f>운전실적_원본!I176</f>
        <v>276765</v>
      </c>
      <c r="Q176" s="16">
        <f t="shared" ref="Q176" si="1013">IF(OR(LEN(P176)=0,P176=0),"",P176-P175)</f>
        <v>21</v>
      </c>
      <c r="R176" s="18">
        <f>운전실적_원본!J176</f>
        <v>33.409999999999997</v>
      </c>
      <c r="S176" s="19">
        <f t="shared" ref="S176" si="1014">IF(OR(LEN(R176)=0,R176=0),"",R176-R175)</f>
        <v>-0.46000000000000085</v>
      </c>
      <c r="T176" s="18">
        <f>운전실적_원본!K176</f>
        <v>33.409999999999997</v>
      </c>
      <c r="U176" s="19">
        <f t="shared" si="974"/>
        <v>-0.46000000000000085</v>
      </c>
      <c r="V176" s="12">
        <f>운전실적_원본!L176</f>
        <v>0</v>
      </c>
      <c r="W176" s="16" t="str">
        <f t="shared" ref="W176" si="1015">IF(OR(LEN(V176)=0,V176=0),"",V176-V175)</f>
        <v/>
      </c>
      <c r="X176" s="10">
        <f>운전실적_원본!M176</f>
        <v>0</v>
      </c>
      <c r="Y176" s="10">
        <f>운전실적_원본!N176</f>
        <v>0</v>
      </c>
      <c r="Z176" s="10">
        <f>운전실적_원본!O176</f>
        <v>0</v>
      </c>
      <c r="AA176" s="10">
        <f>운전실적_원본!P176</f>
        <v>0</v>
      </c>
      <c r="AB176" s="10">
        <f>운전실적_원본!Q176</f>
        <v>0</v>
      </c>
      <c r="AC176" s="10">
        <f>운전실적_원본!R176</f>
        <v>0</v>
      </c>
      <c r="AD176" s="181">
        <f>운전실적_원본!S176</f>
        <v>0</v>
      </c>
      <c r="AE176" s="181">
        <f>운전실적_원본!T176</f>
        <v>0</v>
      </c>
      <c r="AF176" s="181">
        <f>운전실적_원본!U176</f>
        <v>0</v>
      </c>
      <c r="AG176" s="181">
        <f>운전실적_원본!V176</f>
        <v>0</v>
      </c>
      <c r="AH176" s="106">
        <f t="shared" si="795"/>
        <v>0</v>
      </c>
      <c r="AI176" s="107">
        <f t="shared" si="803"/>
        <v>0</v>
      </c>
      <c r="AJ176" s="107">
        <f t="shared" si="804"/>
        <v>0</v>
      </c>
      <c r="AK176" s="204">
        <f t="shared" si="805"/>
        <v>0</v>
      </c>
      <c r="AL176" s="103"/>
      <c r="AM176" s="103"/>
      <c r="AN176" s="103"/>
      <c r="AO176" s="103"/>
      <c r="AP176" s="103"/>
      <c r="AQ176" s="105"/>
      <c r="AR176" s="103"/>
      <c r="AS176" s="103"/>
      <c r="AT176" s="101"/>
      <c r="AU176" s="101"/>
      <c r="AV176" s="101"/>
      <c r="AW176" s="101"/>
      <c r="AX176" s="32">
        <f>운전실적_원본!W176</f>
        <v>0</v>
      </c>
      <c r="AY176" s="198">
        <f>운전실적_원본!X176</f>
        <v>0</v>
      </c>
      <c r="AZ176" s="198">
        <f>운전실적_원본!Y176</f>
        <v>0</v>
      </c>
      <c r="BA176" s="198">
        <f>운전실적_원본!Z176</f>
        <v>0</v>
      </c>
      <c r="BB176" s="198">
        <f>운전실적_원본!AA176</f>
        <v>0</v>
      </c>
      <c r="BC176" s="198">
        <f>운전실적_원본!AB176</f>
        <v>0</v>
      </c>
      <c r="BD176" s="32" t="str">
        <f t="shared" si="788"/>
        <v>-</v>
      </c>
      <c r="BE176" s="11" t="str">
        <f t="shared" si="796"/>
        <v>-</v>
      </c>
      <c r="BF176" s="11">
        <f>운전실적_원본!AE176</f>
        <v>0</v>
      </c>
      <c r="BG176" s="31">
        <f t="shared" si="789"/>
        <v>0</v>
      </c>
    </row>
    <row r="177" spans="1:59">
      <c r="A177" s="6">
        <f t="shared" si="797"/>
        <v>45829</v>
      </c>
      <c r="B177" s="15">
        <f>운전실적_원본!B177</f>
        <v>6991</v>
      </c>
      <c r="C177" s="16">
        <f t="shared" si="966"/>
        <v>0</v>
      </c>
      <c r="D177" s="9">
        <f>운전실적_원본!C177</f>
        <v>238049</v>
      </c>
      <c r="E177" s="199">
        <f t="shared" si="967"/>
        <v>0</v>
      </c>
      <c r="F177" s="9">
        <f>운전실적_원본!D177</f>
        <v>231852</v>
      </c>
      <c r="G177" s="16">
        <f t="shared" si="968"/>
        <v>0</v>
      </c>
      <c r="H177" s="15">
        <f>운전실적_원본!E177</f>
        <v>14596.2</v>
      </c>
      <c r="I177" s="16">
        <f t="shared" si="969"/>
        <v>2.2000000000007276</v>
      </c>
      <c r="J177" s="15">
        <f>운전실적_원본!E177</f>
        <v>14596.2</v>
      </c>
      <c r="K177" s="16">
        <f t="shared" si="969"/>
        <v>2.2000000000007276</v>
      </c>
      <c r="L177" s="15">
        <f>운전실적_원본!G177</f>
        <v>3874.1</v>
      </c>
      <c r="M177" s="31">
        <f t="shared" ref="M177" si="1016">IF(OR(LEN(L177)=0,L177=0),"",L177-L176)</f>
        <v>0.29999999999972715</v>
      </c>
      <c r="N177" s="15">
        <f>운전실적_원본!H177</f>
        <v>16963</v>
      </c>
      <c r="O177" s="16">
        <f t="shared" ref="O177" si="1017">IF(OR(LEN(N177)=0,N177=0),"",N177-N176)</f>
        <v>0</v>
      </c>
      <c r="P177" s="15">
        <f>운전실적_원본!I177</f>
        <v>276828</v>
      </c>
      <c r="Q177" s="16">
        <f t="shared" ref="Q177" si="1018">IF(OR(LEN(P177)=0,P177=0),"",P177-P176)</f>
        <v>63</v>
      </c>
      <c r="R177" s="18">
        <f>운전실적_원본!J177</f>
        <v>33.74</v>
      </c>
      <c r="S177" s="19">
        <f t="shared" ref="S177" si="1019">IF(OR(LEN(R177)=0,R177=0),"",R177-R176)</f>
        <v>0.3300000000000054</v>
      </c>
      <c r="T177" s="18">
        <f>운전실적_원본!K177</f>
        <v>33.25</v>
      </c>
      <c r="U177" s="19">
        <f t="shared" si="974"/>
        <v>-0.15999999999999659</v>
      </c>
      <c r="V177" s="12">
        <f>운전실적_원본!L177</f>
        <v>8441</v>
      </c>
      <c r="W177" s="16">
        <f t="shared" ref="W177" si="1020">IF(OR(LEN(V177)=0,V177=0),"",V177-V176)</f>
        <v>8441</v>
      </c>
      <c r="X177" s="10">
        <f>운전실적_원본!M177</f>
        <v>0</v>
      </c>
      <c r="Y177" s="10">
        <f>운전실적_원본!N177</f>
        <v>0</v>
      </c>
      <c r="Z177" s="10">
        <f>운전실적_원본!O177</f>
        <v>0</v>
      </c>
      <c r="AA177" s="10">
        <f>운전실적_원본!P177</f>
        <v>0</v>
      </c>
      <c r="AB177" s="10">
        <f>운전실적_원본!Q177</f>
        <v>0</v>
      </c>
      <c r="AC177" s="10">
        <f>운전실적_원본!R177</f>
        <v>0</v>
      </c>
      <c r="AD177" s="181">
        <f>운전실적_원본!S177</f>
        <v>0</v>
      </c>
      <c r="AE177" s="181">
        <f>운전실적_원본!T177</f>
        <v>0</v>
      </c>
      <c r="AF177" s="181">
        <f>운전실적_원본!U177</f>
        <v>0</v>
      </c>
      <c r="AG177" s="181">
        <f>운전실적_원본!V177</f>
        <v>0</v>
      </c>
      <c r="AH177" s="106">
        <f t="shared" si="795"/>
        <v>0</v>
      </c>
      <c r="AI177" s="107">
        <f t="shared" si="803"/>
        <v>0</v>
      </c>
      <c r="AJ177" s="107">
        <f t="shared" si="804"/>
        <v>0</v>
      </c>
      <c r="AK177" s="204">
        <f t="shared" si="805"/>
        <v>0</v>
      </c>
      <c r="AL177" s="103"/>
      <c r="AM177" s="103"/>
      <c r="AN177" s="103"/>
      <c r="AO177" s="103"/>
      <c r="AP177" s="103"/>
      <c r="AQ177" s="105"/>
      <c r="AR177" s="103"/>
      <c r="AS177" s="103"/>
      <c r="AT177" s="101"/>
      <c r="AU177" s="101"/>
      <c r="AV177" s="101"/>
      <c r="AW177" s="101"/>
      <c r="AX177" s="32">
        <f>운전실적_원본!W177</f>
        <v>0</v>
      </c>
      <c r="AY177" s="198">
        <f>운전실적_원본!X177</f>
        <v>0</v>
      </c>
      <c r="AZ177" s="198">
        <f>운전실적_원본!Y177</f>
        <v>0</v>
      </c>
      <c r="BA177" s="198">
        <f>운전실적_원본!Z177</f>
        <v>0</v>
      </c>
      <c r="BB177" s="198">
        <f>운전실적_원본!AA177</f>
        <v>0</v>
      </c>
      <c r="BC177" s="198">
        <f>운전실적_원본!AB177</f>
        <v>0</v>
      </c>
      <c r="BD177" s="32" t="str">
        <f t="shared" si="788"/>
        <v>-</v>
      </c>
      <c r="BE177" s="11" t="str">
        <f t="shared" si="796"/>
        <v>-</v>
      </c>
      <c r="BF177" s="11">
        <f>운전실적_원본!AE177</f>
        <v>0</v>
      </c>
      <c r="BG177" s="31">
        <f t="shared" si="789"/>
        <v>0</v>
      </c>
    </row>
    <row r="178" spans="1:59">
      <c r="A178" s="6">
        <f t="shared" si="797"/>
        <v>45830</v>
      </c>
      <c r="B178" s="15">
        <f>운전실적_원본!B178</f>
        <v>6991</v>
      </c>
      <c r="C178" s="16">
        <f t="shared" si="966"/>
        <v>0</v>
      </c>
      <c r="D178" s="9">
        <f>운전실적_원본!C178</f>
        <v>238049</v>
      </c>
      <c r="E178" s="199">
        <f t="shared" si="967"/>
        <v>0</v>
      </c>
      <c r="F178" s="9">
        <f>운전실적_원본!D178</f>
        <v>231852</v>
      </c>
      <c r="G178" s="16">
        <f t="shared" si="968"/>
        <v>0</v>
      </c>
      <c r="H178" s="15">
        <f>운전실적_원본!E178</f>
        <v>14598.2</v>
      </c>
      <c r="I178" s="16">
        <f t="shared" si="969"/>
        <v>2</v>
      </c>
      <c r="J178" s="15">
        <f>운전실적_원본!E178</f>
        <v>14598.2</v>
      </c>
      <c r="K178" s="16">
        <f t="shared" si="969"/>
        <v>2</v>
      </c>
      <c r="L178" s="15">
        <f>운전실적_원본!G178</f>
        <v>3874.5</v>
      </c>
      <c r="M178" s="31">
        <f t="shared" ref="M178" si="1021">IF(OR(LEN(L178)=0,L178=0),"",L178-L177)</f>
        <v>0.40000000000009095</v>
      </c>
      <c r="N178" s="15">
        <f>운전실적_원본!H178</f>
        <v>16963</v>
      </c>
      <c r="O178" s="16">
        <f t="shared" ref="O178" si="1022">IF(OR(LEN(N178)=0,N178=0),"",N178-N177)</f>
        <v>0</v>
      </c>
      <c r="P178" s="15">
        <f>운전실적_원본!I178</f>
        <v>276843</v>
      </c>
      <c r="Q178" s="16">
        <f t="shared" ref="Q178" si="1023">IF(OR(LEN(P178)=0,P178=0),"",P178-P177)</f>
        <v>15</v>
      </c>
      <c r="R178" s="18">
        <f>운전실적_원본!J178</f>
        <v>33.5</v>
      </c>
      <c r="S178" s="19">
        <f t="shared" ref="S178" si="1024">IF(OR(LEN(R178)=0,R178=0),"",R178-R177)</f>
        <v>-0.24000000000000199</v>
      </c>
      <c r="T178" s="18">
        <f>운전실적_원본!K178</f>
        <v>33.299999999999997</v>
      </c>
      <c r="U178" s="19">
        <f t="shared" si="974"/>
        <v>4.9999999999997158E-2</v>
      </c>
      <c r="V178" s="12">
        <f>운전실적_원본!L178</f>
        <v>8333</v>
      </c>
      <c r="W178" s="16">
        <f t="shared" ref="W178" si="1025">IF(OR(LEN(V178)=0,V178=0),"",V178-V177)</f>
        <v>-108</v>
      </c>
      <c r="X178" s="10">
        <f>운전실적_원본!M178</f>
        <v>0</v>
      </c>
      <c r="Y178" s="10">
        <f>운전실적_원본!N178</f>
        <v>0</v>
      </c>
      <c r="Z178" s="10">
        <f>운전실적_원본!O178</f>
        <v>0</v>
      </c>
      <c r="AA178" s="10">
        <f>운전실적_원본!P178</f>
        <v>0</v>
      </c>
      <c r="AB178" s="10">
        <f>운전실적_원본!Q178</f>
        <v>0</v>
      </c>
      <c r="AC178" s="10">
        <f>운전실적_원본!R178</f>
        <v>0</v>
      </c>
      <c r="AD178" s="181">
        <f>운전실적_원본!S178</f>
        <v>0</v>
      </c>
      <c r="AE178" s="181">
        <f>운전실적_원본!T178</f>
        <v>0</v>
      </c>
      <c r="AF178" s="181">
        <f>운전실적_원본!U178</f>
        <v>0</v>
      </c>
      <c r="AG178" s="181">
        <f>운전실적_원본!V178</f>
        <v>0</v>
      </c>
      <c r="AH178" s="106">
        <f t="shared" si="795"/>
        <v>0</v>
      </c>
      <c r="AI178" s="107">
        <f t="shared" si="803"/>
        <v>0</v>
      </c>
      <c r="AJ178" s="107">
        <f t="shared" si="804"/>
        <v>0</v>
      </c>
      <c r="AK178" s="204">
        <f t="shared" si="805"/>
        <v>0</v>
      </c>
      <c r="AL178" s="103"/>
      <c r="AM178" s="103"/>
      <c r="AN178" s="103"/>
      <c r="AO178" s="103"/>
      <c r="AP178" s="103"/>
      <c r="AQ178" s="105"/>
      <c r="AR178" s="103"/>
      <c r="AS178" s="103"/>
      <c r="AT178" s="101"/>
      <c r="AU178" s="101"/>
      <c r="AV178" s="101"/>
      <c r="AW178" s="101"/>
      <c r="AX178" s="32">
        <f>운전실적_원본!W178</f>
        <v>0</v>
      </c>
      <c r="AY178" s="198">
        <f>운전실적_원본!X178</f>
        <v>0</v>
      </c>
      <c r="AZ178" s="198">
        <f>운전실적_원본!Y178</f>
        <v>0</v>
      </c>
      <c r="BA178" s="198">
        <f>운전실적_원본!Z178</f>
        <v>0</v>
      </c>
      <c r="BB178" s="198">
        <f>운전실적_원본!AA178</f>
        <v>0</v>
      </c>
      <c r="BC178" s="198">
        <f>운전실적_원본!AB178</f>
        <v>0</v>
      </c>
      <c r="BD178" s="32" t="str">
        <f t="shared" si="788"/>
        <v>-</v>
      </c>
      <c r="BE178" s="11" t="str">
        <f t="shared" si="796"/>
        <v>-</v>
      </c>
      <c r="BF178" s="11">
        <f>운전실적_원본!AE178</f>
        <v>0</v>
      </c>
      <c r="BG178" s="31">
        <f t="shared" si="789"/>
        <v>0</v>
      </c>
    </row>
    <row r="179" spans="1:59">
      <c r="A179" s="6">
        <f t="shared" si="797"/>
        <v>45831</v>
      </c>
      <c r="B179" s="15">
        <f>운전실적_원본!B179</f>
        <v>6991</v>
      </c>
      <c r="C179" s="16">
        <f t="shared" si="966"/>
        <v>0</v>
      </c>
      <c r="D179" s="9">
        <f>운전실적_원본!C179</f>
        <v>238049</v>
      </c>
      <c r="E179" s="199">
        <f t="shared" si="967"/>
        <v>0</v>
      </c>
      <c r="F179" s="9">
        <f>운전실적_원본!D179</f>
        <v>231852</v>
      </c>
      <c r="G179" s="16">
        <f t="shared" si="968"/>
        <v>0</v>
      </c>
      <c r="H179" s="15">
        <f>운전실적_원본!E179</f>
        <v>14603</v>
      </c>
      <c r="I179" s="16">
        <f t="shared" si="969"/>
        <v>4.7999999999992724</v>
      </c>
      <c r="J179" s="15">
        <f>운전실적_원본!E179</f>
        <v>14603</v>
      </c>
      <c r="K179" s="16">
        <f t="shared" si="969"/>
        <v>4.7999999999992724</v>
      </c>
      <c r="L179" s="15">
        <f>운전실적_원본!G179</f>
        <v>3874.8</v>
      </c>
      <c r="M179" s="31">
        <f t="shared" ref="M179" si="1026">IF(OR(LEN(L179)=0,L179=0),"",L179-L178)</f>
        <v>0.3000000000001819</v>
      </c>
      <c r="N179" s="15">
        <f>운전실적_원본!H179</f>
        <v>16963</v>
      </c>
      <c r="O179" s="16">
        <f t="shared" ref="O179" si="1027">IF(OR(LEN(N179)=0,N179=0),"",N179-N178)</f>
        <v>0</v>
      </c>
      <c r="P179" s="15">
        <f>운전실적_원본!I179</f>
        <v>277003</v>
      </c>
      <c r="Q179" s="16">
        <f t="shared" ref="Q179" si="1028">IF(OR(LEN(P179)=0,P179=0),"",P179-P178)</f>
        <v>160</v>
      </c>
      <c r="R179" s="18">
        <f>운전실적_원본!J179</f>
        <v>33.729999999999997</v>
      </c>
      <c r="S179" s="19">
        <f t="shared" ref="S179" si="1029">IF(OR(LEN(R179)=0,R179=0),"",R179-R178)</f>
        <v>0.22999999999999687</v>
      </c>
      <c r="T179" s="18">
        <f>운전실적_원본!K179</f>
        <v>33.32</v>
      </c>
      <c r="U179" s="19">
        <f t="shared" si="974"/>
        <v>2.0000000000003126E-2</v>
      </c>
      <c r="V179" s="12">
        <f>운전실적_원본!L179</f>
        <v>8224</v>
      </c>
      <c r="W179" s="16">
        <f t="shared" ref="W179" si="1030">IF(OR(LEN(V179)=0,V179=0),"",V179-V178)</f>
        <v>-109</v>
      </c>
      <c r="X179" s="10">
        <f>운전실적_원본!M179</f>
        <v>0</v>
      </c>
      <c r="Y179" s="10">
        <f>운전실적_원본!N179</f>
        <v>0</v>
      </c>
      <c r="Z179" s="10">
        <f>운전실적_원본!O179</f>
        <v>0</v>
      </c>
      <c r="AA179" s="10">
        <f>운전실적_원본!P179</f>
        <v>0</v>
      </c>
      <c r="AB179" s="10">
        <f>운전실적_원본!Q179</f>
        <v>0</v>
      </c>
      <c r="AC179" s="10">
        <f>운전실적_원본!R179</f>
        <v>0</v>
      </c>
      <c r="AD179" s="181">
        <f>운전실적_원본!S179</f>
        <v>0</v>
      </c>
      <c r="AE179" s="181">
        <f>운전실적_원본!T179</f>
        <v>0</v>
      </c>
      <c r="AF179" s="181">
        <f>운전실적_원본!U179</f>
        <v>0</v>
      </c>
      <c r="AG179" s="181">
        <f>운전실적_원본!V179</f>
        <v>0</v>
      </c>
      <c r="AH179" s="106">
        <f t="shared" si="795"/>
        <v>0</v>
      </c>
      <c r="AI179" s="107">
        <f t="shared" si="803"/>
        <v>0</v>
      </c>
      <c r="AJ179" s="107">
        <f t="shared" si="804"/>
        <v>0</v>
      </c>
      <c r="AK179" s="204">
        <f t="shared" si="805"/>
        <v>0</v>
      </c>
      <c r="AL179" s="103"/>
      <c r="AM179" s="103"/>
      <c r="AN179" s="103"/>
      <c r="AO179" s="103"/>
      <c r="AP179" s="103"/>
      <c r="AQ179" s="105"/>
      <c r="AR179" s="103"/>
      <c r="AS179" s="103"/>
      <c r="AT179" s="101"/>
      <c r="AU179" s="101"/>
      <c r="AV179" s="101"/>
      <c r="AW179" s="101"/>
      <c r="AX179" s="32">
        <f>운전실적_원본!W179</f>
        <v>0</v>
      </c>
      <c r="AY179" s="198">
        <f>운전실적_원본!X179</f>
        <v>0</v>
      </c>
      <c r="AZ179" s="198">
        <f>운전실적_원본!Y179</f>
        <v>0</v>
      </c>
      <c r="BA179" s="198">
        <f>운전실적_원본!Z179</f>
        <v>0</v>
      </c>
      <c r="BB179" s="198">
        <f>운전실적_원본!AA179</f>
        <v>0</v>
      </c>
      <c r="BC179" s="198">
        <f>운전실적_원본!AB179</f>
        <v>0</v>
      </c>
      <c r="BD179" s="32" t="str">
        <f t="shared" si="788"/>
        <v>-</v>
      </c>
      <c r="BE179" s="11" t="str">
        <f t="shared" si="796"/>
        <v>-</v>
      </c>
      <c r="BF179" s="11">
        <f>운전실적_원본!AE179</f>
        <v>0</v>
      </c>
      <c r="BG179" s="31">
        <f t="shared" si="789"/>
        <v>0</v>
      </c>
    </row>
    <row r="180" spans="1:59">
      <c r="A180" s="6">
        <f t="shared" si="797"/>
        <v>45832</v>
      </c>
      <c r="B180" s="15">
        <f>운전실적_원본!B180</f>
        <v>6991</v>
      </c>
      <c r="C180" s="16">
        <f t="shared" si="966"/>
        <v>0</v>
      </c>
      <c r="D180" s="9">
        <f>운전실적_원본!C180</f>
        <v>238049</v>
      </c>
      <c r="E180" s="199">
        <f t="shared" si="967"/>
        <v>0</v>
      </c>
      <c r="F180" s="9">
        <f>운전실적_원본!D180</f>
        <v>231909</v>
      </c>
      <c r="G180" s="16">
        <f t="shared" si="968"/>
        <v>57</v>
      </c>
      <c r="H180" s="15">
        <f>운전실적_원본!E180</f>
        <v>14616</v>
      </c>
      <c r="I180" s="16">
        <f t="shared" si="969"/>
        <v>13</v>
      </c>
      <c r="J180" s="15">
        <f>운전실적_원본!E180</f>
        <v>14616</v>
      </c>
      <c r="K180" s="16">
        <f t="shared" si="969"/>
        <v>13</v>
      </c>
      <c r="L180" s="15">
        <f>운전실적_원본!G180</f>
        <v>3875.7</v>
      </c>
      <c r="M180" s="31">
        <f t="shared" ref="M180" si="1031">IF(OR(LEN(L180)=0,L180=0),"",L180-L179)</f>
        <v>0.8999999999996362</v>
      </c>
      <c r="N180" s="15">
        <f>운전실적_원본!H180</f>
        <v>17011</v>
      </c>
      <c r="O180" s="16">
        <f t="shared" ref="O180" si="1032">IF(OR(LEN(N180)=0,N180=0),"",N180-N179)</f>
        <v>48</v>
      </c>
      <c r="P180" s="15">
        <f>운전실적_원본!I180</f>
        <v>277114</v>
      </c>
      <c r="Q180" s="16">
        <f t="shared" ref="Q180" si="1033">IF(OR(LEN(P180)=0,P180=0),"",P180-P179)</f>
        <v>111</v>
      </c>
      <c r="R180" s="18">
        <f>운전실적_원본!J180</f>
        <v>33.700000000000003</v>
      </c>
      <c r="S180" s="19">
        <f t="shared" ref="S180" si="1034">IF(OR(LEN(R180)=0,R180=0),"",R180-R179)</f>
        <v>-2.9999999999994031E-2</v>
      </c>
      <c r="T180" s="18">
        <f>운전실적_원본!K180</f>
        <v>33.270000000000003</v>
      </c>
      <c r="U180" s="19">
        <f t="shared" si="974"/>
        <v>-4.9999999999997158E-2</v>
      </c>
      <c r="V180" s="12">
        <f>운전실적_원본!L180</f>
        <v>8260</v>
      </c>
      <c r="W180" s="16">
        <f t="shared" ref="W180" si="1035">IF(OR(LEN(V180)=0,V180=0),"",V180-V179)</f>
        <v>36</v>
      </c>
      <c r="X180" s="10">
        <f>운전실적_원본!M180</f>
        <v>0</v>
      </c>
      <c r="Y180" s="10">
        <f>운전실적_원본!N180</f>
        <v>0</v>
      </c>
      <c r="Z180" s="10">
        <f>운전실적_원본!O180</f>
        <v>0</v>
      </c>
      <c r="AA180" s="10">
        <f>운전실적_원본!P180</f>
        <v>0</v>
      </c>
      <c r="AB180" s="10">
        <f>운전실적_원본!Q180</f>
        <v>0</v>
      </c>
      <c r="AC180" s="10">
        <f>운전실적_원본!R180</f>
        <v>0</v>
      </c>
      <c r="AD180" s="181">
        <f>운전실적_원본!S180</f>
        <v>0</v>
      </c>
      <c r="AE180" s="181">
        <f>운전실적_원본!T180</f>
        <v>0</v>
      </c>
      <c r="AF180" s="181">
        <f>운전실적_원본!U180</f>
        <v>0</v>
      </c>
      <c r="AG180" s="181">
        <f>운전실적_원본!V180</f>
        <v>0</v>
      </c>
      <c r="AH180" s="106">
        <f t="shared" si="795"/>
        <v>0</v>
      </c>
      <c r="AI180" s="107">
        <f t="shared" si="803"/>
        <v>0</v>
      </c>
      <c r="AJ180" s="107">
        <f t="shared" si="804"/>
        <v>0</v>
      </c>
      <c r="AK180" s="204">
        <f t="shared" si="805"/>
        <v>0</v>
      </c>
      <c r="AL180" s="103"/>
      <c r="AM180" s="103"/>
      <c r="AN180" s="103"/>
      <c r="AO180" s="103"/>
      <c r="AP180" s="103"/>
      <c r="AQ180" s="105"/>
      <c r="AR180" s="103"/>
      <c r="AS180" s="103"/>
      <c r="AT180" s="101"/>
      <c r="AU180" s="101"/>
      <c r="AV180" s="101"/>
      <c r="AW180" s="101"/>
      <c r="AX180" s="32">
        <f>운전실적_원본!W180</f>
        <v>0</v>
      </c>
      <c r="AY180" s="198">
        <f>운전실적_원본!X180</f>
        <v>0</v>
      </c>
      <c r="AZ180" s="198">
        <f>운전실적_원본!Y180</f>
        <v>0</v>
      </c>
      <c r="BA180" s="198">
        <f>운전실적_원본!Z180</f>
        <v>0</v>
      </c>
      <c r="BB180" s="198">
        <f>운전실적_원본!AA180</f>
        <v>0</v>
      </c>
      <c r="BC180" s="198">
        <f>운전실적_원본!AB180</f>
        <v>0</v>
      </c>
      <c r="BD180" s="32" t="str">
        <f t="shared" si="788"/>
        <v>-</v>
      </c>
      <c r="BE180" s="11" t="str">
        <f t="shared" si="796"/>
        <v>-</v>
      </c>
      <c r="BF180" s="11">
        <f>운전실적_원본!AE180</f>
        <v>0</v>
      </c>
      <c r="BG180" s="31">
        <f t="shared" si="789"/>
        <v>0</v>
      </c>
    </row>
    <row r="181" spans="1:59">
      <c r="A181" s="6">
        <f t="shared" si="797"/>
        <v>45833</v>
      </c>
      <c r="B181" s="15">
        <f>운전실적_원본!B181</f>
        <v>6991</v>
      </c>
      <c r="C181" s="16">
        <f t="shared" si="966"/>
        <v>0</v>
      </c>
      <c r="D181" s="9">
        <f>운전실적_원본!C181</f>
        <v>238049</v>
      </c>
      <c r="E181" s="199">
        <f t="shared" si="967"/>
        <v>0</v>
      </c>
      <c r="F181" s="9">
        <f>운전실적_원본!D181</f>
        <v>231938</v>
      </c>
      <c r="G181" s="16">
        <f t="shared" si="968"/>
        <v>29</v>
      </c>
      <c r="H181" s="15">
        <f>운전실적_원본!E181</f>
        <v>14625</v>
      </c>
      <c r="I181" s="16">
        <f t="shared" si="969"/>
        <v>9</v>
      </c>
      <c r="J181" s="15">
        <f>운전실적_원본!E181</f>
        <v>14625</v>
      </c>
      <c r="K181" s="16">
        <f t="shared" si="969"/>
        <v>9</v>
      </c>
      <c r="L181" s="15">
        <f>운전실적_원본!G181</f>
        <v>3877.2</v>
      </c>
      <c r="M181" s="31">
        <f t="shared" ref="M181" si="1036">IF(OR(LEN(L181)=0,L181=0),"",L181-L180)</f>
        <v>1.5</v>
      </c>
      <c r="N181" s="15">
        <f>운전실적_원본!H181</f>
        <v>17089</v>
      </c>
      <c r="O181" s="16">
        <f t="shared" ref="O181" si="1037">IF(OR(LEN(N181)=0,N181=0),"",N181-N180)</f>
        <v>78</v>
      </c>
      <c r="P181" s="15">
        <f>운전실적_원본!I181</f>
        <v>277137</v>
      </c>
      <c r="Q181" s="16">
        <f t="shared" ref="Q181" si="1038">IF(OR(LEN(P181)=0,P181=0),"",P181-P180)</f>
        <v>23</v>
      </c>
      <c r="R181" s="18">
        <f>운전실적_원본!J181</f>
        <v>33.82</v>
      </c>
      <c r="S181" s="19">
        <f t="shared" ref="S181" si="1039">IF(OR(LEN(R181)=0,R181=0),"",R181-R180)</f>
        <v>0.11999999999999744</v>
      </c>
      <c r="T181" s="18">
        <f>운전실적_원본!K181</f>
        <v>33.25</v>
      </c>
      <c r="U181" s="19">
        <f t="shared" si="974"/>
        <v>-2.0000000000003126E-2</v>
      </c>
      <c r="V181" s="12">
        <f>운전실적_원본!L181</f>
        <v>8623</v>
      </c>
      <c r="W181" s="16">
        <f t="shared" ref="W181" si="1040">IF(OR(LEN(V181)=0,V181=0),"",V181-V180)</f>
        <v>363</v>
      </c>
      <c r="X181" s="10">
        <f>운전실적_원본!M181</f>
        <v>0</v>
      </c>
      <c r="Y181" s="10">
        <f>운전실적_원본!N181</f>
        <v>0</v>
      </c>
      <c r="Z181" s="10">
        <f>운전실적_원본!O181</f>
        <v>0</v>
      </c>
      <c r="AA181" s="10">
        <f>운전실적_원본!P181</f>
        <v>0</v>
      </c>
      <c r="AB181" s="10">
        <f>운전실적_원본!Q181</f>
        <v>0</v>
      </c>
      <c r="AC181" s="10">
        <f>운전실적_원본!R181</f>
        <v>0</v>
      </c>
      <c r="AD181" s="181">
        <f>운전실적_원본!S181</f>
        <v>0</v>
      </c>
      <c r="AE181" s="181">
        <f>운전실적_원본!T181</f>
        <v>0</v>
      </c>
      <c r="AF181" s="181">
        <f>운전실적_원본!U181</f>
        <v>0</v>
      </c>
      <c r="AG181" s="181">
        <f>운전실적_원본!V181</f>
        <v>0</v>
      </c>
      <c r="AH181" s="106">
        <f t="shared" si="795"/>
        <v>0</v>
      </c>
      <c r="AI181" s="107">
        <f t="shared" si="803"/>
        <v>0</v>
      </c>
      <c r="AJ181" s="107">
        <f t="shared" si="804"/>
        <v>0</v>
      </c>
      <c r="AK181" s="204">
        <f t="shared" si="805"/>
        <v>0</v>
      </c>
      <c r="AL181" s="103"/>
      <c r="AM181" s="103"/>
      <c r="AN181" s="103"/>
      <c r="AO181" s="103"/>
      <c r="AP181" s="103"/>
      <c r="AQ181" s="105"/>
      <c r="AR181" s="103"/>
      <c r="AS181" s="103"/>
      <c r="AT181" s="101"/>
      <c r="AU181" s="101"/>
      <c r="AV181" s="101"/>
      <c r="AW181" s="101"/>
      <c r="AX181" s="32">
        <f>운전실적_원본!W181</f>
        <v>0</v>
      </c>
      <c r="AY181" s="198">
        <f>운전실적_원본!X181</f>
        <v>0</v>
      </c>
      <c r="AZ181" s="198">
        <f>운전실적_원본!Y181</f>
        <v>0</v>
      </c>
      <c r="BA181" s="198">
        <f>운전실적_원본!Z181</f>
        <v>0</v>
      </c>
      <c r="BB181" s="198">
        <f>운전실적_원본!AA181</f>
        <v>0</v>
      </c>
      <c r="BC181" s="198">
        <f>운전실적_원본!AB181</f>
        <v>0</v>
      </c>
      <c r="BD181" s="32" t="str">
        <f t="shared" si="788"/>
        <v>-</v>
      </c>
      <c r="BE181" s="11" t="str">
        <f t="shared" si="796"/>
        <v>-</v>
      </c>
      <c r="BF181" s="11">
        <f>운전실적_원본!AE181</f>
        <v>0</v>
      </c>
      <c r="BG181" s="31">
        <f t="shared" si="789"/>
        <v>0</v>
      </c>
    </row>
    <row r="182" spans="1:59">
      <c r="A182" s="6">
        <f t="shared" si="797"/>
        <v>45834</v>
      </c>
      <c r="B182" s="15">
        <f>운전실적_원본!B182</f>
        <v>6991</v>
      </c>
      <c r="C182" s="16">
        <f t="shared" si="966"/>
        <v>0</v>
      </c>
      <c r="D182" s="9">
        <f>운전실적_원본!C182</f>
        <v>238049</v>
      </c>
      <c r="E182" s="199">
        <f t="shared" si="967"/>
        <v>0</v>
      </c>
      <c r="F182" s="9">
        <f>운전실적_원본!D182</f>
        <v>231938</v>
      </c>
      <c r="G182" s="16">
        <f t="shared" si="968"/>
        <v>0</v>
      </c>
      <c r="H182" s="15">
        <f>운전실적_원본!E182</f>
        <v>14635</v>
      </c>
      <c r="I182" s="16">
        <f t="shared" si="969"/>
        <v>10</v>
      </c>
      <c r="J182" s="15">
        <f>운전실적_원본!E182</f>
        <v>14635</v>
      </c>
      <c r="K182" s="16">
        <f t="shared" si="969"/>
        <v>10</v>
      </c>
      <c r="L182" s="15">
        <f>운전실적_원본!G182</f>
        <v>3877.6</v>
      </c>
      <c r="M182" s="31">
        <f t="shared" ref="M182" si="1041">IF(OR(LEN(L182)=0,L182=0),"",L182-L181)</f>
        <v>0.40000000000009095</v>
      </c>
      <c r="N182" s="15">
        <f>운전실적_원본!H182</f>
        <v>17092</v>
      </c>
      <c r="O182" s="16">
        <f t="shared" ref="O182" si="1042">IF(OR(LEN(N182)=0,N182=0),"",N182-N181)</f>
        <v>3</v>
      </c>
      <c r="P182" s="15">
        <f>운전실적_원본!I182</f>
        <v>277196</v>
      </c>
      <c r="Q182" s="16">
        <f t="shared" ref="Q182" si="1043">IF(OR(LEN(P182)=0,P182=0),"",P182-P181)</f>
        <v>59</v>
      </c>
      <c r="R182" s="18">
        <f>운전실적_원본!J182</f>
        <v>33.700000000000003</v>
      </c>
      <c r="S182" s="19">
        <f t="shared" ref="S182" si="1044">IF(OR(LEN(R182)=0,R182=0),"",R182-R181)</f>
        <v>-0.11999999999999744</v>
      </c>
      <c r="T182" s="18">
        <f>운전실적_원본!K182</f>
        <v>33.14</v>
      </c>
      <c r="U182" s="19">
        <f t="shared" si="974"/>
        <v>-0.10999999999999943</v>
      </c>
      <c r="V182" s="12">
        <f>운전실적_원본!L182</f>
        <v>7740</v>
      </c>
      <c r="W182" s="16">
        <f t="shared" ref="W182" si="1045">IF(OR(LEN(V182)=0,V182=0),"",V182-V181)</f>
        <v>-883</v>
      </c>
      <c r="X182" s="10">
        <f>운전실적_원본!M182</f>
        <v>0</v>
      </c>
      <c r="Y182" s="10">
        <f>운전실적_원본!N182</f>
        <v>0</v>
      </c>
      <c r="Z182" s="10">
        <f>운전실적_원본!O182</f>
        <v>0</v>
      </c>
      <c r="AA182" s="10">
        <f>운전실적_원본!P182</f>
        <v>0</v>
      </c>
      <c r="AB182" s="10">
        <f>운전실적_원본!Q182</f>
        <v>0</v>
      </c>
      <c r="AC182" s="10">
        <f>운전실적_원본!R182</f>
        <v>0</v>
      </c>
      <c r="AD182" s="181">
        <f>운전실적_원본!S182</f>
        <v>0</v>
      </c>
      <c r="AE182" s="181">
        <f>운전실적_원본!T182</f>
        <v>0</v>
      </c>
      <c r="AF182" s="181">
        <f>운전실적_원본!U182</f>
        <v>0</v>
      </c>
      <c r="AG182" s="181">
        <f>운전실적_원본!V182</f>
        <v>0</v>
      </c>
      <c r="AH182" s="106">
        <f t="shared" si="795"/>
        <v>0</v>
      </c>
      <c r="AI182" s="107">
        <f t="shared" si="803"/>
        <v>0</v>
      </c>
      <c r="AJ182" s="107">
        <f t="shared" si="804"/>
        <v>0</v>
      </c>
      <c r="AK182" s="204">
        <f t="shared" si="805"/>
        <v>0</v>
      </c>
      <c r="AL182" s="103"/>
      <c r="AM182" s="103"/>
      <c r="AN182" s="103"/>
      <c r="AO182" s="103"/>
      <c r="AP182" s="103"/>
      <c r="AQ182" s="105"/>
      <c r="AR182" s="103"/>
      <c r="AS182" s="103"/>
      <c r="AT182" s="101"/>
      <c r="AU182" s="101"/>
      <c r="AV182" s="101"/>
      <c r="AW182" s="101"/>
      <c r="AX182" s="32">
        <f>운전실적_원본!W182</f>
        <v>0</v>
      </c>
      <c r="AY182" s="198">
        <f>운전실적_원본!X182</f>
        <v>0</v>
      </c>
      <c r="AZ182" s="198">
        <f>운전실적_원본!Y182</f>
        <v>0</v>
      </c>
      <c r="BA182" s="198">
        <f>운전실적_원본!Z182</f>
        <v>0</v>
      </c>
      <c r="BB182" s="198">
        <f>운전실적_원본!AA182</f>
        <v>0</v>
      </c>
      <c r="BC182" s="198">
        <f>운전실적_원본!AB182</f>
        <v>0</v>
      </c>
      <c r="BD182" s="32" t="str">
        <f t="shared" si="788"/>
        <v>-</v>
      </c>
      <c r="BE182" s="11" t="str">
        <f t="shared" si="796"/>
        <v>-</v>
      </c>
      <c r="BF182" s="11">
        <f>운전실적_원본!AE182</f>
        <v>0</v>
      </c>
      <c r="BG182" s="31">
        <f t="shared" si="789"/>
        <v>0</v>
      </c>
    </row>
    <row r="183" spans="1:59">
      <c r="A183" s="6">
        <f t="shared" si="797"/>
        <v>45835</v>
      </c>
      <c r="B183" s="15">
        <f>운전실적_원본!B183</f>
        <v>6991</v>
      </c>
      <c r="C183" s="16">
        <f t="shared" si="966"/>
        <v>0</v>
      </c>
      <c r="D183" s="9">
        <f>운전실적_원본!C183</f>
        <v>238049</v>
      </c>
      <c r="E183" s="199">
        <f t="shared" si="967"/>
        <v>0</v>
      </c>
      <c r="F183" s="9">
        <f>운전실적_원본!D183</f>
        <v>231938</v>
      </c>
      <c r="G183" s="16">
        <f t="shared" si="968"/>
        <v>0</v>
      </c>
      <c r="H183" s="15">
        <f>운전실적_원본!E183</f>
        <v>14646.75</v>
      </c>
      <c r="I183" s="16">
        <f t="shared" si="969"/>
        <v>11.75</v>
      </c>
      <c r="J183" s="15">
        <f>운전실적_원본!E183</f>
        <v>14646.75</v>
      </c>
      <c r="K183" s="16">
        <f t="shared" si="969"/>
        <v>11.75</v>
      </c>
      <c r="L183" s="15">
        <f>운전실적_원본!G183</f>
        <v>3878.1</v>
      </c>
      <c r="M183" s="31">
        <f t="shared" ref="M183" si="1046">IF(OR(LEN(L183)=0,L183=0),"",L183-L182)</f>
        <v>0.5</v>
      </c>
      <c r="N183" s="15">
        <f>운전실적_원본!H183</f>
        <v>17142</v>
      </c>
      <c r="O183" s="16">
        <f t="shared" ref="O183" si="1047">IF(OR(LEN(N183)=0,N183=0),"",N183-N182)</f>
        <v>50</v>
      </c>
      <c r="P183" s="15">
        <f>운전실적_원본!I183</f>
        <v>277218</v>
      </c>
      <c r="Q183" s="16">
        <f t="shared" ref="Q183" si="1048">IF(OR(LEN(P183)=0,P183=0),"",P183-P182)</f>
        <v>22</v>
      </c>
      <c r="R183" s="18">
        <f>운전실적_원본!J183</f>
        <v>33.53</v>
      </c>
      <c r="S183" s="19">
        <f t="shared" ref="S183" si="1049">IF(OR(LEN(R183)=0,R183=0),"",R183-R182)</f>
        <v>-0.17000000000000171</v>
      </c>
      <c r="T183" s="18">
        <f>운전실적_원본!K183</f>
        <v>33.119999999999997</v>
      </c>
      <c r="U183" s="19">
        <f t="shared" si="974"/>
        <v>-2.0000000000003126E-2</v>
      </c>
      <c r="V183" s="12">
        <f>운전실적_원본!L183</f>
        <v>7612</v>
      </c>
      <c r="W183" s="16">
        <f t="shared" ref="W183" si="1050">IF(OR(LEN(V183)=0,V183=0),"",V183-V182)</f>
        <v>-128</v>
      </c>
      <c r="X183" s="10">
        <f>운전실적_원본!M183</f>
        <v>0</v>
      </c>
      <c r="Y183" s="10">
        <f>운전실적_원본!N183</f>
        <v>0</v>
      </c>
      <c r="Z183" s="10">
        <f>운전실적_원본!O183</f>
        <v>0</v>
      </c>
      <c r="AA183" s="10">
        <f>운전실적_원본!P183</f>
        <v>0</v>
      </c>
      <c r="AB183" s="10">
        <f>운전실적_원본!Q183</f>
        <v>0</v>
      </c>
      <c r="AC183" s="10">
        <f>운전실적_원본!R183</f>
        <v>0</v>
      </c>
      <c r="AD183" s="181">
        <f>운전실적_원본!S183</f>
        <v>0</v>
      </c>
      <c r="AE183" s="181">
        <f>운전실적_원본!T183</f>
        <v>0</v>
      </c>
      <c r="AF183" s="181">
        <f>운전실적_원본!U183</f>
        <v>0</v>
      </c>
      <c r="AG183" s="181">
        <f>운전실적_원본!V183</f>
        <v>0</v>
      </c>
      <c r="AH183" s="106">
        <f t="shared" si="795"/>
        <v>0</v>
      </c>
      <c r="AI183" s="107">
        <f t="shared" si="803"/>
        <v>0</v>
      </c>
      <c r="AJ183" s="107">
        <f t="shared" si="804"/>
        <v>0</v>
      </c>
      <c r="AK183" s="204">
        <f t="shared" si="805"/>
        <v>0</v>
      </c>
      <c r="AL183" s="103"/>
      <c r="AM183" s="103"/>
      <c r="AN183" s="103"/>
      <c r="AO183" s="103"/>
      <c r="AP183" s="103"/>
      <c r="AQ183" s="105"/>
      <c r="AR183" s="103"/>
      <c r="AS183" s="103"/>
      <c r="AT183" s="101"/>
      <c r="AU183" s="101"/>
      <c r="AV183" s="101"/>
      <c r="AW183" s="101"/>
      <c r="AX183" s="32">
        <f>운전실적_원본!W183</f>
        <v>0</v>
      </c>
      <c r="AY183" s="198">
        <f>운전실적_원본!X183</f>
        <v>0</v>
      </c>
      <c r="AZ183" s="198">
        <f>운전실적_원본!Y183</f>
        <v>0</v>
      </c>
      <c r="BA183" s="198">
        <f>운전실적_원본!Z183</f>
        <v>0</v>
      </c>
      <c r="BB183" s="198">
        <f>운전실적_원본!AA183</f>
        <v>0</v>
      </c>
      <c r="BC183" s="198">
        <f>운전실적_원본!AB183</f>
        <v>0</v>
      </c>
      <c r="BD183" s="32" t="str">
        <f t="shared" si="788"/>
        <v>-</v>
      </c>
      <c r="BE183" s="11" t="str">
        <f t="shared" si="796"/>
        <v>-</v>
      </c>
      <c r="BF183" s="11">
        <f>운전실적_원본!AE183</f>
        <v>0</v>
      </c>
      <c r="BG183" s="31">
        <f t="shared" si="789"/>
        <v>0</v>
      </c>
    </row>
    <row r="184" spans="1:59">
      <c r="A184" s="6">
        <f t="shared" si="797"/>
        <v>45836</v>
      </c>
      <c r="B184" s="15">
        <f>운전실적_원본!B184</f>
        <v>6991</v>
      </c>
      <c r="C184" s="16">
        <f t="shared" si="966"/>
        <v>0</v>
      </c>
      <c r="D184" s="9">
        <f>운전실적_원본!C184</f>
        <v>238049</v>
      </c>
      <c r="E184" s="199">
        <f t="shared" si="967"/>
        <v>0</v>
      </c>
      <c r="F184" s="9">
        <f>운전실적_원본!D184</f>
        <v>231938</v>
      </c>
      <c r="G184" s="16">
        <f t="shared" si="968"/>
        <v>0</v>
      </c>
      <c r="H184" s="15">
        <f>운전실적_원본!E184</f>
        <v>14649.1</v>
      </c>
      <c r="I184" s="16">
        <f t="shared" si="969"/>
        <v>2.3500000000003638</v>
      </c>
      <c r="J184" s="15">
        <f>운전실적_원본!E184</f>
        <v>14649.1</v>
      </c>
      <c r="K184" s="16">
        <f t="shared" si="969"/>
        <v>2.3500000000003638</v>
      </c>
      <c r="L184" s="15">
        <f>운전실적_원본!G184</f>
        <v>3878.5</v>
      </c>
      <c r="M184" s="31">
        <f t="shared" ref="M184" si="1051">IF(OR(LEN(L184)=0,L184=0),"",L184-L183)</f>
        <v>0.40000000000009095</v>
      </c>
      <c r="N184" s="15">
        <f>운전실적_원본!H184</f>
        <v>17142</v>
      </c>
      <c r="O184" s="16">
        <f t="shared" ref="O184" si="1052">IF(OR(LEN(N184)=0,N184=0),"",N184-N183)</f>
        <v>0</v>
      </c>
      <c r="P184" s="15">
        <f>운전실적_원본!I184</f>
        <v>277232</v>
      </c>
      <c r="Q184" s="16">
        <f t="shared" ref="Q184" si="1053">IF(OR(LEN(P184)=0,P184=0),"",P184-P183)</f>
        <v>14</v>
      </c>
      <c r="R184" s="18">
        <f>운전실적_원본!J184</f>
        <v>33.36</v>
      </c>
      <c r="S184" s="19">
        <f t="shared" ref="S184" si="1054">IF(OR(LEN(R184)=0,R184=0),"",R184-R183)</f>
        <v>-0.17000000000000171</v>
      </c>
      <c r="T184" s="18">
        <f>운전실적_원본!K184</f>
        <v>33.14</v>
      </c>
      <c r="U184" s="19">
        <f t="shared" si="974"/>
        <v>2.0000000000003126E-2</v>
      </c>
      <c r="V184" s="12">
        <f>운전실적_원본!L184</f>
        <v>7515</v>
      </c>
      <c r="W184" s="16">
        <f t="shared" ref="W184" si="1055">IF(OR(LEN(V184)=0,V184=0),"",V184-V183)</f>
        <v>-97</v>
      </c>
      <c r="X184" s="10">
        <f>운전실적_원본!M184</f>
        <v>0</v>
      </c>
      <c r="Y184" s="10">
        <f>운전실적_원본!N184</f>
        <v>0</v>
      </c>
      <c r="Z184" s="10">
        <f>운전실적_원본!O184</f>
        <v>0</v>
      </c>
      <c r="AA184" s="10">
        <f>운전실적_원본!P184</f>
        <v>0</v>
      </c>
      <c r="AB184" s="10">
        <f>운전실적_원본!Q184</f>
        <v>0</v>
      </c>
      <c r="AC184" s="10">
        <f>운전실적_원본!R184</f>
        <v>0</v>
      </c>
      <c r="AD184" s="181">
        <f>운전실적_원본!S184</f>
        <v>0</v>
      </c>
      <c r="AE184" s="181">
        <f>운전실적_원본!T184</f>
        <v>0</v>
      </c>
      <c r="AF184" s="181">
        <f>운전실적_원본!U184</f>
        <v>0</v>
      </c>
      <c r="AG184" s="181">
        <f>운전실적_원본!V184</f>
        <v>0</v>
      </c>
      <c r="AH184" s="106">
        <f t="shared" si="795"/>
        <v>0</v>
      </c>
      <c r="AI184" s="107">
        <f t="shared" si="803"/>
        <v>0</v>
      </c>
      <c r="AJ184" s="107">
        <f t="shared" si="804"/>
        <v>0</v>
      </c>
      <c r="AK184" s="204">
        <f t="shared" si="805"/>
        <v>0</v>
      </c>
      <c r="AL184" s="103"/>
      <c r="AM184" s="103"/>
      <c r="AN184" s="103"/>
      <c r="AO184" s="103"/>
      <c r="AP184" s="103"/>
      <c r="AQ184" s="105"/>
      <c r="AR184" s="103"/>
      <c r="AS184" s="103"/>
      <c r="AT184" s="101"/>
      <c r="AU184" s="101"/>
      <c r="AV184" s="101"/>
      <c r="AW184" s="101"/>
      <c r="AX184" s="32">
        <f>운전실적_원본!W184</f>
        <v>0</v>
      </c>
      <c r="AY184" s="198">
        <f>운전실적_원본!X184</f>
        <v>0</v>
      </c>
      <c r="AZ184" s="198">
        <f>운전실적_원본!Y184</f>
        <v>0</v>
      </c>
      <c r="BA184" s="198">
        <f>운전실적_원본!Z184</f>
        <v>0</v>
      </c>
      <c r="BB184" s="198">
        <f>운전실적_원본!AA184</f>
        <v>0</v>
      </c>
      <c r="BC184" s="198">
        <f>운전실적_원본!AB184</f>
        <v>0</v>
      </c>
      <c r="BD184" s="32" t="str">
        <f t="shared" si="788"/>
        <v>-</v>
      </c>
      <c r="BE184" s="11" t="str">
        <f t="shared" si="796"/>
        <v>-</v>
      </c>
      <c r="BF184" s="11">
        <f>운전실적_원본!AE184</f>
        <v>0</v>
      </c>
      <c r="BG184" s="31">
        <f t="shared" si="789"/>
        <v>0</v>
      </c>
    </row>
    <row r="185" spans="1:59">
      <c r="A185" s="6">
        <f t="shared" si="797"/>
        <v>45837</v>
      </c>
      <c r="B185" s="15">
        <f>운전실적_원본!B185</f>
        <v>7015</v>
      </c>
      <c r="C185" s="16">
        <f t="shared" si="966"/>
        <v>24</v>
      </c>
      <c r="D185" s="9">
        <f>운전실적_원본!C185</f>
        <v>238105</v>
      </c>
      <c r="E185" s="199">
        <f t="shared" si="967"/>
        <v>56</v>
      </c>
      <c r="F185" s="9">
        <f>운전실적_원본!D185</f>
        <v>231967</v>
      </c>
      <c r="G185" s="16">
        <f t="shared" si="968"/>
        <v>29</v>
      </c>
      <c r="H185" s="15">
        <f>운전실적_원본!E185</f>
        <v>14656.16</v>
      </c>
      <c r="I185" s="16">
        <f t="shared" si="969"/>
        <v>7.0599999999994907</v>
      </c>
      <c r="J185" s="15">
        <f>운전실적_원본!E185</f>
        <v>14656.16</v>
      </c>
      <c r="K185" s="16">
        <f t="shared" si="969"/>
        <v>7.0599999999994907</v>
      </c>
      <c r="L185" s="15">
        <f>운전실적_원본!G185</f>
        <v>3878.8</v>
      </c>
      <c r="M185" s="31">
        <f t="shared" ref="M185" si="1056">IF(OR(LEN(L185)=0,L185=0),"",L185-L184)</f>
        <v>0.3000000000001819</v>
      </c>
      <c r="N185" s="15">
        <f>운전실적_원본!H185</f>
        <v>17142</v>
      </c>
      <c r="O185" s="16">
        <f t="shared" ref="O185" si="1057">IF(OR(LEN(N185)=0,N185=0),"",N185-N184)</f>
        <v>0</v>
      </c>
      <c r="P185" s="15">
        <f>운전실적_원본!I185</f>
        <v>277339</v>
      </c>
      <c r="Q185" s="16">
        <f t="shared" ref="Q185" si="1058">IF(OR(LEN(P185)=0,P185=0),"",P185-P184)</f>
        <v>107</v>
      </c>
      <c r="R185" s="18">
        <f>운전실적_원본!J185</f>
        <v>33.46</v>
      </c>
      <c r="S185" s="19">
        <f t="shared" ref="S185" si="1059">IF(OR(LEN(R185)=0,R185=0),"",R185-R184)</f>
        <v>0.10000000000000142</v>
      </c>
      <c r="T185" s="18">
        <f>운전실적_원본!K185</f>
        <v>33.270000000000003</v>
      </c>
      <c r="U185" s="19">
        <f t="shared" si="974"/>
        <v>0.13000000000000256</v>
      </c>
      <c r="V185" s="12">
        <f>운전실적_원본!L185</f>
        <v>8162</v>
      </c>
      <c r="W185" s="16">
        <f t="shared" ref="W185" si="1060">IF(OR(LEN(V185)=0,V185=0),"",V185-V184)</f>
        <v>647</v>
      </c>
      <c r="X185" s="10">
        <f>운전실적_원본!M185</f>
        <v>0</v>
      </c>
      <c r="Y185" s="10">
        <f>운전실적_원본!N185</f>
        <v>0</v>
      </c>
      <c r="Z185" s="10">
        <f>운전실적_원본!O185</f>
        <v>0</v>
      </c>
      <c r="AA185" s="10">
        <f>운전실적_원본!P185</f>
        <v>0</v>
      </c>
      <c r="AB185" s="10">
        <f>운전실적_원본!Q185</f>
        <v>0</v>
      </c>
      <c r="AC185" s="10">
        <f>운전실적_원본!R185</f>
        <v>0</v>
      </c>
      <c r="AD185" s="181">
        <f>운전실적_원본!S185</f>
        <v>0</v>
      </c>
      <c r="AE185" s="181">
        <f>운전실적_원본!T185</f>
        <v>0</v>
      </c>
      <c r="AF185" s="181">
        <f>운전실적_원본!U185</f>
        <v>0</v>
      </c>
      <c r="AG185" s="181">
        <f>운전실적_원본!V185</f>
        <v>0</v>
      </c>
      <c r="AH185" s="106">
        <f t="shared" si="795"/>
        <v>0</v>
      </c>
      <c r="AI185" s="107">
        <f t="shared" si="803"/>
        <v>0</v>
      </c>
      <c r="AJ185" s="107">
        <f t="shared" si="804"/>
        <v>0</v>
      </c>
      <c r="AK185" s="204">
        <f t="shared" si="805"/>
        <v>0</v>
      </c>
      <c r="AL185" s="103"/>
      <c r="AM185" s="103"/>
      <c r="AN185" s="103"/>
      <c r="AO185" s="103"/>
      <c r="AP185" s="103"/>
      <c r="AQ185" s="105"/>
      <c r="AR185" s="103"/>
      <c r="AS185" s="103"/>
      <c r="AT185" s="101"/>
      <c r="AU185" s="101"/>
      <c r="AV185" s="101"/>
      <c r="AW185" s="101"/>
      <c r="AX185" s="32">
        <f>운전실적_원본!W185</f>
        <v>0</v>
      </c>
      <c r="AY185" s="198">
        <f>운전실적_원본!X185</f>
        <v>0</v>
      </c>
      <c r="AZ185" s="198">
        <f>운전실적_원본!Y185</f>
        <v>0</v>
      </c>
      <c r="BA185" s="198">
        <f>운전실적_원본!Z185</f>
        <v>0</v>
      </c>
      <c r="BB185" s="198">
        <f>운전실적_원본!AA185</f>
        <v>0</v>
      </c>
      <c r="BC185" s="198">
        <f>운전실적_원본!AB185</f>
        <v>0</v>
      </c>
      <c r="BD185" s="32" t="str">
        <f t="shared" si="788"/>
        <v>-</v>
      </c>
      <c r="BE185" s="11" t="str">
        <f t="shared" si="796"/>
        <v>-</v>
      </c>
      <c r="BF185" s="11">
        <f>운전실적_원본!AE185</f>
        <v>0</v>
      </c>
      <c r="BG185" s="31">
        <f t="shared" si="789"/>
        <v>0</v>
      </c>
    </row>
    <row r="186" spans="1:59" s="197" customFormat="1">
      <c r="A186" s="205">
        <f t="shared" si="797"/>
        <v>45838</v>
      </c>
      <c r="B186" s="182">
        <f>운전실적_원본!B186</f>
        <v>7026</v>
      </c>
      <c r="C186" s="183">
        <f t="shared" si="966"/>
        <v>11</v>
      </c>
      <c r="D186" s="184">
        <f>운전실적_원본!C186</f>
        <v>238185</v>
      </c>
      <c r="E186" s="202">
        <f t="shared" si="967"/>
        <v>80</v>
      </c>
      <c r="F186" s="184">
        <f>운전실적_원본!D186</f>
        <v>231967</v>
      </c>
      <c r="G186" s="183">
        <f t="shared" si="968"/>
        <v>0</v>
      </c>
      <c r="H186" s="182">
        <f>운전실적_원본!E186</f>
        <v>14671.33</v>
      </c>
      <c r="I186" s="183">
        <f t="shared" si="969"/>
        <v>15.170000000000073</v>
      </c>
      <c r="J186" s="182">
        <f>운전실적_원본!E186</f>
        <v>14671.33</v>
      </c>
      <c r="K186" s="183">
        <f t="shared" si="969"/>
        <v>15.170000000000073</v>
      </c>
      <c r="L186" s="182">
        <f>운전실적_원본!G186</f>
        <v>3879.5</v>
      </c>
      <c r="M186" s="185">
        <f t="shared" ref="M186" si="1061">IF(OR(LEN(L186)=0,L186=0),"",L186-L185)</f>
        <v>0.6999999999998181</v>
      </c>
      <c r="N186" s="182">
        <f>운전실적_원본!H186</f>
        <v>17199</v>
      </c>
      <c r="O186" s="183">
        <f t="shared" ref="O186" si="1062">IF(OR(LEN(N186)=0,N186=0),"",N186-N185)</f>
        <v>57</v>
      </c>
      <c r="P186" s="182">
        <f>운전실적_원본!I186</f>
        <v>277487</v>
      </c>
      <c r="Q186" s="183">
        <f t="shared" ref="Q186" si="1063">IF(OR(LEN(P186)=0,P186=0),"",P186-P185)</f>
        <v>148</v>
      </c>
      <c r="R186" s="186">
        <f>운전실적_원본!J186</f>
        <v>33.47</v>
      </c>
      <c r="S186" s="187">
        <f t="shared" ref="S186" si="1064">IF(OR(LEN(R186)=0,R186=0),"",R186-R185)</f>
        <v>9.9999999999980105E-3</v>
      </c>
      <c r="T186" s="186">
        <f>운전실적_원본!K186</f>
        <v>33.33</v>
      </c>
      <c r="U186" s="187">
        <f t="shared" si="974"/>
        <v>5.9999999999995168E-2</v>
      </c>
      <c r="V186" s="184">
        <f>운전실적_원본!L186</f>
        <v>8685</v>
      </c>
      <c r="W186" s="183">
        <f t="shared" ref="W186" si="1065">IF(OR(LEN(V186)=0,V186=0),"",V186-V185)</f>
        <v>523</v>
      </c>
      <c r="X186" s="188">
        <f>운전실적_원본!M186</f>
        <v>0</v>
      </c>
      <c r="Y186" s="188">
        <f>운전실적_원본!N186</f>
        <v>0</v>
      </c>
      <c r="Z186" s="188">
        <f>운전실적_원본!O186</f>
        <v>0</v>
      </c>
      <c r="AA186" s="188">
        <f>운전실적_원본!P186</f>
        <v>0</v>
      </c>
      <c r="AB186" s="188">
        <f>운전실적_원본!Q186</f>
        <v>0</v>
      </c>
      <c r="AC186" s="188">
        <f>운전실적_원본!R186</f>
        <v>0</v>
      </c>
      <c r="AD186" s="189">
        <f>운전실적_원본!S186</f>
        <v>0</v>
      </c>
      <c r="AE186" s="189">
        <f>운전실적_원본!T186</f>
        <v>0</v>
      </c>
      <c r="AF186" s="189">
        <f>운전실적_원본!U186</f>
        <v>0</v>
      </c>
      <c r="AG186" s="189">
        <f>운전실적_원본!V186</f>
        <v>0</v>
      </c>
      <c r="AH186" s="190">
        <f t="shared" si="795"/>
        <v>0</v>
      </c>
      <c r="AI186" s="191">
        <f t="shared" si="803"/>
        <v>0</v>
      </c>
      <c r="AJ186" s="191">
        <f t="shared" si="804"/>
        <v>0</v>
      </c>
      <c r="AK186" s="206">
        <f t="shared" si="805"/>
        <v>0</v>
      </c>
      <c r="AL186" s="192"/>
      <c r="AM186" s="192"/>
      <c r="AN186" s="192"/>
      <c r="AO186" s="192"/>
      <c r="AP186" s="192"/>
      <c r="AQ186" s="193"/>
      <c r="AR186" s="192"/>
      <c r="AS186" s="192"/>
      <c r="AT186" s="194"/>
      <c r="AU186" s="194"/>
      <c r="AV186" s="194"/>
      <c r="AW186" s="194"/>
      <c r="AX186" s="195">
        <f>운전실적_원본!W186</f>
        <v>0</v>
      </c>
      <c r="AY186" s="196">
        <f>운전실적_원본!X186</f>
        <v>0</v>
      </c>
      <c r="AZ186" s="196">
        <f>운전실적_원본!Y186</f>
        <v>0</v>
      </c>
      <c r="BA186" s="196">
        <f>운전실적_원본!Z186</f>
        <v>0</v>
      </c>
      <c r="BB186" s="196">
        <f>운전실적_원본!AA186</f>
        <v>0</v>
      </c>
      <c r="BC186" s="185">
        <f>운전실적_원본!AB186</f>
        <v>0</v>
      </c>
      <c r="BD186" s="195" t="str">
        <f t="shared" si="788"/>
        <v>-</v>
      </c>
      <c r="BE186" s="196" t="str">
        <f t="shared" si="796"/>
        <v>-</v>
      </c>
      <c r="BF186" s="196">
        <f>운전실적_원본!AE186</f>
        <v>0</v>
      </c>
      <c r="BG186" s="185">
        <f t="shared" si="789"/>
        <v>0</v>
      </c>
    </row>
    <row r="187" spans="1:59">
      <c r="A187" s="6">
        <f t="shared" si="797"/>
        <v>45839</v>
      </c>
      <c r="B187" s="15">
        <f>운전실적_원본!B187</f>
        <v>7026</v>
      </c>
      <c r="C187" s="16">
        <f t="shared" si="966"/>
        <v>0</v>
      </c>
      <c r="D187" s="9">
        <f>운전실적_원본!C187</f>
        <v>238185</v>
      </c>
      <c r="E187" s="199">
        <f t="shared" si="967"/>
        <v>0</v>
      </c>
      <c r="F187" s="9">
        <f>운전실적_원본!D187</f>
        <v>231967</v>
      </c>
      <c r="G187" s="16">
        <f t="shared" si="968"/>
        <v>0</v>
      </c>
      <c r="H187" s="15">
        <f>운전실적_원본!E187</f>
        <v>14686.29</v>
      </c>
      <c r="I187" s="16">
        <f t="shared" si="969"/>
        <v>14.960000000000946</v>
      </c>
      <c r="J187" s="15">
        <f>운전실적_원본!E187</f>
        <v>14686.29</v>
      </c>
      <c r="K187" s="16">
        <f t="shared" si="969"/>
        <v>14.960000000000946</v>
      </c>
      <c r="L187" s="15">
        <f>운전실적_원본!G187</f>
        <v>3880.1</v>
      </c>
      <c r="M187" s="31">
        <f t="shared" ref="M187" si="1066">IF(OR(LEN(L187)=0,L187=0),"",L187-L186)</f>
        <v>0.59999999999990905</v>
      </c>
      <c r="N187" s="15">
        <f>운전실적_원본!H187</f>
        <v>17199</v>
      </c>
      <c r="O187" s="16">
        <f t="shared" ref="O187" si="1067">IF(OR(LEN(N187)=0,N187=0),"",N187-N186)</f>
        <v>0</v>
      </c>
      <c r="P187" s="15">
        <f>운전실적_원본!I187</f>
        <v>277514</v>
      </c>
      <c r="Q187" s="16">
        <f t="shared" ref="Q187" si="1068">IF(OR(LEN(P187)=0,P187=0),"",P187-P186)</f>
        <v>27</v>
      </c>
      <c r="R187" s="18">
        <f>운전실적_원본!J187</f>
        <v>33.56</v>
      </c>
      <c r="S187" s="19">
        <f t="shared" ref="S187" si="1069">IF(OR(LEN(R187)=0,R187=0),"",R187-R186)</f>
        <v>9.0000000000003411E-2</v>
      </c>
      <c r="T187" s="18">
        <f>운전실적_원본!K187</f>
        <v>33.31</v>
      </c>
      <c r="U187" s="19">
        <f t="shared" si="974"/>
        <v>-1.9999999999996021E-2</v>
      </c>
      <c r="V187" s="12">
        <f>운전실적_원본!L187</f>
        <v>7854</v>
      </c>
      <c r="W187" s="16">
        <f t="shared" ref="W187" si="1070">IF(OR(LEN(V187)=0,V187=0),"",V187-V186)</f>
        <v>-831</v>
      </c>
      <c r="X187" s="10">
        <f>운전실적_원본!M187</f>
        <v>0</v>
      </c>
      <c r="Y187" s="10">
        <f>운전실적_원본!N187</f>
        <v>0</v>
      </c>
      <c r="Z187" s="10">
        <f>운전실적_원본!O187</f>
        <v>0</v>
      </c>
      <c r="AA187" s="10">
        <f>운전실적_원본!P187</f>
        <v>0</v>
      </c>
      <c r="AB187" s="10">
        <f>운전실적_원본!Q187</f>
        <v>0</v>
      </c>
      <c r="AC187" s="10">
        <f>운전실적_원본!R187</f>
        <v>0</v>
      </c>
      <c r="AD187" s="181">
        <f>운전실적_원본!S187</f>
        <v>0</v>
      </c>
      <c r="AE187" s="181">
        <f>운전실적_원본!T187</f>
        <v>0</v>
      </c>
      <c r="AF187" s="181">
        <f>운전실적_원본!U187</f>
        <v>0</v>
      </c>
      <c r="AG187" s="181">
        <f>운전실적_원본!V187</f>
        <v>0</v>
      </c>
      <c r="AH187" s="106">
        <f t="shared" si="795"/>
        <v>0</v>
      </c>
      <c r="AI187" s="107">
        <f t="shared" si="803"/>
        <v>0</v>
      </c>
      <c r="AJ187" s="107">
        <f t="shared" si="804"/>
        <v>0</v>
      </c>
      <c r="AK187" s="204">
        <f t="shared" si="805"/>
        <v>0</v>
      </c>
      <c r="AL187" s="103"/>
      <c r="AM187" s="103"/>
      <c r="AN187" s="103"/>
      <c r="AO187" s="103"/>
      <c r="AP187" s="103"/>
      <c r="AQ187" s="105"/>
      <c r="AR187" s="103"/>
      <c r="AS187" s="103"/>
      <c r="AT187" s="101"/>
      <c r="AU187" s="101"/>
      <c r="AV187" s="101"/>
      <c r="AW187" s="101"/>
      <c r="AX187" s="32">
        <f>운전실적_원본!W187</f>
        <v>0</v>
      </c>
      <c r="AY187" s="198">
        <f>운전실적_원본!X187</f>
        <v>0</v>
      </c>
      <c r="AZ187" s="198">
        <f>운전실적_원본!Y187</f>
        <v>0</v>
      </c>
      <c r="BA187" s="198">
        <f>운전실적_원본!Z187</f>
        <v>0</v>
      </c>
      <c r="BB187" s="198">
        <f>운전실적_원본!AA187</f>
        <v>0</v>
      </c>
      <c r="BC187" s="198">
        <f>운전실적_원본!AB187</f>
        <v>0</v>
      </c>
      <c r="BD187" s="32" t="str">
        <f t="shared" si="788"/>
        <v>-</v>
      </c>
      <c r="BE187" s="11" t="str">
        <f t="shared" si="796"/>
        <v>-</v>
      </c>
      <c r="BF187" s="11">
        <f>운전실적_원본!AE187</f>
        <v>0</v>
      </c>
      <c r="BG187" s="31">
        <f t="shared" si="789"/>
        <v>0</v>
      </c>
    </row>
    <row r="188" spans="1:59">
      <c r="A188" s="6">
        <f t="shared" si="797"/>
        <v>45840</v>
      </c>
      <c r="B188" s="15">
        <f>운전실적_원본!B188</f>
        <v>7026</v>
      </c>
      <c r="C188" s="16">
        <f t="shared" si="966"/>
        <v>0</v>
      </c>
      <c r="D188" s="9">
        <f>운전실적_원본!C188</f>
        <v>238226</v>
      </c>
      <c r="E188" s="199">
        <f t="shared" si="967"/>
        <v>41</v>
      </c>
      <c r="F188" s="9">
        <f>운전실적_원본!D188</f>
        <v>231967</v>
      </c>
      <c r="G188" s="16">
        <f t="shared" si="968"/>
        <v>0</v>
      </c>
      <c r="H188" s="15">
        <f>운전실적_원본!E188</f>
        <v>14738</v>
      </c>
      <c r="I188" s="16">
        <f t="shared" si="969"/>
        <v>51.709999999999127</v>
      </c>
      <c r="J188" s="15">
        <f>운전실적_원본!E188</f>
        <v>14738</v>
      </c>
      <c r="K188" s="16">
        <f t="shared" si="969"/>
        <v>51.709999999999127</v>
      </c>
      <c r="L188" s="15">
        <f>운전실적_원본!G188</f>
        <v>3880.8</v>
      </c>
      <c r="M188" s="31">
        <f t="shared" ref="M188" si="1071">IF(OR(LEN(L188)=0,L188=0),"",L188-L187)</f>
        <v>0.70000000000027285</v>
      </c>
      <c r="N188" s="15">
        <f>운전실적_원본!H188</f>
        <v>17255</v>
      </c>
      <c r="O188" s="16">
        <f t="shared" ref="O188" si="1072">IF(OR(LEN(N188)=0,N188=0),"",N188-N187)</f>
        <v>56</v>
      </c>
      <c r="P188" s="15">
        <f>운전실적_원본!I188</f>
        <v>277619</v>
      </c>
      <c r="Q188" s="16">
        <f t="shared" ref="Q188" si="1073">IF(OR(LEN(P188)=0,P188=0),"",P188-P187)</f>
        <v>105</v>
      </c>
      <c r="R188" s="18">
        <f>운전실적_원본!J188</f>
        <v>33.17</v>
      </c>
      <c r="S188" s="19">
        <f t="shared" ref="S188" si="1074">IF(OR(LEN(R188)=0,R188=0),"",R188-R187)</f>
        <v>-0.39000000000000057</v>
      </c>
      <c r="T188" s="18">
        <f>운전실적_원본!K188</f>
        <v>33.44</v>
      </c>
      <c r="U188" s="19">
        <f t="shared" si="974"/>
        <v>0.12999999999999545</v>
      </c>
      <c r="V188" s="12">
        <f>운전실적_원본!L188</f>
        <v>8254</v>
      </c>
      <c r="W188" s="16">
        <f t="shared" ref="W188" si="1075">IF(OR(LEN(V188)=0,V188=0),"",V188-V187)</f>
        <v>400</v>
      </c>
      <c r="X188" s="10">
        <f>운전실적_원본!M188</f>
        <v>0</v>
      </c>
      <c r="Y188" s="10">
        <f>운전실적_원본!N188</f>
        <v>0</v>
      </c>
      <c r="Z188" s="10">
        <f>운전실적_원본!O188</f>
        <v>0</v>
      </c>
      <c r="AA188" s="10">
        <f>운전실적_원본!P188</f>
        <v>0</v>
      </c>
      <c r="AB188" s="10">
        <f>운전실적_원본!Q188</f>
        <v>0</v>
      </c>
      <c r="AC188" s="10">
        <f>운전실적_원본!R188</f>
        <v>0</v>
      </c>
      <c r="AD188" s="181">
        <f>운전실적_원본!S188</f>
        <v>0</v>
      </c>
      <c r="AE188" s="181">
        <f>운전실적_원본!T188</f>
        <v>0</v>
      </c>
      <c r="AF188" s="181">
        <f>운전실적_원본!U188</f>
        <v>0</v>
      </c>
      <c r="AG188" s="181">
        <f>운전실적_원본!V188</f>
        <v>0</v>
      </c>
      <c r="AH188" s="106">
        <f t="shared" si="795"/>
        <v>0</v>
      </c>
      <c r="AI188" s="107">
        <f t="shared" si="803"/>
        <v>0</v>
      </c>
      <c r="AJ188" s="107">
        <f t="shared" si="804"/>
        <v>0</v>
      </c>
      <c r="AK188" s="204">
        <f t="shared" si="805"/>
        <v>0</v>
      </c>
      <c r="AL188" s="103"/>
      <c r="AM188" s="103"/>
      <c r="AN188" s="103"/>
      <c r="AO188" s="103"/>
      <c r="AP188" s="103"/>
      <c r="AQ188" s="105"/>
      <c r="AR188" s="103"/>
      <c r="AS188" s="103"/>
      <c r="AT188" s="101"/>
      <c r="AU188" s="101"/>
      <c r="AV188" s="101"/>
      <c r="AW188" s="101"/>
      <c r="AX188" s="32">
        <f>운전실적_원본!W188</f>
        <v>0</v>
      </c>
      <c r="AY188" s="198">
        <f>운전실적_원본!X188</f>
        <v>0</v>
      </c>
      <c r="AZ188" s="198">
        <f>운전실적_원본!Y188</f>
        <v>0</v>
      </c>
      <c r="BA188" s="198">
        <f>운전실적_원본!Z188</f>
        <v>0</v>
      </c>
      <c r="BB188" s="198">
        <f>운전실적_원본!AA188</f>
        <v>0</v>
      </c>
      <c r="BC188" s="198">
        <f>운전실적_원본!AB188</f>
        <v>0</v>
      </c>
      <c r="BD188" s="32" t="str">
        <f t="shared" si="788"/>
        <v>-</v>
      </c>
      <c r="BE188" s="11" t="str">
        <f t="shared" si="796"/>
        <v>-</v>
      </c>
      <c r="BF188" s="11">
        <f>운전실적_원본!AE188</f>
        <v>0</v>
      </c>
      <c r="BG188" s="31">
        <f t="shared" si="789"/>
        <v>0</v>
      </c>
    </row>
    <row r="189" spans="1:59">
      <c r="A189" s="6">
        <f t="shared" si="797"/>
        <v>45841</v>
      </c>
      <c r="B189" s="15">
        <f>운전실적_원본!B189</f>
        <v>7026</v>
      </c>
      <c r="C189" s="16">
        <f t="shared" si="966"/>
        <v>0</v>
      </c>
      <c r="D189" s="9">
        <f>운전실적_원본!C189</f>
        <v>238226</v>
      </c>
      <c r="E189" s="199">
        <f t="shared" si="967"/>
        <v>0</v>
      </c>
      <c r="F189" s="9">
        <f>운전실적_원본!D189</f>
        <v>231997</v>
      </c>
      <c r="G189" s="16">
        <f t="shared" si="968"/>
        <v>30</v>
      </c>
      <c r="H189" s="15">
        <f>운전실적_원본!E189</f>
        <v>14772</v>
      </c>
      <c r="I189" s="16">
        <f t="shared" si="969"/>
        <v>34</v>
      </c>
      <c r="J189" s="15">
        <f>운전실적_원본!E189</f>
        <v>14772</v>
      </c>
      <c r="K189" s="16">
        <f t="shared" si="969"/>
        <v>34</v>
      </c>
      <c r="L189" s="15">
        <f>운전실적_원본!G189</f>
        <v>3881.3</v>
      </c>
      <c r="M189" s="31">
        <f t="shared" ref="M189" si="1076">IF(OR(LEN(L189)=0,L189=0),"",L189-L188)</f>
        <v>0.5</v>
      </c>
      <c r="N189" s="15">
        <f>운전실적_원본!H189</f>
        <v>17299</v>
      </c>
      <c r="O189" s="16">
        <f t="shared" ref="O189" si="1077">IF(OR(LEN(N189)=0,N189=0),"",N189-N188)</f>
        <v>44</v>
      </c>
      <c r="P189" s="15">
        <f>운전실적_원본!I189</f>
        <v>277704</v>
      </c>
      <c r="Q189" s="16">
        <f t="shared" ref="Q189" si="1078">IF(OR(LEN(P189)=0,P189=0),"",P189-P188)</f>
        <v>85</v>
      </c>
      <c r="R189" s="18">
        <f>운전실적_원본!J189</f>
        <v>33.18</v>
      </c>
      <c r="S189" s="19">
        <f t="shared" ref="S189" si="1079">IF(OR(LEN(R189)=0,R189=0),"",R189-R188)</f>
        <v>9.9999999999980105E-3</v>
      </c>
      <c r="T189" s="18">
        <f>운전실적_원본!K189</f>
        <v>33.6</v>
      </c>
      <c r="U189" s="19">
        <f t="shared" si="974"/>
        <v>0.16000000000000369</v>
      </c>
      <c r="V189" s="12">
        <f>운전실적_원본!L189</f>
        <v>7973</v>
      </c>
      <c r="W189" s="16">
        <f t="shared" ref="W189" si="1080">IF(OR(LEN(V189)=0,V189=0),"",V189-V188)</f>
        <v>-281</v>
      </c>
      <c r="X189" s="10">
        <f>운전실적_원본!M189</f>
        <v>18276.70000000298</v>
      </c>
      <c r="Y189" s="10">
        <f>운전실적_원본!N189</f>
        <v>0</v>
      </c>
      <c r="Z189" s="10">
        <f>운전실적_원본!O189</f>
        <v>0</v>
      </c>
      <c r="AA189" s="10">
        <f>운전실적_원본!P189</f>
        <v>0</v>
      </c>
      <c r="AB189" s="10">
        <f>운전실적_원본!Q189</f>
        <v>0</v>
      </c>
      <c r="AC189" s="10">
        <f>운전실적_원본!R189</f>
        <v>0</v>
      </c>
      <c r="AD189" s="181">
        <f>운전실적_원본!S189</f>
        <v>10</v>
      </c>
      <c r="AE189" s="181">
        <f>운전실적_원본!T189</f>
        <v>0</v>
      </c>
      <c r="AF189" s="181">
        <f>운전실적_원본!U189</f>
        <v>0</v>
      </c>
      <c r="AG189" s="181">
        <f>운전실적_원본!V189</f>
        <v>0</v>
      </c>
      <c r="AH189" s="106">
        <f t="shared" si="795"/>
        <v>10.166666666627862</v>
      </c>
      <c r="AI189" s="107">
        <f t="shared" si="803"/>
        <v>0</v>
      </c>
      <c r="AJ189" s="107">
        <f t="shared" si="804"/>
        <v>0</v>
      </c>
      <c r="AK189" s="204">
        <f t="shared" si="805"/>
        <v>0</v>
      </c>
      <c r="AL189" s="103">
        <v>45841.4375</v>
      </c>
      <c r="AM189" s="103">
        <v>45841.861111111109</v>
      </c>
      <c r="AN189" s="103"/>
      <c r="AO189" s="103"/>
      <c r="AP189" s="103"/>
      <c r="AQ189" s="105"/>
      <c r="AR189" s="103"/>
      <c r="AS189" s="103"/>
      <c r="AT189" s="101"/>
      <c r="AU189" s="101"/>
      <c r="AV189" s="101"/>
      <c r="AW189" s="101"/>
      <c r="AX189" s="32">
        <f>운전실적_원본!W189</f>
        <v>97</v>
      </c>
      <c r="AY189" s="198">
        <f>운전실적_원본!X189</f>
        <v>0</v>
      </c>
      <c r="AZ189" s="198">
        <f>운전실적_원본!Y189</f>
        <v>0</v>
      </c>
      <c r="BA189" s="198">
        <f>운전실적_원본!Z189</f>
        <v>0</v>
      </c>
      <c r="BB189" s="198">
        <f>운전실적_원본!AA189</f>
        <v>0</v>
      </c>
      <c r="BC189" s="198">
        <f>운전실적_원본!AB189</f>
        <v>97</v>
      </c>
      <c r="BD189" s="32">
        <f t="shared" si="788"/>
        <v>9.6999999999999993</v>
      </c>
      <c r="BE189" s="11">
        <f t="shared" si="796"/>
        <v>0.18875267561782447</v>
      </c>
      <c r="BF189" s="11">
        <f>운전실적_원본!AE189</f>
        <v>0</v>
      </c>
      <c r="BG189" s="31">
        <f t="shared" si="789"/>
        <v>0</v>
      </c>
    </row>
    <row r="190" spans="1:59">
      <c r="A190" s="6">
        <f t="shared" si="797"/>
        <v>45842</v>
      </c>
      <c r="B190" s="15">
        <f>운전실적_원본!B190</f>
        <v>7026</v>
      </c>
      <c r="C190" s="16">
        <f t="shared" si="966"/>
        <v>0</v>
      </c>
      <c r="D190" s="9">
        <f>운전실적_원본!C190</f>
        <v>238226</v>
      </c>
      <c r="E190" s="199">
        <f t="shared" si="967"/>
        <v>0</v>
      </c>
      <c r="F190" s="9">
        <f>운전실적_원본!D190</f>
        <v>232038</v>
      </c>
      <c r="G190" s="16">
        <f t="shared" si="968"/>
        <v>41</v>
      </c>
      <c r="H190" s="15">
        <f>운전실적_원본!E190</f>
        <v>14800.22</v>
      </c>
      <c r="I190" s="16">
        <f t="shared" si="969"/>
        <v>28.219999999999345</v>
      </c>
      <c r="J190" s="15">
        <f>운전실적_원본!E190</f>
        <v>14800.22</v>
      </c>
      <c r="K190" s="16">
        <f t="shared" si="969"/>
        <v>28.219999999999345</v>
      </c>
      <c r="L190" s="15">
        <f>운전실적_원본!G190</f>
        <v>3881.8</v>
      </c>
      <c r="M190" s="31">
        <f t="shared" ref="M190" si="1081">IF(OR(LEN(L190)=0,L190=0),"",L190-L189)</f>
        <v>0.5</v>
      </c>
      <c r="N190" s="15">
        <f>운전실적_원본!H190</f>
        <v>17345</v>
      </c>
      <c r="O190" s="16">
        <f t="shared" ref="O190" si="1082">IF(OR(LEN(N190)=0,N190=0),"",N190-N189)</f>
        <v>46</v>
      </c>
      <c r="P190" s="15">
        <f>운전실적_원본!I190</f>
        <v>277790</v>
      </c>
      <c r="Q190" s="16">
        <f t="shared" ref="Q190" si="1083">IF(OR(LEN(P190)=0,P190=0),"",P190-P189)</f>
        <v>86</v>
      </c>
      <c r="R190" s="18">
        <f>운전실적_원본!J190</f>
        <v>33.700000000000003</v>
      </c>
      <c r="S190" s="19">
        <f t="shared" ref="S190" si="1084">IF(OR(LEN(R190)=0,R190=0),"",R190-R189)</f>
        <v>0.52000000000000313</v>
      </c>
      <c r="T190" s="18">
        <f>운전실적_원본!K190</f>
        <v>33.18</v>
      </c>
      <c r="U190" s="19">
        <f t="shared" si="974"/>
        <v>-0.42000000000000171</v>
      </c>
      <c r="V190" s="12">
        <f>운전실적_원본!L190</f>
        <v>8550</v>
      </c>
      <c r="W190" s="16">
        <f t="shared" ref="W190" si="1085">IF(OR(LEN(V190)=0,V190=0),"",V190-V189)</f>
        <v>577</v>
      </c>
      <c r="X190" s="10">
        <f>운전실적_원본!M190</f>
        <v>0</v>
      </c>
      <c r="Y190" s="10">
        <f>운전실적_원본!N190</f>
        <v>0</v>
      </c>
      <c r="Z190" s="10">
        <f>운전실적_원본!O190</f>
        <v>0</v>
      </c>
      <c r="AA190" s="10">
        <f>운전실적_원본!P190</f>
        <v>0</v>
      </c>
      <c r="AB190" s="10">
        <f>운전실적_원본!Q190</f>
        <v>0</v>
      </c>
      <c r="AC190" s="10">
        <f>운전실적_원본!R190</f>
        <v>0</v>
      </c>
      <c r="AD190" s="181">
        <f>운전실적_원본!S190</f>
        <v>0</v>
      </c>
      <c r="AE190" s="181">
        <f>운전실적_원본!T190</f>
        <v>0</v>
      </c>
      <c r="AF190" s="181">
        <f>운전실적_원본!U190</f>
        <v>0</v>
      </c>
      <c r="AG190" s="181">
        <f>운전실적_원본!V190</f>
        <v>0</v>
      </c>
      <c r="AH190" s="106">
        <f t="shared" si="795"/>
        <v>0</v>
      </c>
      <c r="AI190" s="107">
        <f t="shared" si="803"/>
        <v>0</v>
      </c>
      <c r="AJ190" s="107">
        <f t="shared" si="804"/>
        <v>0</v>
      </c>
      <c r="AK190" s="204">
        <f t="shared" si="805"/>
        <v>0</v>
      </c>
      <c r="AL190" s="103"/>
      <c r="AM190" s="103"/>
      <c r="AN190" s="103"/>
      <c r="AO190" s="103"/>
      <c r="AP190" s="103"/>
      <c r="AQ190" s="105"/>
      <c r="AR190" s="103"/>
      <c r="AS190" s="103"/>
      <c r="AT190" s="101"/>
      <c r="AU190" s="101"/>
      <c r="AV190" s="101"/>
      <c r="AW190" s="101"/>
      <c r="AX190" s="32">
        <f>운전실적_원본!W190</f>
        <v>0</v>
      </c>
      <c r="AY190" s="198">
        <f>운전실적_원본!X190</f>
        <v>0</v>
      </c>
      <c r="AZ190" s="198">
        <f>운전실적_원본!Y190</f>
        <v>0</v>
      </c>
      <c r="BA190" s="198">
        <f>운전실적_원본!Z190</f>
        <v>0</v>
      </c>
      <c r="BB190" s="198">
        <f>운전실적_원본!AA190</f>
        <v>0</v>
      </c>
      <c r="BC190" s="198">
        <f>운전실적_원본!AB190</f>
        <v>0</v>
      </c>
      <c r="BD190" s="32" t="str">
        <f t="shared" si="788"/>
        <v>-</v>
      </c>
      <c r="BE190" s="11" t="str">
        <f t="shared" si="796"/>
        <v>-</v>
      </c>
      <c r="BF190" s="11">
        <f>운전실적_원본!AE190</f>
        <v>0</v>
      </c>
      <c r="BG190" s="31">
        <f t="shared" si="789"/>
        <v>0</v>
      </c>
    </row>
    <row r="191" spans="1:59">
      <c r="A191" s="6">
        <f t="shared" si="797"/>
        <v>45843</v>
      </c>
      <c r="B191" s="15">
        <f>운전실적_원본!B191</f>
        <v>7026</v>
      </c>
      <c r="C191" s="16">
        <f t="shared" si="966"/>
        <v>0</v>
      </c>
      <c r="D191" s="9">
        <f>운전실적_원본!C191</f>
        <v>238226</v>
      </c>
      <c r="E191" s="199">
        <f t="shared" si="967"/>
        <v>0</v>
      </c>
      <c r="F191" s="9">
        <f>운전실적_원본!D191</f>
        <v>232038</v>
      </c>
      <c r="G191" s="16">
        <f t="shared" si="968"/>
        <v>0</v>
      </c>
      <c r="H191" s="15">
        <f>운전실적_원본!E191</f>
        <v>14828.94</v>
      </c>
      <c r="I191" s="16">
        <f t="shared" si="969"/>
        <v>28.720000000001164</v>
      </c>
      <c r="J191" s="15">
        <f>운전실적_원본!E191</f>
        <v>14828.94</v>
      </c>
      <c r="K191" s="16">
        <f t="shared" si="969"/>
        <v>28.720000000001164</v>
      </c>
      <c r="L191" s="15">
        <f>운전실적_원본!G191</f>
        <v>3882.1</v>
      </c>
      <c r="M191" s="31">
        <f t="shared" ref="M191" si="1086">IF(OR(LEN(L191)=0,L191=0),"",L191-L190)</f>
        <v>0.29999999999972715</v>
      </c>
      <c r="N191" s="15">
        <f>운전실적_원본!H191</f>
        <v>17345</v>
      </c>
      <c r="O191" s="16">
        <f t="shared" ref="O191" si="1087">IF(OR(LEN(N191)=0,N191=0),"",N191-N190)</f>
        <v>0</v>
      </c>
      <c r="P191" s="15">
        <f>운전실적_원본!I191</f>
        <v>277828</v>
      </c>
      <c r="Q191" s="16">
        <f t="shared" ref="Q191" si="1088">IF(OR(LEN(P191)=0,P191=0),"",P191-P190)</f>
        <v>38</v>
      </c>
      <c r="R191" s="18">
        <f>운전실적_원본!J191</f>
        <v>33.68</v>
      </c>
      <c r="S191" s="19">
        <f t="shared" ref="S191" si="1089">IF(OR(LEN(R191)=0,R191=0),"",R191-R190)</f>
        <v>-2.0000000000003126E-2</v>
      </c>
      <c r="T191" s="18">
        <f>운전실적_원본!K191</f>
        <v>33.090000000000003</v>
      </c>
      <c r="U191" s="19">
        <f t="shared" si="974"/>
        <v>-8.9999999999996305E-2</v>
      </c>
      <c r="V191" s="12">
        <f>운전실적_원본!L191</f>
        <v>8175</v>
      </c>
      <c r="W191" s="16">
        <f t="shared" ref="W191" si="1090">IF(OR(LEN(V191)=0,V191=0),"",V191-V190)</f>
        <v>-375</v>
      </c>
      <c r="X191" s="10">
        <f>운전실적_원본!M191</f>
        <v>0</v>
      </c>
      <c r="Y191" s="10">
        <f>운전실적_원본!N191</f>
        <v>0</v>
      </c>
      <c r="Z191" s="10">
        <f>운전실적_원본!O191</f>
        <v>0</v>
      </c>
      <c r="AA191" s="10">
        <f>운전실적_원본!P191</f>
        <v>0</v>
      </c>
      <c r="AB191" s="10">
        <f>운전실적_원본!Q191</f>
        <v>0</v>
      </c>
      <c r="AC191" s="10">
        <f>운전실적_원본!R191</f>
        <v>0</v>
      </c>
      <c r="AD191" s="181">
        <f>운전실적_원본!S191</f>
        <v>0</v>
      </c>
      <c r="AE191" s="181">
        <f>운전실적_원본!T191</f>
        <v>0</v>
      </c>
      <c r="AF191" s="181">
        <f>운전실적_원본!U191</f>
        <v>0</v>
      </c>
      <c r="AG191" s="181">
        <f>운전실적_원본!V191</f>
        <v>0</v>
      </c>
      <c r="AH191" s="106">
        <f t="shared" si="795"/>
        <v>0</v>
      </c>
      <c r="AI191" s="107">
        <f t="shared" si="803"/>
        <v>0</v>
      </c>
      <c r="AJ191" s="107">
        <f t="shared" si="804"/>
        <v>0</v>
      </c>
      <c r="AK191" s="204">
        <f t="shared" si="805"/>
        <v>0</v>
      </c>
      <c r="AL191" s="103"/>
      <c r="AM191" s="103"/>
      <c r="AN191" s="103"/>
      <c r="AO191" s="103"/>
      <c r="AP191" s="103"/>
      <c r="AQ191" s="105"/>
      <c r="AR191" s="103"/>
      <c r="AS191" s="103"/>
      <c r="AT191" s="101"/>
      <c r="AU191" s="101"/>
      <c r="AV191" s="101"/>
      <c r="AW191" s="101"/>
      <c r="AX191" s="32">
        <f>운전실적_원본!W191</f>
        <v>0</v>
      </c>
      <c r="AY191" s="198">
        <f>운전실적_원본!X191</f>
        <v>0</v>
      </c>
      <c r="AZ191" s="198">
        <f>운전실적_원본!Y191</f>
        <v>0</v>
      </c>
      <c r="BA191" s="198">
        <f>운전실적_원본!Z191</f>
        <v>0</v>
      </c>
      <c r="BB191" s="198">
        <f>운전실적_원본!AA191</f>
        <v>0</v>
      </c>
      <c r="BC191" s="198">
        <f>운전실적_원본!AB191</f>
        <v>0</v>
      </c>
      <c r="BD191" s="32" t="str">
        <f t="shared" si="788"/>
        <v>-</v>
      </c>
      <c r="BE191" s="11" t="str">
        <f t="shared" si="796"/>
        <v>-</v>
      </c>
      <c r="BF191" s="11">
        <f>운전실적_원본!AE191</f>
        <v>0</v>
      </c>
      <c r="BG191" s="31">
        <f t="shared" si="789"/>
        <v>0</v>
      </c>
    </row>
    <row r="192" spans="1:59">
      <c r="A192" s="6">
        <f t="shared" si="797"/>
        <v>45844</v>
      </c>
      <c r="B192" s="15">
        <f>운전실적_원본!B192</f>
        <v>7026</v>
      </c>
      <c r="C192" s="16">
        <f t="shared" si="966"/>
        <v>0</v>
      </c>
      <c r="D192" s="9">
        <f>운전실적_원본!C192</f>
        <v>238226</v>
      </c>
      <c r="E192" s="199">
        <f t="shared" si="967"/>
        <v>0</v>
      </c>
      <c r="F192" s="9">
        <f>운전실적_원본!D192</f>
        <v>232038</v>
      </c>
      <c r="G192" s="16">
        <f t="shared" si="968"/>
        <v>0</v>
      </c>
      <c r="H192" s="15">
        <f>운전실적_원본!E192</f>
        <v>14843.73</v>
      </c>
      <c r="I192" s="16">
        <f t="shared" si="969"/>
        <v>14.789999999999054</v>
      </c>
      <c r="J192" s="15">
        <f>운전실적_원본!E192</f>
        <v>14843.73</v>
      </c>
      <c r="K192" s="16">
        <f t="shared" si="969"/>
        <v>14.789999999999054</v>
      </c>
      <c r="L192" s="15">
        <f>운전실적_원본!G192</f>
        <v>3882.4</v>
      </c>
      <c r="M192" s="31">
        <f t="shared" ref="M192" si="1091">IF(OR(LEN(L192)=0,L192=0),"",L192-L191)</f>
        <v>0.3000000000001819</v>
      </c>
      <c r="N192" s="15">
        <f>운전실적_원본!H192</f>
        <v>17345</v>
      </c>
      <c r="O192" s="16">
        <f t="shared" ref="O192" si="1092">IF(OR(LEN(N192)=0,N192=0),"",N192-N191)</f>
        <v>0</v>
      </c>
      <c r="P192" s="15">
        <f>운전실적_원본!I192</f>
        <v>277853</v>
      </c>
      <c r="Q192" s="16">
        <f t="shared" ref="Q192" si="1093">IF(OR(LEN(P192)=0,P192=0),"",P192-P191)</f>
        <v>25</v>
      </c>
      <c r="R192" s="18">
        <f>운전실적_원본!J192</f>
        <v>33.479999999999997</v>
      </c>
      <c r="S192" s="19">
        <f t="shared" ref="S192" si="1094">IF(OR(LEN(R192)=0,R192=0),"",R192-R191)</f>
        <v>-0.20000000000000284</v>
      </c>
      <c r="T192" s="18">
        <f>운전실적_원본!K192</f>
        <v>33.049999999999997</v>
      </c>
      <c r="U192" s="19">
        <f t="shared" si="974"/>
        <v>-4.0000000000006253E-2</v>
      </c>
      <c r="V192" s="12">
        <f>운전실적_원본!L192</f>
        <v>8062</v>
      </c>
      <c r="W192" s="16">
        <f t="shared" ref="W192" si="1095">IF(OR(LEN(V192)=0,V192=0),"",V192-V191)</f>
        <v>-113</v>
      </c>
      <c r="X192" s="10">
        <f>운전실적_원본!M192</f>
        <v>0</v>
      </c>
      <c r="Y192" s="10">
        <f>운전실적_원본!N192</f>
        <v>0</v>
      </c>
      <c r="Z192" s="10">
        <f>운전실적_원본!O192</f>
        <v>0</v>
      </c>
      <c r="AA192" s="10">
        <f>운전실적_원본!P192</f>
        <v>0</v>
      </c>
      <c r="AB192" s="10">
        <f>운전실적_원본!Q192</f>
        <v>0</v>
      </c>
      <c r="AC192" s="10">
        <f>운전실적_원본!R192</f>
        <v>0</v>
      </c>
      <c r="AD192" s="181">
        <f>운전실적_원본!S192</f>
        <v>0</v>
      </c>
      <c r="AE192" s="181">
        <f>운전실적_원본!T192</f>
        <v>0</v>
      </c>
      <c r="AF192" s="181">
        <f>운전실적_원본!U192</f>
        <v>0</v>
      </c>
      <c r="AG192" s="181">
        <f>운전실적_원본!V192</f>
        <v>0</v>
      </c>
      <c r="AH192" s="106">
        <f t="shared" si="795"/>
        <v>0</v>
      </c>
      <c r="AI192" s="107">
        <f t="shared" si="803"/>
        <v>0</v>
      </c>
      <c r="AJ192" s="107">
        <f t="shared" si="804"/>
        <v>0</v>
      </c>
      <c r="AK192" s="204">
        <f t="shared" si="805"/>
        <v>0</v>
      </c>
      <c r="AL192" s="103"/>
      <c r="AM192" s="103"/>
      <c r="AN192" s="103"/>
      <c r="AO192" s="103"/>
      <c r="AP192" s="103"/>
      <c r="AQ192" s="105"/>
      <c r="AR192" s="103"/>
      <c r="AS192" s="103"/>
      <c r="AT192" s="101"/>
      <c r="AU192" s="101"/>
      <c r="AV192" s="101"/>
      <c r="AW192" s="101"/>
      <c r="AX192" s="32">
        <f>운전실적_원본!W192</f>
        <v>0</v>
      </c>
      <c r="AY192" s="198">
        <f>운전실적_원본!X192</f>
        <v>0</v>
      </c>
      <c r="AZ192" s="198">
        <f>운전실적_원본!Y192</f>
        <v>0</v>
      </c>
      <c r="BA192" s="198">
        <f>운전실적_원본!Z192</f>
        <v>0</v>
      </c>
      <c r="BB192" s="198">
        <f>운전실적_원본!AA192</f>
        <v>0</v>
      </c>
      <c r="BC192" s="198">
        <f>운전실적_원본!AB192</f>
        <v>0</v>
      </c>
      <c r="BD192" s="32" t="str">
        <f t="shared" si="788"/>
        <v>-</v>
      </c>
      <c r="BE192" s="11" t="str">
        <f t="shared" si="796"/>
        <v>-</v>
      </c>
      <c r="BF192" s="11">
        <f>운전실적_원본!AE192</f>
        <v>0</v>
      </c>
      <c r="BG192" s="31">
        <f t="shared" si="789"/>
        <v>0</v>
      </c>
    </row>
    <row r="193" spans="1:59">
      <c r="A193" s="6">
        <f t="shared" si="797"/>
        <v>45845</v>
      </c>
      <c r="B193" s="15">
        <f>운전실적_원본!B193</f>
        <v>7026</v>
      </c>
      <c r="C193" s="16">
        <f t="shared" si="966"/>
        <v>0</v>
      </c>
      <c r="D193" s="9">
        <f>운전실적_원본!C193</f>
        <v>238226</v>
      </c>
      <c r="E193" s="199">
        <f t="shared" si="967"/>
        <v>0</v>
      </c>
      <c r="F193" s="9">
        <f>운전실적_원본!D193</f>
        <v>232080</v>
      </c>
      <c r="G193" s="16">
        <f t="shared" si="968"/>
        <v>42</v>
      </c>
      <c r="H193" s="15">
        <f>운전실적_원본!E193</f>
        <v>14876.01</v>
      </c>
      <c r="I193" s="16">
        <f t="shared" si="969"/>
        <v>32.280000000000655</v>
      </c>
      <c r="J193" s="15">
        <f>운전실적_원본!E193</f>
        <v>14876.01</v>
      </c>
      <c r="K193" s="16">
        <f t="shared" si="969"/>
        <v>32.280000000000655</v>
      </c>
      <c r="L193" s="15">
        <f>운전실적_원본!G193</f>
        <v>3883</v>
      </c>
      <c r="M193" s="31">
        <f t="shared" ref="M193" si="1096">IF(OR(LEN(L193)=0,L193=0),"",L193-L192)</f>
        <v>0.59999999999990905</v>
      </c>
      <c r="N193" s="15">
        <f>운전실적_원본!H193</f>
        <v>17413</v>
      </c>
      <c r="O193" s="16">
        <f t="shared" ref="O193" si="1097">IF(OR(LEN(N193)=0,N193=0),"",N193-N192)</f>
        <v>68</v>
      </c>
      <c r="P193" s="15">
        <f>운전실적_원본!I193</f>
        <v>277976</v>
      </c>
      <c r="Q193" s="16">
        <f t="shared" ref="Q193" si="1098">IF(OR(LEN(P193)=0,P193=0),"",P193-P192)</f>
        <v>123</v>
      </c>
      <c r="R193" s="18">
        <f>운전실적_원본!J193</f>
        <v>33.44</v>
      </c>
      <c r="S193" s="19">
        <f t="shared" ref="S193" si="1099">IF(OR(LEN(R193)=0,R193=0),"",R193-R192)</f>
        <v>-3.9999999999999147E-2</v>
      </c>
      <c r="T193" s="18">
        <f>운전실적_원본!K193</f>
        <v>33</v>
      </c>
      <c r="U193" s="19">
        <f t="shared" si="974"/>
        <v>-4.9999999999997158E-2</v>
      </c>
      <c r="V193" s="12">
        <f>운전실적_원본!L193</f>
        <v>8392</v>
      </c>
      <c r="W193" s="16">
        <f t="shared" ref="W193" si="1100">IF(OR(LEN(V193)=0,V193=0),"",V193-V192)</f>
        <v>330</v>
      </c>
      <c r="X193" s="10">
        <f>운전실적_원본!M193</f>
        <v>42185.98</v>
      </c>
      <c r="Y193" s="10">
        <f>운전실적_원본!N193</f>
        <v>0</v>
      </c>
      <c r="Z193" s="10">
        <f>운전실적_원본!O193</f>
        <v>0</v>
      </c>
      <c r="AA193" s="10">
        <f>운전실적_원본!P193</f>
        <v>0</v>
      </c>
      <c r="AB193" s="10">
        <f>운전실적_원본!Q193</f>
        <v>0</v>
      </c>
      <c r="AC193" s="10">
        <f>운전실적_원본!R193</f>
        <v>0</v>
      </c>
      <c r="AD193" s="181">
        <f>운전실적_원본!S193</f>
        <v>17</v>
      </c>
      <c r="AE193" s="181">
        <f>운전실적_원본!T193</f>
        <v>0</v>
      </c>
      <c r="AF193" s="181">
        <f>운전실적_원본!U193</f>
        <v>0</v>
      </c>
      <c r="AG193" s="181">
        <f>운전실적_원본!V193</f>
        <v>0</v>
      </c>
      <c r="AH193" s="106">
        <f t="shared" si="795"/>
        <v>17.000000000058208</v>
      </c>
      <c r="AI193" s="107">
        <f t="shared" si="803"/>
        <v>0</v>
      </c>
      <c r="AJ193" s="107">
        <f t="shared" si="804"/>
        <v>0</v>
      </c>
      <c r="AK193" s="204">
        <f t="shared" si="805"/>
        <v>0</v>
      </c>
      <c r="AL193" s="103">
        <v>45845.125</v>
      </c>
      <c r="AM193" s="103">
        <v>45845.833333333336</v>
      </c>
      <c r="AN193" s="103"/>
      <c r="AO193" s="103"/>
      <c r="AP193" s="103"/>
      <c r="AQ193" s="105"/>
      <c r="AR193" s="103"/>
      <c r="AS193" s="103"/>
      <c r="AT193" s="101"/>
      <c r="AU193" s="101"/>
      <c r="AV193" s="101"/>
      <c r="AW193" s="101"/>
      <c r="AX193" s="32">
        <f>운전실적_원본!W193</f>
        <v>270</v>
      </c>
      <c r="AY193" s="198">
        <f>운전실적_원본!X193</f>
        <v>0</v>
      </c>
      <c r="AZ193" s="198">
        <f>운전실적_원본!Y193</f>
        <v>0</v>
      </c>
      <c r="BA193" s="198">
        <f>운전실적_원본!Z193</f>
        <v>0</v>
      </c>
      <c r="BB193" s="198">
        <f>운전실적_원본!AA193</f>
        <v>0</v>
      </c>
      <c r="BC193" s="198">
        <f>운전실적_원본!AB193</f>
        <v>270</v>
      </c>
      <c r="BD193" s="32">
        <f t="shared" si="788"/>
        <v>15.882352941176471</v>
      </c>
      <c r="BE193" s="11">
        <f t="shared" si="796"/>
        <v>0.30905532090244153</v>
      </c>
      <c r="BF193" s="11">
        <f>운전실적_원본!AE193</f>
        <v>0</v>
      </c>
      <c r="BG193" s="31">
        <f t="shared" si="789"/>
        <v>0</v>
      </c>
    </row>
    <row r="194" spans="1:59">
      <c r="A194" s="6">
        <f t="shared" si="797"/>
        <v>45846</v>
      </c>
      <c r="B194" s="15">
        <f>운전실적_원본!B194</f>
        <v>7030</v>
      </c>
      <c r="C194" s="16">
        <f t="shared" si="966"/>
        <v>4</v>
      </c>
      <c r="D194" s="9">
        <f>운전실적_원본!C194</f>
        <v>238226</v>
      </c>
      <c r="E194" s="199">
        <f t="shared" si="967"/>
        <v>0</v>
      </c>
      <c r="F194" s="9">
        <f>운전실적_원본!D194</f>
        <v>232103</v>
      </c>
      <c r="G194" s="16">
        <f t="shared" si="968"/>
        <v>23</v>
      </c>
      <c r="H194" s="15">
        <f>운전실적_원본!E194</f>
        <v>14917.13</v>
      </c>
      <c r="I194" s="16">
        <f t="shared" si="969"/>
        <v>41.119999999998981</v>
      </c>
      <c r="J194" s="15">
        <f>운전실적_원본!E194</f>
        <v>14917.13</v>
      </c>
      <c r="K194" s="16">
        <f t="shared" si="969"/>
        <v>41.119999999998981</v>
      </c>
      <c r="L194" s="15">
        <f>운전실적_원본!G194</f>
        <v>3883.3</v>
      </c>
      <c r="M194" s="31">
        <f t="shared" ref="M194" si="1101">IF(OR(LEN(L194)=0,L194=0),"",L194-L193)</f>
        <v>0.3000000000001819</v>
      </c>
      <c r="N194" s="15">
        <f>운전실적_원본!H194</f>
        <v>17413</v>
      </c>
      <c r="O194" s="16">
        <f t="shared" ref="O194" si="1102">IF(OR(LEN(N194)=0,N194=0),"",N194-N193)</f>
        <v>0</v>
      </c>
      <c r="P194" s="15">
        <f>운전실적_원본!I194</f>
        <v>278100</v>
      </c>
      <c r="Q194" s="16">
        <f t="shared" ref="Q194" si="1103">IF(OR(LEN(P194)=0,P194=0),"",P194-P193)</f>
        <v>124</v>
      </c>
      <c r="R194" s="18">
        <f>운전실적_원본!J194</f>
        <v>33.49</v>
      </c>
      <c r="S194" s="19">
        <f t="shared" ref="S194" si="1104">IF(OR(LEN(R194)=0,R194=0),"",R194-R193)</f>
        <v>5.0000000000004263E-2</v>
      </c>
      <c r="T194" s="18">
        <f>운전실적_원본!K194</f>
        <v>32.97</v>
      </c>
      <c r="U194" s="19">
        <f t="shared" si="974"/>
        <v>-3.0000000000001137E-2</v>
      </c>
      <c r="V194" s="12">
        <f>운전실적_원본!L194</f>
        <v>8004</v>
      </c>
      <c r="W194" s="16">
        <f t="shared" ref="W194" si="1105">IF(OR(LEN(V194)=0,V194=0),"",V194-V193)</f>
        <v>-388</v>
      </c>
      <c r="X194" s="10">
        <f>운전실적_원본!M194</f>
        <v>40229.730000000003</v>
      </c>
      <c r="Y194" s="10">
        <f>운전실적_원본!N194</f>
        <v>0</v>
      </c>
      <c r="Z194" s="10">
        <f>운전실적_원본!O194</f>
        <v>0</v>
      </c>
      <c r="AA194" s="10">
        <f>운전실적_원본!P194</f>
        <v>0</v>
      </c>
      <c r="AB194" s="10">
        <f>운전실적_원본!Q194</f>
        <v>0</v>
      </c>
      <c r="AC194" s="10">
        <f>운전실적_원본!R194</f>
        <v>0</v>
      </c>
      <c r="AD194" s="181">
        <f>운전실적_원본!S194</f>
        <v>14</v>
      </c>
      <c r="AE194" s="181">
        <f>운전실적_원본!T194</f>
        <v>0</v>
      </c>
      <c r="AF194" s="181">
        <f>운전실적_원본!U194</f>
        <v>0</v>
      </c>
      <c r="AG194" s="181">
        <f>운전실적_원본!V194</f>
        <v>0</v>
      </c>
      <c r="AH194" s="106">
        <f t="shared" si="795"/>
        <v>13.916666666627862</v>
      </c>
      <c r="AI194" s="107">
        <f t="shared" si="803"/>
        <v>0</v>
      </c>
      <c r="AJ194" s="107">
        <f t="shared" si="804"/>
        <v>0</v>
      </c>
      <c r="AK194" s="204">
        <f t="shared" si="805"/>
        <v>0</v>
      </c>
      <c r="AL194" s="103">
        <v>45846.274305555555</v>
      </c>
      <c r="AM194" s="103">
        <v>45846.854166666664</v>
      </c>
      <c r="AN194" s="103"/>
      <c r="AO194" s="103"/>
      <c r="AP194" s="103"/>
      <c r="AQ194" s="105"/>
      <c r="AR194" s="103"/>
      <c r="AS194" s="103"/>
      <c r="AT194" s="101"/>
      <c r="AU194" s="101"/>
      <c r="AV194" s="101"/>
      <c r="AW194" s="101"/>
      <c r="AX194" s="32">
        <f>운전실적_원본!W194</f>
        <v>270</v>
      </c>
      <c r="AY194" s="198">
        <f>운전실적_원본!X194</f>
        <v>0</v>
      </c>
      <c r="AZ194" s="198">
        <f>운전실적_원본!Y194</f>
        <v>0</v>
      </c>
      <c r="BA194" s="198">
        <f>운전실적_원본!Z194</f>
        <v>0</v>
      </c>
      <c r="BB194" s="198">
        <f>운전실적_원본!AA194</f>
        <v>0</v>
      </c>
      <c r="BC194" s="198">
        <f>운전실적_원본!AB194</f>
        <v>270</v>
      </c>
      <c r="BD194" s="32">
        <f t="shared" si="788"/>
        <v>19.285714285714285</v>
      </c>
      <c r="BE194" s="11">
        <f t="shared" si="796"/>
        <v>0.37528146109582183</v>
      </c>
      <c r="BF194" s="11">
        <f>운전실적_원본!AE194</f>
        <v>0</v>
      </c>
      <c r="BG194" s="31">
        <f t="shared" si="789"/>
        <v>0</v>
      </c>
    </row>
    <row r="195" spans="1:59">
      <c r="A195" s="6">
        <f t="shared" si="797"/>
        <v>45847</v>
      </c>
      <c r="B195" s="15">
        <f>운전실적_원본!B195</f>
        <v>7039</v>
      </c>
      <c r="C195" s="16">
        <f t="shared" si="966"/>
        <v>9</v>
      </c>
      <c r="D195" s="9">
        <f>운전실적_원본!C195</f>
        <v>238226</v>
      </c>
      <c r="E195" s="199">
        <f t="shared" si="967"/>
        <v>0</v>
      </c>
      <c r="F195" s="9">
        <f>운전실적_원본!D195</f>
        <v>232136</v>
      </c>
      <c r="G195" s="16">
        <f t="shared" si="968"/>
        <v>33</v>
      </c>
      <c r="H195" s="15">
        <f>운전실적_원본!E195</f>
        <v>14946.87</v>
      </c>
      <c r="I195" s="16">
        <f t="shared" si="969"/>
        <v>29.740000000001601</v>
      </c>
      <c r="J195" s="15">
        <f>운전실적_원본!E195</f>
        <v>14946.87</v>
      </c>
      <c r="K195" s="16">
        <f t="shared" si="969"/>
        <v>29.740000000001601</v>
      </c>
      <c r="L195" s="15">
        <f>운전실적_원본!G195</f>
        <v>3883.3</v>
      </c>
      <c r="M195" s="31">
        <f t="shared" ref="M195" si="1106">IF(OR(LEN(L195)=0,L195=0),"",L195-L194)</f>
        <v>0</v>
      </c>
      <c r="N195" s="15">
        <f>운전실적_원본!H195</f>
        <v>17468</v>
      </c>
      <c r="O195" s="16">
        <f t="shared" ref="O195" si="1107">IF(OR(LEN(N195)=0,N195=0),"",N195-N194)</f>
        <v>55</v>
      </c>
      <c r="P195" s="15">
        <f>운전실적_원본!I195</f>
        <v>278224</v>
      </c>
      <c r="Q195" s="16">
        <f t="shared" ref="Q195" si="1108">IF(OR(LEN(P195)=0,P195=0),"",P195-P194)</f>
        <v>124</v>
      </c>
      <c r="R195" s="18">
        <f>운전실적_원본!J195</f>
        <v>33.39</v>
      </c>
      <c r="S195" s="19">
        <f t="shared" ref="S195" si="1109">IF(OR(LEN(R195)=0,R195=0),"",R195-R194)</f>
        <v>-0.10000000000000142</v>
      </c>
      <c r="T195" s="18">
        <f>운전실적_원본!K195</f>
        <v>32.94</v>
      </c>
      <c r="U195" s="19">
        <f t="shared" si="974"/>
        <v>-3.0000000000001137E-2</v>
      </c>
      <c r="V195" s="12">
        <f>운전실적_원본!L195</f>
        <v>7508</v>
      </c>
      <c r="W195" s="16">
        <f t="shared" ref="W195" si="1110">IF(OR(LEN(V195)=0,V195=0),"",V195-V194)</f>
        <v>-496</v>
      </c>
      <c r="X195" s="10">
        <f>운전실적_원본!M195</f>
        <v>34156.6</v>
      </c>
      <c r="Y195" s="10">
        <f>운전실적_원본!N195</f>
        <v>0</v>
      </c>
      <c r="Z195" s="10">
        <f>운전실적_원본!O195</f>
        <v>0</v>
      </c>
      <c r="AA195" s="10">
        <f>운전실적_원본!P195</f>
        <v>0</v>
      </c>
      <c r="AB195" s="10">
        <f>운전실적_원본!Q195</f>
        <v>0</v>
      </c>
      <c r="AC195" s="10">
        <f>운전실적_원본!R195</f>
        <v>0</v>
      </c>
      <c r="AD195" s="181">
        <f>운전실적_원본!S195</f>
        <v>13</v>
      </c>
      <c r="AE195" s="181">
        <f>운전실적_원본!T195</f>
        <v>0</v>
      </c>
      <c r="AF195" s="181">
        <f>운전실적_원본!U195</f>
        <v>0</v>
      </c>
      <c r="AG195" s="181">
        <f>운전실적_원본!V195</f>
        <v>0</v>
      </c>
      <c r="AH195" s="106">
        <f t="shared" si="795"/>
        <v>12.499999999883585</v>
      </c>
      <c r="AI195" s="107">
        <f t="shared" si="803"/>
        <v>0</v>
      </c>
      <c r="AJ195" s="107">
        <f t="shared" si="804"/>
        <v>0</v>
      </c>
      <c r="AK195" s="204">
        <f t="shared" si="805"/>
        <v>0</v>
      </c>
      <c r="AL195" s="103">
        <v>45847.270833333336</v>
      </c>
      <c r="AM195" s="103">
        <v>45847.791666666664</v>
      </c>
      <c r="AN195" s="103"/>
      <c r="AO195" s="103"/>
      <c r="AP195" s="103"/>
      <c r="AQ195" s="105"/>
      <c r="AR195" s="103"/>
      <c r="AS195" s="103"/>
      <c r="AT195" s="101"/>
      <c r="AU195" s="101"/>
      <c r="AV195" s="101"/>
      <c r="AW195" s="101"/>
      <c r="AX195" s="32">
        <f>운전실적_원본!W195</f>
        <v>227</v>
      </c>
      <c r="AY195" s="198">
        <f>운전실적_원본!X195</f>
        <v>0</v>
      </c>
      <c r="AZ195" s="198">
        <f>운전실적_원본!Y195</f>
        <v>0</v>
      </c>
      <c r="BA195" s="198">
        <f>운전실적_원본!Z195</f>
        <v>0</v>
      </c>
      <c r="BB195" s="198">
        <f>운전실적_원본!AA195</f>
        <v>0</v>
      </c>
      <c r="BC195" s="198">
        <f>운전실적_원본!AB195</f>
        <v>227</v>
      </c>
      <c r="BD195" s="32">
        <f t="shared" si="788"/>
        <v>17.46153846153846</v>
      </c>
      <c r="BE195" s="11">
        <f t="shared" si="796"/>
        <v>0.33978475309473555</v>
      </c>
      <c r="BF195" s="11">
        <f>운전실적_원본!AE195</f>
        <v>0</v>
      </c>
      <c r="BG195" s="31">
        <f t="shared" si="789"/>
        <v>0</v>
      </c>
    </row>
    <row r="196" spans="1:59">
      <c r="A196" s="6">
        <f t="shared" si="797"/>
        <v>45848</v>
      </c>
      <c r="B196" s="15">
        <f>운전실적_원본!B196</f>
        <v>7064</v>
      </c>
      <c r="C196" s="16">
        <f t="shared" si="966"/>
        <v>25</v>
      </c>
      <c r="D196" s="9">
        <f>운전실적_원본!C196</f>
        <v>238250</v>
      </c>
      <c r="E196" s="199">
        <f t="shared" si="967"/>
        <v>24</v>
      </c>
      <c r="F196" s="9">
        <f>운전실적_원본!D196</f>
        <v>232231</v>
      </c>
      <c r="G196" s="16">
        <f t="shared" si="968"/>
        <v>95</v>
      </c>
      <c r="H196" s="15">
        <f>운전실적_원본!E196</f>
        <v>14974.16</v>
      </c>
      <c r="I196" s="16">
        <f t="shared" si="969"/>
        <v>27.289999999999054</v>
      </c>
      <c r="J196" s="15">
        <f>운전실적_원본!E196</f>
        <v>14974.16</v>
      </c>
      <c r="K196" s="16">
        <f t="shared" si="969"/>
        <v>27.289999999999054</v>
      </c>
      <c r="L196" s="15">
        <f>운전실적_원본!G196</f>
        <v>3884.6</v>
      </c>
      <c r="M196" s="31">
        <f t="shared" ref="M196" si="1111">IF(OR(LEN(L196)=0,L196=0),"",L196-L195)</f>
        <v>1.2999999999997272</v>
      </c>
      <c r="N196" s="15">
        <f>운전실적_원본!H196</f>
        <v>17568</v>
      </c>
      <c r="O196" s="16">
        <f t="shared" ref="O196" si="1112">IF(OR(LEN(N196)=0,N196=0),"",N196-N195)</f>
        <v>100</v>
      </c>
      <c r="P196" s="15">
        <f>운전실적_원본!I196</f>
        <v>278442</v>
      </c>
      <c r="Q196" s="16">
        <f t="shared" ref="Q196" si="1113">IF(OR(LEN(P196)=0,P196=0),"",P196-P195)</f>
        <v>218</v>
      </c>
      <c r="R196" s="18">
        <f>운전실적_원본!J196</f>
        <v>33.57</v>
      </c>
      <c r="S196" s="19">
        <f t="shared" ref="S196" si="1114">IF(OR(LEN(R196)=0,R196=0),"",R196-R195)</f>
        <v>0.17999999999999972</v>
      </c>
      <c r="T196" s="18">
        <f>운전실적_원본!K196</f>
        <v>33.130000000000003</v>
      </c>
      <c r="U196" s="19">
        <f t="shared" si="974"/>
        <v>0.19000000000000483</v>
      </c>
      <c r="V196" s="12">
        <f>운전실적_원본!L196</f>
        <v>7946</v>
      </c>
      <c r="W196" s="16">
        <f t="shared" ref="W196" si="1115">IF(OR(LEN(V196)=0,V196=0),"",V196-V195)</f>
        <v>438</v>
      </c>
      <c r="X196" s="10">
        <f>운전실적_원본!M196</f>
        <v>0</v>
      </c>
      <c r="Y196" s="10">
        <f>운전실적_원본!N196</f>
        <v>0</v>
      </c>
      <c r="Z196" s="10">
        <f>운전실적_원본!O196</f>
        <v>0</v>
      </c>
      <c r="AA196" s="10">
        <f>운전실적_원본!P196</f>
        <v>0</v>
      </c>
      <c r="AB196" s="10">
        <f>운전실적_원본!Q196</f>
        <v>0</v>
      </c>
      <c r="AC196" s="10">
        <f>운전실적_원본!R196</f>
        <v>0</v>
      </c>
      <c r="AD196" s="181">
        <f>운전실적_원본!S196</f>
        <v>0</v>
      </c>
      <c r="AE196" s="181">
        <f>운전실적_원본!T196</f>
        <v>0</v>
      </c>
      <c r="AF196" s="181">
        <f>운전실적_원본!U196</f>
        <v>0</v>
      </c>
      <c r="AG196" s="181">
        <f>운전실적_원본!V196</f>
        <v>0</v>
      </c>
      <c r="AH196" s="106">
        <f t="shared" si="795"/>
        <v>0</v>
      </c>
      <c r="AI196" s="107">
        <f t="shared" si="803"/>
        <v>0</v>
      </c>
      <c r="AJ196" s="107">
        <f t="shared" si="804"/>
        <v>0</v>
      </c>
      <c r="AK196" s="204">
        <f t="shared" si="805"/>
        <v>0</v>
      </c>
      <c r="AL196" s="103"/>
      <c r="AM196" s="103"/>
      <c r="AN196" s="103"/>
      <c r="AO196" s="103"/>
      <c r="AP196" s="103"/>
      <c r="AQ196" s="105"/>
      <c r="AR196" s="103"/>
      <c r="AS196" s="103"/>
      <c r="AT196" s="101"/>
      <c r="AU196" s="101"/>
      <c r="AV196" s="101"/>
      <c r="AW196" s="101"/>
      <c r="AX196" s="32">
        <f>운전실적_원본!W196</f>
        <v>0</v>
      </c>
      <c r="AY196" s="198">
        <f>운전실적_원본!X196</f>
        <v>0</v>
      </c>
      <c r="AZ196" s="198">
        <f>운전실적_원본!Y196</f>
        <v>0</v>
      </c>
      <c r="BA196" s="198">
        <f>운전실적_원본!Z196</f>
        <v>0</v>
      </c>
      <c r="BB196" s="198">
        <f>운전실적_원본!AA196</f>
        <v>0</v>
      </c>
      <c r="BC196" s="198">
        <f>운전실적_원본!AB196</f>
        <v>0</v>
      </c>
      <c r="BD196" s="32" t="str">
        <f t="shared" si="788"/>
        <v>-</v>
      </c>
      <c r="BE196" s="11" t="str">
        <f t="shared" si="796"/>
        <v>-</v>
      </c>
      <c r="BF196" s="11">
        <f>운전실적_원본!AE196</f>
        <v>0</v>
      </c>
      <c r="BG196" s="31">
        <f t="shared" si="789"/>
        <v>0</v>
      </c>
    </row>
    <row r="197" spans="1:59">
      <c r="A197" s="6">
        <f t="shared" si="797"/>
        <v>45849</v>
      </c>
      <c r="B197" s="15">
        <f>운전실적_원본!B197</f>
        <v>7096</v>
      </c>
      <c r="C197" s="16">
        <f t="shared" si="966"/>
        <v>32</v>
      </c>
      <c r="D197" s="9">
        <f>운전실적_원본!C197</f>
        <v>238366</v>
      </c>
      <c r="E197" s="199">
        <f t="shared" si="967"/>
        <v>116</v>
      </c>
      <c r="F197" s="9">
        <f>운전실적_원본!D197</f>
        <v>232245</v>
      </c>
      <c r="G197" s="16">
        <f t="shared" si="968"/>
        <v>14</v>
      </c>
      <c r="H197" s="15">
        <f>운전실적_원본!E197</f>
        <v>15004</v>
      </c>
      <c r="I197" s="16">
        <f t="shared" si="969"/>
        <v>29.840000000000146</v>
      </c>
      <c r="J197" s="15">
        <f>운전실적_원본!E197</f>
        <v>15004</v>
      </c>
      <c r="K197" s="16">
        <f t="shared" si="969"/>
        <v>29.840000000000146</v>
      </c>
      <c r="L197" s="15">
        <f>운전실적_원본!G197</f>
        <v>3885.3</v>
      </c>
      <c r="M197" s="31">
        <f t="shared" ref="M197" si="1116">IF(OR(LEN(L197)=0,L197=0),"",L197-L196)</f>
        <v>0.70000000000027285</v>
      </c>
      <c r="N197" s="15">
        <f>운전실적_원본!H197</f>
        <v>17568</v>
      </c>
      <c r="O197" s="16">
        <f t="shared" ref="O197" si="1117">IF(OR(LEN(N197)=0,N197=0),"",N197-N196)</f>
        <v>0</v>
      </c>
      <c r="P197" s="15">
        <f>운전실적_원본!I197</f>
        <v>278607</v>
      </c>
      <c r="Q197" s="16">
        <f t="shared" ref="Q197" si="1118">IF(OR(LEN(P197)=0,P197=0),"",P197-P196)</f>
        <v>165</v>
      </c>
      <c r="R197" s="18">
        <f>운전실적_원본!J197</f>
        <v>33.82</v>
      </c>
      <c r="S197" s="19">
        <f t="shared" ref="S197" si="1119">IF(OR(LEN(R197)=0,R197=0),"",R197-R196)</f>
        <v>0.25</v>
      </c>
      <c r="T197" s="18">
        <f>운전실적_원본!K197</f>
        <v>33.11</v>
      </c>
      <c r="U197" s="19">
        <f t="shared" si="974"/>
        <v>-2.0000000000003126E-2</v>
      </c>
      <c r="V197" s="12">
        <f>운전실적_원본!L197</f>
        <v>7799</v>
      </c>
      <c r="W197" s="16">
        <f t="shared" ref="W197" si="1120">IF(OR(LEN(V197)=0,V197=0),"",V197-V196)</f>
        <v>-147</v>
      </c>
      <c r="X197" s="10">
        <f>운전실적_원본!M197</f>
        <v>0</v>
      </c>
      <c r="Y197" s="10">
        <f>운전실적_원본!N197</f>
        <v>0</v>
      </c>
      <c r="Z197" s="10">
        <f>운전실적_원본!O197</f>
        <v>0</v>
      </c>
      <c r="AA197" s="10">
        <f>운전실적_원본!P197</f>
        <v>0</v>
      </c>
      <c r="AB197" s="10">
        <f>운전실적_원본!Q197</f>
        <v>0</v>
      </c>
      <c r="AC197" s="10">
        <f>운전실적_원본!R197</f>
        <v>0</v>
      </c>
      <c r="AD197" s="181">
        <f>운전실적_원본!S197</f>
        <v>0</v>
      </c>
      <c r="AE197" s="181">
        <f>운전실적_원본!T197</f>
        <v>0</v>
      </c>
      <c r="AF197" s="181">
        <f>운전실적_원본!U197</f>
        <v>0</v>
      </c>
      <c r="AG197" s="181">
        <f>운전실적_원본!V197</f>
        <v>0</v>
      </c>
      <c r="AH197" s="106">
        <f t="shared" si="795"/>
        <v>0</v>
      </c>
      <c r="AI197" s="107">
        <f t="shared" si="803"/>
        <v>0</v>
      </c>
      <c r="AJ197" s="107">
        <f t="shared" si="804"/>
        <v>0</v>
      </c>
      <c r="AK197" s="204">
        <f t="shared" si="805"/>
        <v>0</v>
      </c>
      <c r="AL197" s="103"/>
      <c r="AM197" s="103"/>
      <c r="AN197" s="103"/>
      <c r="AO197" s="103"/>
      <c r="AP197" s="103"/>
      <c r="AQ197" s="105"/>
      <c r="AR197" s="103"/>
      <c r="AS197" s="103"/>
      <c r="AT197" s="101"/>
      <c r="AU197" s="101"/>
      <c r="AV197" s="101"/>
      <c r="AW197" s="101"/>
      <c r="AX197" s="32">
        <f>운전실적_원본!W197</f>
        <v>0</v>
      </c>
      <c r="AY197" s="198">
        <f>운전실적_원본!X197</f>
        <v>0</v>
      </c>
      <c r="AZ197" s="198">
        <f>운전실적_원본!Y197</f>
        <v>0</v>
      </c>
      <c r="BA197" s="198">
        <f>운전실적_원본!Z197</f>
        <v>0</v>
      </c>
      <c r="BB197" s="198">
        <f>운전실적_원본!AA197</f>
        <v>0</v>
      </c>
      <c r="BC197" s="198">
        <f>운전실적_원본!AB197</f>
        <v>0</v>
      </c>
      <c r="BD197" s="32" t="str">
        <f t="shared" ref="BD197:BD260" si="1121">IFERROR(AX197/AD197,"-")</f>
        <v>-</v>
      </c>
      <c r="BE197" s="11" t="str">
        <f t="shared" si="796"/>
        <v>-</v>
      </c>
      <c r="BF197" s="11">
        <f>운전실적_원본!AE197</f>
        <v>0</v>
      </c>
      <c r="BG197" s="31">
        <f t="shared" ref="BG197:BG260" si="1122">IFERROR(BF197/$BG$4,"-")</f>
        <v>0</v>
      </c>
    </row>
    <row r="198" spans="1:59">
      <c r="A198" s="6">
        <f t="shared" si="797"/>
        <v>45850</v>
      </c>
      <c r="B198" s="15">
        <f>운전실적_원본!B198</f>
        <v>7130</v>
      </c>
      <c r="C198" s="16">
        <f t="shared" si="966"/>
        <v>34</v>
      </c>
      <c r="D198" s="9">
        <f>운전실적_원본!C198</f>
        <v>238422</v>
      </c>
      <c r="E198" s="199">
        <f t="shared" si="967"/>
        <v>56</v>
      </c>
      <c r="F198" s="9">
        <f>운전실적_원본!D198</f>
        <v>232297</v>
      </c>
      <c r="G198" s="16">
        <f t="shared" si="968"/>
        <v>52</v>
      </c>
      <c r="H198" s="15">
        <f>운전실적_원본!E198</f>
        <v>15022</v>
      </c>
      <c r="I198" s="16">
        <f t="shared" si="969"/>
        <v>18</v>
      </c>
      <c r="J198" s="15">
        <f>운전실적_원본!E198</f>
        <v>15022</v>
      </c>
      <c r="K198" s="16">
        <f t="shared" si="969"/>
        <v>18</v>
      </c>
      <c r="L198" s="15">
        <f>운전실적_원본!G198</f>
        <v>3886.3</v>
      </c>
      <c r="M198" s="31">
        <f t="shared" ref="M198" si="1123">IF(OR(LEN(L198)=0,L198=0),"",L198-L197)</f>
        <v>1</v>
      </c>
      <c r="N198" s="15">
        <f>운전실적_원본!H198</f>
        <v>17631</v>
      </c>
      <c r="O198" s="16">
        <f t="shared" ref="O198" si="1124">IF(OR(LEN(N198)=0,N198=0),"",N198-N197)</f>
        <v>63</v>
      </c>
      <c r="P198" s="15">
        <f>운전실적_원본!I198</f>
        <v>278765</v>
      </c>
      <c r="Q198" s="16">
        <f t="shared" ref="Q198" si="1125">IF(OR(LEN(P198)=0,P198=0),"",P198-P197)</f>
        <v>158</v>
      </c>
      <c r="R198" s="18">
        <f>운전실적_원본!J198</f>
        <v>33.69</v>
      </c>
      <c r="S198" s="19">
        <f t="shared" ref="S198" si="1126">IF(OR(LEN(R198)=0,R198=0),"",R198-R197)</f>
        <v>-0.13000000000000256</v>
      </c>
      <c r="T198" s="18">
        <f>운전실적_원본!K198</f>
        <v>33.229999999999997</v>
      </c>
      <c r="U198" s="19">
        <f t="shared" si="974"/>
        <v>0.11999999999999744</v>
      </c>
      <c r="V198" s="12">
        <f>운전실적_원본!L198</f>
        <v>8230</v>
      </c>
      <c r="W198" s="16">
        <f t="shared" ref="W198" si="1127">IF(OR(LEN(V198)=0,V198=0),"",V198-V197)</f>
        <v>431</v>
      </c>
      <c r="X198" s="10">
        <f>운전실적_원본!M198</f>
        <v>0</v>
      </c>
      <c r="Y198" s="10">
        <f>운전실적_원본!N198</f>
        <v>0</v>
      </c>
      <c r="Z198" s="10">
        <f>운전실적_원본!O198</f>
        <v>0</v>
      </c>
      <c r="AA198" s="10">
        <f>운전실적_원본!P198</f>
        <v>0</v>
      </c>
      <c r="AB198" s="10">
        <f>운전실적_원본!Q198</f>
        <v>0</v>
      </c>
      <c r="AC198" s="10">
        <f>운전실적_원본!R198</f>
        <v>0</v>
      </c>
      <c r="AD198" s="181">
        <f>운전실적_원본!S198</f>
        <v>0</v>
      </c>
      <c r="AE198" s="181">
        <f>운전실적_원본!T198</f>
        <v>0</v>
      </c>
      <c r="AF198" s="181">
        <f>운전실적_원본!U198</f>
        <v>0</v>
      </c>
      <c r="AG198" s="181">
        <f>운전실적_원본!V198</f>
        <v>0</v>
      </c>
      <c r="AH198" s="106">
        <f t="shared" ref="AH198:AH261" si="1128">((AM198-AL198)+(AO198-AN198)+(AQ198-AP198))*24</f>
        <v>0</v>
      </c>
      <c r="AI198" s="107">
        <f t="shared" si="803"/>
        <v>0</v>
      </c>
      <c r="AJ198" s="107">
        <f t="shared" si="804"/>
        <v>0</v>
      </c>
      <c r="AK198" s="204">
        <f t="shared" si="805"/>
        <v>0</v>
      </c>
      <c r="AL198" s="103"/>
      <c r="AM198" s="103"/>
      <c r="AN198" s="103"/>
      <c r="AO198" s="103"/>
      <c r="AP198" s="103"/>
      <c r="AQ198" s="105"/>
      <c r="AR198" s="103"/>
      <c r="AS198" s="103"/>
      <c r="AT198" s="101"/>
      <c r="AU198" s="101"/>
      <c r="AV198" s="101"/>
      <c r="AW198" s="101"/>
      <c r="AX198" s="32">
        <f>운전실적_원본!W198</f>
        <v>0</v>
      </c>
      <c r="AY198" s="198">
        <f>운전실적_원본!X198</f>
        <v>0</v>
      </c>
      <c r="AZ198" s="198">
        <f>운전실적_원본!Y198</f>
        <v>0</v>
      </c>
      <c r="BA198" s="198">
        <f>운전실적_원본!Z198</f>
        <v>0</v>
      </c>
      <c r="BB198" s="198">
        <f>운전실적_원본!AA198</f>
        <v>0</v>
      </c>
      <c r="BC198" s="198">
        <f>운전실적_원본!AB198</f>
        <v>0</v>
      </c>
      <c r="BD198" s="32" t="str">
        <f t="shared" si="1121"/>
        <v>-</v>
      </c>
      <c r="BE198" s="11" t="str">
        <f t="shared" ref="BE198:BE261" si="1129">IFERROR(BD198/$BE$4,"-")</f>
        <v>-</v>
      </c>
      <c r="BF198" s="11">
        <f>운전실적_원본!AE198</f>
        <v>0</v>
      </c>
      <c r="BG198" s="31">
        <f t="shared" si="1122"/>
        <v>0</v>
      </c>
    </row>
    <row r="199" spans="1:59">
      <c r="A199" s="6">
        <f t="shared" ref="A199:A262" si="1130">A198+1</f>
        <v>45851</v>
      </c>
      <c r="B199" s="15">
        <f>운전실적_원본!B199</f>
        <v>7166</v>
      </c>
      <c r="C199" s="16">
        <f t="shared" si="966"/>
        <v>36</v>
      </c>
      <c r="D199" s="9">
        <f>운전실적_원본!C199</f>
        <v>238422</v>
      </c>
      <c r="E199" s="199">
        <f t="shared" si="967"/>
        <v>0</v>
      </c>
      <c r="F199" s="9">
        <f>운전실적_원본!D199</f>
        <v>232388</v>
      </c>
      <c r="G199" s="16">
        <f t="shared" si="968"/>
        <v>91</v>
      </c>
      <c r="H199" s="15">
        <f>운전실적_원본!E199</f>
        <v>15037</v>
      </c>
      <c r="I199" s="16">
        <f t="shared" si="969"/>
        <v>15</v>
      </c>
      <c r="J199" s="15">
        <f>운전실적_원본!E199</f>
        <v>15037</v>
      </c>
      <c r="K199" s="16">
        <f t="shared" si="969"/>
        <v>15</v>
      </c>
      <c r="L199" s="15">
        <f>운전실적_원본!G199</f>
        <v>3886.7</v>
      </c>
      <c r="M199" s="31">
        <f t="shared" ref="M199" si="1131">IF(OR(LEN(L199)=0,L199=0),"",L199-L198)</f>
        <v>0.3999999999996362</v>
      </c>
      <c r="N199" s="15">
        <f>운전실적_원본!H199</f>
        <v>17631</v>
      </c>
      <c r="O199" s="16">
        <f t="shared" ref="O199" si="1132">IF(OR(LEN(N199)=0,N199=0),"",N199-N198)</f>
        <v>0</v>
      </c>
      <c r="P199" s="15">
        <f>운전실적_원본!I199</f>
        <v>278905</v>
      </c>
      <c r="Q199" s="16">
        <f t="shared" ref="Q199" si="1133">IF(OR(LEN(P199)=0,P199=0),"",P199-P198)</f>
        <v>140</v>
      </c>
      <c r="R199" s="18">
        <f>운전실적_원본!J199</f>
        <v>33.78</v>
      </c>
      <c r="S199" s="19">
        <f t="shared" ref="S199" si="1134">IF(OR(LEN(R199)=0,R199=0),"",R199-R198)</f>
        <v>9.0000000000003411E-2</v>
      </c>
      <c r="T199" s="18">
        <f>운전실적_원본!K199</f>
        <v>33.4</v>
      </c>
      <c r="U199" s="19">
        <f t="shared" si="974"/>
        <v>0.17000000000000171</v>
      </c>
      <c r="V199" s="12">
        <f>운전실적_원본!L199</f>
        <v>8652</v>
      </c>
      <c r="W199" s="16">
        <f t="shared" ref="W199" si="1135">IF(OR(LEN(V199)=0,V199=0),"",V199-V198)</f>
        <v>422</v>
      </c>
      <c r="X199" s="10">
        <f>운전실적_원본!M199</f>
        <v>0</v>
      </c>
      <c r="Y199" s="10">
        <f>운전실적_원본!N199</f>
        <v>0</v>
      </c>
      <c r="Z199" s="10">
        <f>운전실적_원본!O199</f>
        <v>0</v>
      </c>
      <c r="AA199" s="10">
        <f>운전실적_원본!P199</f>
        <v>0</v>
      </c>
      <c r="AB199" s="10">
        <f>운전실적_원본!Q199</f>
        <v>0</v>
      </c>
      <c r="AC199" s="10">
        <f>운전실적_원본!R199</f>
        <v>0</v>
      </c>
      <c r="AD199" s="181">
        <f>운전실적_원본!S199</f>
        <v>0</v>
      </c>
      <c r="AE199" s="181">
        <f>운전실적_원본!T199</f>
        <v>0</v>
      </c>
      <c r="AF199" s="181">
        <f>운전실적_원본!U199</f>
        <v>0</v>
      </c>
      <c r="AG199" s="181">
        <f>운전실적_원본!V199</f>
        <v>0</v>
      </c>
      <c r="AH199" s="106">
        <f t="shared" si="1128"/>
        <v>0</v>
      </c>
      <c r="AI199" s="107">
        <f t="shared" ref="AI199:AI262" si="1136">(AS199-AR199)*24</f>
        <v>0</v>
      </c>
      <c r="AJ199" s="107">
        <f t="shared" ref="AJ199:AJ262" si="1137">(AU199-AT199)*24</f>
        <v>0</v>
      </c>
      <c r="AK199" s="204">
        <f t="shared" ref="AK199:AK262" si="1138">(AW199-AV199)*24</f>
        <v>0</v>
      </c>
      <c r="AL199" s="103"/>
      <c r="AM199" s="103"/>
      <c r="AN199" s="103"/>
      <c r="AO199" s="103"/>
      <c r="AP199" s="103"/>
      <c r="AQ199" s="105"/>
      <c r="AR199" s="103"/>
      <c r="AS199" s="103"/>
      <c r="AT199" s="101"/>
      <c r="AU199" s="101"/>
      <c r="AV199" s="101"/>
      <c r="AW199" s="101"/>
      <c r="AX199" s="32">
        <f>운전실적_원본!W199</f>
        <v>0</v>
      </c>
      <c r="AY199" s="198">
        <f>운전실적_원본!X199</f>
        <v>0</v>
      </c>
      <c r="AZ199" s="198">
        <f>운전실적_원본!Y199</f>
        <v>0</v>
      </c>
      <c r="BA199" s="198">
        <f>운전실적_원본!Z199</f>
        <v>0</v>
      </c>
      <c r="BB199" s="198">
        <f>운전실적_원본!AA199</f>
        <v>0</v>
      </c>
      <c r="BC199" s="198">
        <f>운전실적_원본!AB199</f>
        <v>0</v>
      </c>
      <c r="BD199" s="32" t="str">
        <f t="shared" si="1121"/>
        <v>-</v>
      </c>
      <c r="BE199" s="11" t="str">
        <f t="shared" si="1129"/>
        <v>-</v>
      </c>
      <c r="BF199" s="11">
        <f>운전실적_원본!AE199</f>
        <v>0</v>
      </c>
      <c r="BG199" s="31">
        <f t="shared" si="1122"/>
        <v>0</v>
      </c>
    </row>
    <row r="200" spans="1:59">
      <c r="A200" s="6">
        <f t="shared" si="1130"/>
        <v>45852</v>
      </c>
      <c r="B200" s="15">
        <f>운전실적_원본!B200</f>
        <v>7169</v>
      </c>
      <c r="C200" s="16">
        <f t="shared" si="966"/>
        <v>3</v>
      </c>
      <c r="D200" s="9">
        <f>운전실적_원본!C200</f>
        <v>238422</v>
      </c>
      <c r="E200" s="199">
        <f t="shared" si="967"/>
        <v>0</v>
      </c>
      <c r="F200" s="9">
        <f>운전실적_원본!D200</f>
        <v>232441</v>
      </c>
      <c r="G200" s="16">
        <f t="shared" si="968"/>
        <v>53</v>
      </c>
      <c r="H200" s="15">
        <f>운전실적_원본!E200</f>
        <v>15055.73</v>
      </c>
      <c r="I200" s="16">
        <f t="shared" si="969"/>
        <v>18.729999999999563</v>
      </c>
      <c r="J200" s="15">
        <f>운전실적_원본!E200</f>
        <v>15055.73</v>
      </c>
      <c r="K200" s="16">
        <f t="shared" si="969"/>
        <v>18.729999999999563</v>
      </c>
      <c r="L200" s="15">
        <f>운전실적_원본!G200</f>
        <v>3887.1</v>
      </c>
      <c r="M200" s="31">
        <f t="shared" ref="M200" si="1139">IF(OR(LEN(L200)=0,L200=0),"",L200-L199)</f>
        <v>0.40000000000009095</v>
      </c>
      <c r="N200" s="15">
        <f>운전실적_원본!H200</f>
        <v>17648</v>
      </c>
      <c r="O200" s="16">
        <f t="shared" ref="O200" si="1140">IF(OR(LEN(N200)=0,N200=0),"",N200-N199)</f>
        <v>17</v>
      </c>
      <c r="P200" s="15">
        <f>운전실적_원본!I200</f>
        <v>279031</v>
      </c>
      <c r="Q200" s="16">
        <f t="shared" ref="Q200" si="1141">IF(OR(LEN(P200)=0,P200=0),"",P200-P199)</f>
        <v>126</v>
      </c>
      <c r="R200" s="18">
        <f>운전실적_원본!J200</f>
        <v>33.71</v>
      </c>
      <c r="S200" s="19">
        <f t="shared" ref="S200" si="1142">IF(OR(LEN(R200)=0,R200=0),"",R200-R199)</f>
        <v>-7.0000000000000284E-2</v>
      </c>
      <c r="T200" s="18">
        <f>운전실적_원본!K200</f>
        <v>33.33</v>
      </c>
      <c r="U200" s="19">
        <f t="shared" si="974"/>
        <v>-7.0000000000000284E-2</v>
      </c>
      <c r="V200" s="12">
        <f>운전실적_원본!L200</f>
        <v>8677</v>
      </c>
      <c r="W200" s="16">
        <f t="shared" ref="W200" si="1143">IF(OR(LEN(V200)=0,V200=0),"",V200-V199)</f>
        <v>25</v>
      </c>
      <c r="X200" s="10">
        <f>운전실적_원본!M200</f>
        <v>0</v>
      </c>
      <c r="Y200" s="10">
        <f>운전실적_원본!N200</f>
        <v>0</v>
      </c>
      <c r="Z200" s="10">
        <f>운전실적_원본!O200</f>
        <v>0</v>
      </c>
      <c r="AA200" s="10">
        <f>운전실적_원본!P200</f>
        <v>0</v>
      </c>
      <c r="AB200" s="10">
        <f>운전실적_원본!Q200</f>
        <v>0</v>
      </c>
      <c r="AC200" s="10">
        <f>운전실적_원본!R200</f>
        <v>0</v>
      </c>
      <c r="AD200" s="181">
        <f>운전실적_원본!S200</f>
        <v>0</v>
      </c>
      <c r="AE200" s="181">
        <f>운전실적_원본!T200</f>
        <v>0</v>
      </c>
      <c r="AF200" s="181">
        <f>운전실적_원본!U200</f>
        <v>0</v>
      </c>
      <c r="AG200" s="181">
        <f>운전실적_원본!V200</f>
        <v>0</v>
      </c>
      <c r="AH200" s="106">
        <f t="shared" si="1128"/>
        <v>0</v>
      </c>
      <c r="AI200" s="107">
        <f t="shared" si="1136"/>
        <v>0</v>
      </c>
      <c r="AJ200" s="107">
        <f t="shared" si="1137"/>
        <v>0</v>
      </c>
      <c r="AK200" s="204">
        <f t="shared" si="1138"/>
        <v>0</v>
      </c>
      <c r="AL200" s="103"/>
      <c r="AM200" s="103"/>
      <c r="AN200" s="103"/>
      <c r="AO200" s="103"/>
      <c r="AP200" s="103"/>
      <c r="AQ200" s="105"/>
      <c r="AR200" s="103"/>
      <c r="AS200" s="103"/>
      <c r="AT200" s="101"/>
      <c r="AU200" s="101"/>
      <c r="AV200" s="101"/>
      <c r="AW200" s="101"/>
      <c r="AX200" s="32">
        <f>운전실적_원본!W200</f>
        <v>0</v>
      </c>
      <c r="AY200" s="198">
        <f>운전실적_원본!X200</f>
        <v>0</v>
      </c>
      <c r="AZ200" s="198">
        <f>운전실적_원본!Y200</f>
        <v>0</v>
      </c>
      <c r="BA200" s="198">
        <f>운전실적_원본!Z200</f>
        <v>0</v>
      </c>
      <c r="BB200" s="198">
        <f>운전실적_원본!AA200</f>
        <v>0</v>
      </c>
      <c r="BC200" s="198">
        <f>운전실적_원본!AB200</f>
        <v>0</v>
      </c>
      <c r="BD200" s="32" t="str">
        <f t="shared" si="1121"/>
        <v>-</v>
      </c>
      <c r="BE200" s="11" t="str">
        <f t="shared" si="1129"/>
        <v>-</v>
      </c>
      <c r="BF200" s="11">
        <f>운전실적_원본!AE200</f>
        <v>0</v>
      </c>
      <c r="BG200" s="31">
        <f t="shared" si="1122"/>
        <v>0</v>
      </c>
    </row>
    <row r="201" spans="1:59">
      <c r="A201" s="6">
        <f t="shared" si="1130"/>
        <v>45853</v>
      </c>
      <c r="B201" s="15">
        <f>운전실적_원본!B201</f>
        <v>7169</v>
      </c>
      <c r="C201" s="16">
        <f t="shared" si="966"/>
        <v>0</v>
      </c>
      <c r="D201" s="9">
        <f>운전실적_원본!C201</f>
        <v>238422</v>
      </c>
      <c r="E201" s="199">
        <f t="shared" si="967"/>
        <v>0</v>
      </c>
      <c r="F201" s="9">
        <f>운전실적_원본!D201</f>
        <v>232470</v>
      </c>
      <c r="G201" s="16">
        <f t="shared" si="968"/>
        <v>29</v>
      </c>
      <c r="H201" s="15">
        <f>운전실적_원본!E201</f>
        <v>15071</v>
      </c>
      <c r="I201" s="16">
        <f t="shared" si="969"/>
        <v>15.270000000000437</v>
      </c>
      <c r="J201" s="15">
        <f>운전실적_원본!E201</f>
        <v>15071</v>
      </c>
      <c r="K201" s="16">
        <f t="shared" si="969"/>
        <v>15.270000000000437</v>
      </c>
      <c r="L201" s="15">
        <f>운전실적_원본!G201</f>
        <v>3887.4</v>
      </c>
      <c r="M201" s="31">
        <f t="shared" ref="M201" si="1144">IF(OR(LEN(L201)=0,L201=0),"",L201-L200)</f>
        <v>0.3000000000001819</v>
      </c>
      <c r="N201" s="15">
        <f>운전실적_원본!H201</f>
        <v>17648</v>
      </c>
      <c r="O201" s="16">
        <f t="shared" ref="O201" si="1145">IF(OR(LEN(N201)=0,N201=0),"",N201-N200)</f>
        <v>0</v>
      </c>
      <c r="P201" s="15">
        <f>운전실적_원본!I201</f>
        <v>279098</v>
      </c>
      <c r="Q201" s="16">
        <f t="shared" ref="Q201" si="1146">IF(OR(LEN(P201)=0,P201=0),"",P201-P200)</f>
        <v>67</v>
      </c>
      <c r="R201" s="18">
        <f>운전실적_원본!J201</f>
        <v>33.700000000000003</v>
      </c>
      <c r="S201" s="19">
        <f t="shared" ref="S201" si="1147">IF(OR(LEN(R201)=0,R201=0),"",R201-R200)</f>
        <v>-9.9999999999980105E-3</v>
      </c>
      <c r="T201" s="18">
        <f>운전실적_원본!K201</f>
        <v>33.28</v>
      </c>
      <c r="U201" s="19">
        <f t="shared" si="974"/>
        <v>-4.9999999999997158E-2</v>
      </c>
      <c r="V201" s="12">
        <f>운전실적_원본!L201</f>
        <v>7928</v>
      </c>
      <c r="W201" s="16">
        <f t="shared" ref="W201" si="1148">IF(OR(LEN(V201)=0,V201=0),"",V201-V200)</f>
        <v>-749</v>
      </c>
      <c r="X201" s="10">
        <f>운전실적_원본!M201</f>
        <v>0</v>
      </c>
      <c r="Y201" s="10">
        <f>운전실적_원본!N201</f>
        <v>0</v>
      </c>
      <c r="Z201" s="10">
        <f>운전실적_원본!O201</f>
        <v>0</v>
      </c>
      <c r="AA201" s="10">
        <f>운전실적_원본!P201</f>
        <v>0</v>
      </c>
      <c r="AB201" s="10">
        <f>운전실적_원본!Q201</f>
        <v>0</v>
      </c>
      <c r="AC201" s="10">
        <f>운전실적_원본!R201</f>
        <v>0</v>
      </c>
      <c r="AD201" s="181">
        <f>운전실적_원본!S201</f>
        <v>0</v>
      </c>
      <c r="AE201" s="181">
        <f>운전실적_원본!T201</f>
        <v>0</v>
      </c>
      <c r="AF201" s="181">
        <f>운전실적_원본!U201</f>
        <v>0</v>
      </c>
      <c r="AG201" s="181">
        <f>운전실적_원본!V201</f>
        <v>0</v>
      </c>
      <c r="AH201" s="106">
        <f t="shared" si="1128"/>
        <v>0</v>
      </c>
      <c r="AI201" s="107">
        <f t="shared" si="1136"/>
        <v>0</v>
      </c>
      <c r="AJ201" s="107">
        <f t="shared" si="1137"/>
        <v>0</v>
      </c>
      <c r="AK201" s="204">
        <f t="shared" si="1138"/>
        <v>0</v>
      </c>
      <c r="AL201" s="103"/>
      <c r="AM201" s="103"/>
      <c r="AN201" s="103"/>
      <c r="AO201" s="103"/>
      <c r="AP201" s="103"/>
      <c r="AQ201" s="105"/>
      <c r="AR201" s="103"/>
      <c r="AS201" s="103"/>
      <c r="AT201" s="101"/>
      <c r="AU201" s="101"/>
      <c r="AV201" s="101"/>
      <c r="AW201" s="101"/>
      <c r="AX201" s="32">
        <f>운전실적_원본!W201</f>
        <v>0</v>
      </c>
      <c r="AY201" s="198">
        <f>운전실적_원본!X201</f>
        <v>0</v>
      </c>
      <c r="AZ201" s="198">
        <f>운전실적_원본!Y201</f>
        <v>0</v>
      </c>
      <c r="BA201" s="198">
        <f>운전실적_원본!Z201</f>
        <v>0</v>
      </c>
      <c r="BB201" s="198">
        <f>운전실적_원본!AA201</f>
        <v>0</v>
      </c>
      <c r="BC201" s="198">
        <f>운전실적_원본!AB201</f>
        <v>0</v>
      </c>
      <c r="BD201" s="32" t="str">
        <f t="shared" si="1121"/>
        <v>-</v>
      </c>
      <c r="BE201" s="11" t="str">
        <f t="shared" si="1129"/>
        <v>-</v>
      </c>
      <c r="BF201" s="11">
        <f>운전실적_원본!AE201</f>
        <v>0</v>
      </c>
      <c r="BG201" s="31">
        <f t="shared" si="1122"/>
        <v>0</v>
      </c>
    </row>
    <row r="202" spans="1:59">
      <c r="A202" s="6">
        <f t="shared" si="1130"/>
        <v>45854</v>
      </c>
      <c r="B202" s="15">
        <f>운전실적_원본!B202</f>
        <v>7169</v>
      </c>
      <c r="C202" s="16">
        <f t="shared" si="966"/>
        <v>0</v>
      </c>
      <c r="D202" s="9">
        <f>운전실적_원본!C202</f>
        <v>238515</v>
      </c>
      <c r="E202" s="199">
        <f t="shared" si="967"/>
        <v>93</v>
      </c>
      <c r="F202" s="9">
        <f>운전실적_원본!D202</f>
        <v>232470</v>
      </c>
      <c r="G202" s="16">
        <f t="shared" si="968"/>
        <v>0</v>
      </c>
      <c r="H202" s="15">
        <f>운전실적_원본!E202</f>
        <v>15085.21</v>
      </c>
      <c r="I202" s="16">
        <f t="shared" si="969"/>
        <v>14.209999999999127</v>
      </c>
      <c r="J202" s="15">
        <f>운전실적_원본!E202</f>
        <v>15085.21</v>
      </c>
      <c r="K202" s="16">
        <f t="shared" si="969"/>
        <v>14.209999999999127</v>
      </c>
      <c r="L202" s="15">
        <f>운전실적_원본!G202</f>
        <v>3888.1</v>
      </c>
      <c r="M202" s="31">
        <f t="shared" ref="M202" si="1149">IF(OR(LEN(L202)=0,L202=0),"",L202-L201)</f>
        <v>0.6999999999998181</v>
      </c>
      <c r="N202" s="15">
        <f>운전실적_원본!H202</f>
        <v>17660</v>
      </c>
      <c r="O202" s="16">
        <f t="shared" ref="O202" si="1150">IF(OR(LEN(N202)=0,N202=0),"",N202-N201)</f>
        <v>12</v>
      </c>
      <c r="P202" s="15">
        <f>운전실적_원본!I202</f>
        <v>279215</v>
      </c>
      <c r="Q202" s="16">
        <f t="shared" ref="Q202" si="1151">IF(OR(LEN(P202)=0,P202=0),"",P202-P201)</f>
        <v>117</v>
      </c>
      <c r="R202" s="18">
        <f>운전실적_원본!J202</f>
        <v>33.76</v>
      </c>
      <c r="S202" s="19">
        <f t="shared" ref="S202" si="1152">IF(OR(LEN(R202)=0,R202=0),"",R202-R201)</f>
        <v>5.9999999999995168E-2</v>
      </c>
      <c r="T202" s="18">
        <f>운전실적_원본!K202</f>
        <v>33.19</v>
      </c>
      <c r="U202" s="19">
        <f t="shared" si="974"/>
        <v>-9.0000000000003411E-2</v>
      </c>
      <c r="V202" s="12">
        <f>운전실적_원본!L202</f>
        <v>8681</v>
      </c>
      <c r="W202" s="16">
        <f t="shared" ref="W202" si="1153">IF(OR(LEN(V202)=0,V202=0),"",V202-V201)</f>
        <v>753</v>
      </c>
      <c r="X202" s="10">
        <f>운전실적_원본!M202</f>
        <v>0</v>
      </c>
      <c r="Y202" s="10">
        <f>운전실적_원본!N202</f>
        <v>0</v>
      </c>
      <c r="Z202" s="10">
        <f>운전실적_원본!O202</f>
        <v>0</v>
      </c>
      <c r="AA202" s="10">
        <f>운전실적_원본!P202</f>
        <v>0</v>
      </c>
      <c r="AB202" s="10">
        <f>운전실적_원본!Q202</f>
        <v>0</v>
      </c>
      <c r="AC202" s="10">
        <f>운전실적_원본!R202</f>
        <v>0</v>
      </c>
      <c r="AD202" s="181">
        <f>운전실적_원본!S202</f>
        <v>0</v>
      </c>
      <c r="AE202" s="181">
        <f>운전실적_원본!T202</f>
        <v>0</v>
      </c>
      <c r="AF202" s="181">
        <f>운전실적_원본!U202</f>
        <v>0</v>
      </c>
      <c r="AG202" s="181">
        <f>운전실적_원본!V202</f>
        <v>0</v>
      </c>
      <c r="AH202" s="106">
        <f t="shared" si="1128"/>
        <v>0</v>
      </c>
      <c r="AI202" s="107">
        <f t="shared" si="1136"/>
        <v>0</v>
      </c>
      <c r="AJ202" s="107">
        <f t="shared" si="1137"/>
        <v>0</v>
      </c>
      <c r="AK202" s="204">
        <f t="shared" si="1138"/>
        <v>0</v>
      </c>
      <c r="AL202" s="103"/>
      <c r="AM202" s="103"/>
      <c r="AN202" s="103"/>
      <c r="AO202" s="103"/>
      <c r="AP202" s="103"/>
      <c r="AQ202" s="105"/>
      <c r="AR202" s="103"/>
      <c r="AS202" s="103"/>
      <c r="AT202" s="101"/>
      <c r="AU202" s="101"/>
      <c r="AV202" s="101"/>
      <c r="AW202" s="101"/>
      <c r="AX202" s="32">
        <f>운전실적_원본!W202</f>
        <v>0</v>
      </c>
      <c r="AY202" s="198">
        <f>운전실적_원본!X202</f>
        <v>0</v>
      </c>
      <c r="AZ202" s="198">
        <f>운전실적_원본!Y202</f>
        <v>0</v>
      </c>
      <c r="BA202" s="198">
        <f>운전실적_원본!Z202</f>
        <v>0</v>
      </c>
      <c r="BB202" s="198">
        <f>운전실적_원본!AA202</f>
        <v>0</v>
      </c>
      <c r="BC202" s="198">
        <f>운전실적_원본!AB202</f>
        <v>0</v>
      </c>
      <c r="BD202" s="32" t="str">
        <f t="shared" si="1121"/>
        <v>-</v>
      </c>
      <c r="BE202" s="11" t="str">
        <f t="shared" si="1129"/>
        <v>-</v>
      </c>
      <c r="BF202" s="11">
        <f>운전실적_원본!AE202</f>
        <v>0</v>
      </c>
      <c r="BG202" s="31">
        <f t="shared" si="1122"/>
        <v>0</v>
      </c>
    </row>
    <row r="203" spans="1:59">
      <c r="A203" s="6">
        <f t="shared" si="1130"/>
        <v>45855</v>
      </c>
      <c r="B203" s="15">
        <f>운전실적_원본!B203</f>
        <v>7169</v>
      </c>
      <c r="C203" s="16">
        <f t="shared" si="966"/>
        <v>0</v>
      </c>
      <c r="D203" s="9">
        <f>운전실적_원본!C203</f>
        <v>238522</v>
      </c>
      <c r="E203" s="199">
        <f t="shared" si="967"/>
        <v>7</v>
      </c>
      <c r="F203" s="9">
        <f>운전실적_원본!D203</f>
        <v>232470</v>
      </c>
      <c r="G203" s="16">
        <f t="shared" si="968"/>
        <v>0</v>
      </c>
      <c r="H203" s="15">
        <f>운전실적_원본!E203</f>
        <v>15102.53</v>
      </c>
      <c r="I203" s="16">
        <f t="shared" si="969"/>
        <v>17.320000000001528</v>
      </c>
      <c r="J203" s="15">
        <f>운전실적_원본!E203</f>
        <v>15102.53</v>
      </c>
      <c r="K203" s="16">
        <f t="shared" si="969"/>
        <v>17.320000000001528</v>
      </c>
      <c r="L203" s="15">
        <f>운전실적_원본!G203</f>
        <v>3888.7</v>
      </c>
      <c r="M203" s="31">
        <f t="shared" ref="M203" si="1154">IF(OR(LEN(L203)=0,L203=0),"",L203-L202)</f>
        <v>0.59999999999990905</v>
      </c>
      <c r="N203" s="15">
        <f>운전실적_원본!H203</f>
        <v>17749</v>
      </c>
      <c r="O203" s="16">
        <f t="shared" ref="O203" si="1155">IF(OR(LEN(N203)=0,N203=0),"",N203-N202)</f>
        <v>89</v>
      </c>
      <c r="P203" s="15">
        <f>운전실적_원본!I203</f>
        <v>279284</v>
      </c>
      <c r="Q203" s="16">
        <f t="shared" ref="Q203" si="1156">IF(OR(LEN(P203)=0,P203=0),"",P203-P202)</f>
        <v>69</v>
      </c>
      <c r="R203" s="18">
        <f>운전실적_원본!J203</f>
        <v>33.659999999999997</v>
      </c>
      <c r="S203" s="19">
        <f t="shared" ref="S203" si="1157">IF(OR(LEN(R203)=0,R203=0),"",R203-R202)</f>
        <v>-0.10000000000000142</v>
      </c>
      <c r="T203" s="18">
        <f>운전실적_원본!K203</f>
        <v>33.14</v>
      </c>
      <c r="U203" s="19">
        <f t="shared" si="974"/>
        <v>-4.9999999999997158E-2</v>
      </c>
      <c r="V203" s="12">
        <f>운전실적_원본!L203</f>
        <v>8628</v>
      </c>
      <c r="W203" s="16">
        <f t="shared" ref="W203" si="1158">IF(OR(LEN(V203)=0,V203=0),"",V203-V202)</f>
        <v>-53</v>
      </c>
      <c r="X203" s="10">
        <f>운전실적_원본!M203</f>
        <v>0</v>
      </c>
      <c r="Y203" s="10">
        <f>운전실적_원본!N203</f>
        <v>0</v>
      </c>
      <c r="Z203" s="10">
        <f>운전실적_원본!O203</f>
        <v>0</v>
      </c>
      <c r="AA203" s="10">
        <f>운전실적_원본!P203</f>
        <v>0</v>
      </c>
      <c r="AB203" s="10">
        <f>운전실적_원본!Q203</f>
        <v>0</v>
      </c>
      <c r="AC203" s="10">
        <f>운전실적_원본!R203</f>
        <v>0</v>
      </c>
      <c r="AD203" s="181">
        <f>운전실적_원본!S203</f>
        <v>0</v>
      </c>
      <c r="AE203" s="181">
        <f>운전실적_원본!T203</f>
        <v>0</v>
      </c>
      <c r="AF203" s="181">
        <f>운전실적_원본!U203</f>
        <v>0</v>
      </c>
      <c r="AG203" s="181">
        <f>운전실적_원본!V203</f>
        <v>0</v>
      </c>
      <c r="AH203" s="106">
        <f t="shared" si="1128"/>
        <v>0</v>
      </c>
      <c r="AI203" s="107">
        <f t="shared" si="1136"/>
        <v>0</v>
      </c>
      <c r="AJ203" s="107">
        <f t="shared" si="1137"/>
        <v>0</v>
      </c>
      <c r="AK203" s="204">
        <f t="shared" si="1138"/>
        <v>0</v>
      </c>
      <c r="AL203" s="103"/>
      <c r="AM203" s="103"/>
      <c r="AN203" s="103"/>
      <c r="AO203" s="103"/>
      <c r="AP203" s="103"/>
      <c r="AQ203" s="105"/>
      <c r="AR203" s="103"/>
      <c r="AS203" s="103"/>
      <c r="AT203" s="101"/>
      <c r="AU203" s="101"/>
      <c r="AV203" s="101"/>
      <c r="AW203" s="101"/>
      <c r="AX203" s="32">
        <f>운전실적_원본!W203</f>
        <v>0</v>
      </c>
      <c r="AY203" s="198">
        <f>운전실적_원본!X203</f>
        <v>0</v>
      </c>
      <c r="AZ203" s="198">
        <f>운전실적_원본!Y203</f>
        <v>0</v>
      </c>
      <c r="BA203" s="198">
        <f>운전실적_원본!Z203</f>
        <v>0</v>
      </c>
      <c r="BB203" s="198">
        <f>운전실적_원본!AA203</f>
        <v>0</v>
      </c>
      <c r="BC203" s="198">
        <f>운전실적_원본!AB203</f>
        <v>0</v>
      </c>
      <c r="BD203" s="32" t="str">
        <f t="shared" si="1121"/>
        <v>-</v>
      </c>
      <c r="BE203" s="11" t="str">
        <f t="shared" si="1129"/>
        <v>-</v>
      </c>
      <c r="BF203" s="11">
        <f>운전실적_원본!AE203</f>
        <v>0</v>
      </c>
      <c r="BG203" s="31">
        <f t="shared" si="1122"/>
        <v>0</v>
      </c>
    </row>
    <row r="204" spans="1:59">
      <c r="A204" s="6">
        <f t="shared" si="1130"/>
        <v>45856</v>
      </c>
      <c r="B204" s="15">
        <f>운전실적_원본!B204</f>
        <v>7169</v>
      </c>
      <c r="C204" s="16">
        <f t="shared" si="966"/>
        <v>0</v>
      </c>
      <c r="D204" s="9">
        <f>운전실적_원본!C204</f>
        <v>238522</v>
      </c>
      <c r="E204" s="199">
        <f t="shared" si="967"/>
        <v>0</v>
      </c>
      <c r="F204" s="9">
        <f>운전실적_원본!D204</f>
        <v>232470</v>
      </c>
      <c r="G204" s="16">
        <f t="shared" si="968"/>
        <v>0</v>
      </c>
      <c r="H204" s="15">
        <f>운전실적_원본!E204</f>
        <v>15121.73</v>
      </c>
      <c r="I204" s="16">
        <f t="shared" si="969"/>
        <v>19.199999999998909</v>
      </c>
      <c r="J204" s="15">
        <f>운전실적_원본!E204</f>
        <v>15121.73</v>
      </c>
      <c r="K204" s="16">
        <f t="shared" si="969"/>
        <v>19.199999999998909</v>
      </c>
      <c r="L204" s="15">
        <f>운전실적_원본!G204</f>
        <v>3889.7</v>
      </c>
      <c r="M204" s="31">
        <f t="shared" ref="M204" si="1159">IF(OR(LEN(L204)=0,L204=0),"",L204-L203)</f>
        <v>1</v>
      </c>
      <c r="N204" s="15">
        <f>운전실적_원본!H204</f>
        <v>17911</v>
      </c>
      <c r="O204" s="16">
        <f t="shared" ref="O204" si="1160">IF(OR(LEN(N204)=0,N204=0),"",N204-N203)</f>
        <v>162</v>
      </c>
      <c r="P204" s="15">
        <f>운전실적_원본!I204</f>
        <v>279315</v>
      </c>
      <c r="Q204" s="16">
        <f t="shared" ref="Q204" si="1161">IF(OR(LEN(P204)=0,P204=0),"",P204-P203)</f>
        <v>31</v>
      </c>
      <c r="R204" s="18">
        <f>운전실적_원본!J204</f>
        <v>33.69</v>
      </c>
      <c r="S204" s="19">
        <f t="shared" ref="S204" si="1162">IF(OR(LEN(R204)=0,R204=0),"",R204-R203)</f>
        <v>3.0000000000001137E-2</v>
      </c>
      <c r="T204" s="18">
        <f>운전실적_원본!K204</f>
        <v>33.15</v>
      </c>
      <c r="U204" s="19">
        <f t="shared" si="974"/>
        <v>9.9999999999980105E-3</v>
      </c>
      <c r="V204" s="12">
        <f>운전실적_원본!L204</f>
        <v>7740</v>
      </c>
      <c r="W204" s="16">
        <f t="shared" ref="W204" si="1163">IF(OR(LEN(V204)=0,V204=0),"",V204-V203)</f>
        <v>-888</v>
      </c>
      <c r="X204" s="10">
        <f>운전실적_원본!M204</f>
        <v>0</v>
      </c>
      <c r="Y204" s="10">
        <f>운전실적_원본!N204</f>
        <v>0</v>
      </c>
      <c r="Z204" s="10">
        <f>운전실적_원본!O204</f>
        <v>0</v>
      </c>
      <c r="AA204" s="10">
        <f>운전실적_원본!P204</f>
        <v>0</v>
      </c>
      <c r="AB204" s="10">
        <f>운전실적_원본!Q204</f>
        <v>0</v>
      </c>
      <c r="AC204" s="10">
        <f>운전실적_원본!R204</f>
        <v>0</v>
      </c>
      <c r="AD204" s="181">
        <f>운전실적_원본!S204</f>
        <v>0</v>
      </c>
      <c r="AE204" s="181">
        <f>운전실적_원본!T204</f>
        <v>0</v>
      </c>
      <c r="AF204" s="181">
        <f>운전실적_원본!U204</f>
        <v>0</v>
      </c>
      <c r="AG204" s="181">
        <f>운전실적_원본!V204</f>
        <v>0</v>
      </c>
      <c r="AH204" s="106">
        <f t="shared" si="1128"/>
        <v>0</v>
      </c>
      <c r="AI204" s="107">
        <f t="shared" si="1136"/>
        <v>0</v>
      </c>
      <c r="AJ204" s="107">
        <f t="shared" si="1137"/>
        <v>0</v>
      </c>
      <c r="AK204" s="204">
        <f t="shared" si="1138"/>
        <v>0</v>
      </c>
      <c r="AL204" s="103"/>
      <c r="AM204" s="103"/>
      <c r="AN204" s="103"/>
      <c r="AO204" s="103"/>
      <c r="AP204" s="103"/>
      <c r="AQ204" s="105"/>
      <c r="AR204" s="103"/>
      <c r="AS204" s="103"/>
      <c r="AT204" s="101"/>
      <c r="AU204" s="101"/>
      <c r="AV204" s="101"/>
      <c r="AW204" s="101"/>
      <c r="AX204" s="32">
        <f>운전실적_원본!W204</f>
        <v>0</v>
      </c>
      <c r="AY204" s="198">
        <f>운전실적_원본!X204</f>
        <v>0</v>
      </c>
      <c r="AZ204" s="198">
        <f>운전실적_원본!Y204</f>
        <v>0</v>
      </c>
      <c r="BA204" s="198">
        <f>운전실적_원본!Z204</f>
        <v>0</v>
      </c>
      <c r="BB204" s="198">
        <f>운전실적_원본!AA204</f>
        <v>0</v>
      </c>
      <c r="BC204" s="198">
        <f>운전실적_원본!AB204</f>
        <v>0</v>
      </c>
      <c r="BD204" s="32" t="str">
        <f t="shared" si="1121"/>
        <v>-</v>
      </c>
      <c r="BE204" s="11" t="str">
        <f t="shared" si="1129"/>
        <v>-</v>
      </c>
      <c r="BF204" s="11">
        <f>운전실적_원본!AE204</f>
        <v>0</v>
      </c>
      <c r="BG204" s="31">
        <f t="shared" si="1122"/>
        <v>0</v>
      </c>
    </row>
    <row r="205" spans="1:59">
      <c r="A205" s="6">
        <f t="shared" si="1130"/>
        <v>45857</v>
      </c>
      <c r="B205" s="15">
        <f>운전실적_원본!B205</f>
        <v>7169</v>
      </c>
      <c r="C205" s="16">
        <f t="shared" si="966"/>
        <v>0</v>
      </c>
      <c r="D205" s="9">
        <f>운전실적_원본!C205</f>
        <v>238522</v>
      </c>
      <c r="E205" s="199">
        <f t="shared" si="967"/>
        <v>0</v>
      </c>
      <c r="F205" s="9">
        <f>운전실적_원본!D205</f>
        <v>232470</v>
      </c>
      <c r="G205" s="16">
        <f t="shared" si="968"/>
        <v>0</v>
      </c>
      <c r="H205" s="15">
        <f>운전실적_원본!E205</f>
        <v>15132.28</v>
      </c>
      <c r="I205" s="16">
        <f t="shared" si="969"/>
        <v>10.550000000001091</v>
      </c>
      <c r="J205" s="15">
        <f>운전실적_원본!E205</f>
        <v>15132.28</v>
      </c>
      <c r="K205" s="16">
        <f t="shared" si="969"/>
        <v>10.550000000001091</v>
      </c>
      <c r="L205" s="15">
        <f>운전실적_원본!G205</f>
        <v>3890.3</v>
      </c>
      <c r="M205" s="31">
        <f t="shared" ref="M205" si="1164">IF(OR(LEN(L205)=0,L205=0),"",L205-L204)</f>
        <v>0.6000000000003638</v>
      </c>
      <c r="N205" s="15">
        <f>운전실적_원본!H205</f>
        <v>17976</v>
      </c>
      <c r="O205" s="16">
        <f t="shared" ref="O205" si="1165">IF(OR(LEN(N205)=0,N205=0),"",N205-N204)</f>
        <v>65</v>
      </c>
      <c r="P205" s="15">
        <f>운전실적_원본!I205</f>
        <v>279380</v>
      </c>
      <c r="Q205" s="16">
        <f t="shared" ref="Q205" si="1166">IF(OR(LEN(P205)=0,P205=0),"",P205-P204)</f>
        <v>65</v>
      </c>
      <c r="R205" s="18">
        <f>운전실적_원본!J205</f>
        <v>33.58</v>
      </c>
      <c r="S205" s="19">
        <f t="shared" ref="S205" si="1167">IF(OR(LEN(R205)=0,R205=0),"",R205-R204)</f>
        <v>-0.10999999999999943</v>
      </c>
      <c r="T205" s="18">
        <f>운전실적_원본!K205</f>
        <v>33.130000000000003</v>
      </c>
      <c r="U205" s="19">
        <f t="shared" si="974"/>
        <v>-1.9999999999996021E-2</v>
      </c>
      <c r="V205" s="12">
        <f>운전실적_원본!L205</f>
        <v>8688</v>
      </c>
      <c r="W205" s="16">
        <f t="shared" ref="W205" si="1168">IF(OR(LEN(V205)=0,V205=0),"",V205-V204)</f>
        <v>948</v>
      </c>
      <c r="X205" s="10">
        <f>운전실적_원본!M205</f>
        <v>0</v>
      </c>
      <c r="Y205" s="10">
        <f>운전실적_원본!N205</f>
        <v>0</v>
      </c>
      <c r="Z205" s="10">
        <f>운전실적_원본!O205</f>
        <v>0</v>
      </c>
      <c r="AA205" s="10">
        <f>운전실적_원본!P205</f>
        <v>0</v>
      </c>
      <c r="AB205" s="10">
        <f>운전실적_원본!Q205</f>
        <v>0</v>
      </c>
      <c r="AC205" s="10">
        <f>운전실적_원본!R205</f>
        <v>0</v>
      </c>
      <c r="AD205" s="181">
        <f>운전실적_원본!S205</f>
        <v>0</v>
      </c>
      <c r="AE205" s="181">
        <f>운전실적_원본!T205</f>
        <v>0</v>
      </c>
      <c r="AF205" s="181">
        <f>운전실적_원본!U205</f>
        <v>0</v>
      </c>
      <c r="AG205" s="181">
        <f>운전실적_원본!V205</f>
        <v>0</v>
      </c>
      <c r="AH205" s="106">
        <f t="shared" si="1128"/>
        <v>0</v>
      </c>
      <c r="AI205" s="107">
        <f t="shared" si="1136"/>
        <v>0</v>
      </c>
      <c r="AJ205" s="107">
        <f t="shared" si="1137"/>
        <v>0</v>
      </c>
      <c r="AK205" s="204">
        <f t="shared" si="1138"/>
        <v>0</v>
      </c>
      <c r="AL205" s="103"/>
      <c r="AM205" s="103"/>
      <c r="AN205" s="103"/>
      <c r="AO205" s="103"/>
      <c r="AP205" s="103"/>
      <c r="AQ205" s="105"/>
      <c r="AR205" s="103"/>
      <c r="AS205" s="103"/>
      <c r="AT205" s="101"/>
      <c r="AU205" s="101"/>
      <c r="AV205" s="101"/>
      <c r="AW205" s="101"/>
      <c r="AX205" s="32">
        <f>운전실적_원본!W205</f>
        <v>0</v>
      </c>
      <c r="AY205" s="198">
        <f>운전실적_원본!X205</f>
        <v>0</v>
      </c>
      <c r="AZ205" s="198">
        <f>운전실적_원본!Y205</f>
        <v>0</v>
      </c>
      <c r="BA205" s="198">
        <f>운전실적_원본!Z205</f>
        <v>0</v>
      </c>
      <c r="BB205" s="198">
        <f>운전실적_원본!AA205</f>
        <v>0</v>
      </c>
      <c r="BC205" s="198">
        <f>운전실적_원본!AB205</f>
        <v>0</v>
      </c>
      <c r="BD205" s="32" t="str">
        <f t="shared" si="1121"/>
        <v>-</v>
      </c>
      <c r="BE205" s="11" t="str">
        <f t="shared" si="1129"/>
        <v>-</v>
      </c>
      <c r="BF205" s="11">
        <f>운전실적_원본!AE205</f>
        <v>0</v>
      </c>
      <c r="BG205" s="31">
        <f t="shared" si="1122"/>
        <v>0</v>
      </c>
    </row>
    <row r="206" spans="1:59">
      <c r="A206" s="6">
        <f t="shared" si="1130"/>
        <v>45858</v>
      </c>
      <c r="B206" s="15">
        <f>운전실적_원본!B206</f>
        <v>7193</v>
      </c>
      <c r="C206" s="16">
        <f t="shared" si="966"/>
        <v>24</v>
      </c>
      <c r="D206" s="9">
        <f>운전실적_원본!C206</f>
        <v>238601</v>
      </c>
      <c r="E206" s="199">
        <f t="shared" si="967"/>
        <v>79</v>
      </c>
      <c r="F206" s="9">
        <f>운전실적_원본!D206</f>
        <v>232470</v>
      </c>
      <c r="G206" s="16">
        <f t="shared" si="968"/>
        <v>0</v>
      </c>
      <c r="H206" s="15">
        <f>운전실적_원본!E206</f>
        <v>15143.41</v>
      </c>
      <c r="I206" s="16">
        <f t="shared" si="969"/>
        <v>11.1299999999992</v>
      </c>
      <c r="J206" s="15">
        <f>운전실적_원본!E206</f>
        <v>15143.41</v>
      </c>
      <c r="K206" s="16">
        <f t="shared" si="969"/>
        <v>11.1299999999992</v>
      </c>
      <c r="L206" s="15">
        <f>운전실적_원본!G206</f>
        <v>3890.6</v>
      </c>
      <c r="M206" s="31">
        <f t="shared" ref="M206" si="1169">IF(OR(LEN(L206)=0,L206=0),"",L206-L205)</f>
        <v>0.29999999999972715</v>
      </c>
      <c r="N206" s="15">
        <f>운전실적_원본!H206</f>
        <v>17976</v>
      </c>
      <c r="O206" s="16">
        <f t="shared" ref="O206" si="1170">IF(OR(LEN(N206)=0,N206=0),"",N206-N205)</f>
        <v>0</v>
      </c>
      <c r="P206" s="15">
        <f>운전실적_원본!I206</f>
        <v>279479</v>
      </c>
      <c r="Q206" s="16">
        <f t="shared" ref="Q206" si="1171">IF(OR(LEN(P206)=0,P206=0),"",P206-P205)</f>
        <v>99</v>
      </c>
      <c r="R206" s="18">
        <f>운전실적_원본!J206</f>
        <v>33.46</v>
      </c>
      <c r="S206" s="19">
        <f t="shared" ref="S206" si="1172">IF(OR(LEN(R206)=0,R206=0),"",R206-R205)</f>
        <v>-0.11999999999999744</v>
      </c>
      <c r="T206" s="18">
        <f>운전실적_원본!K206</f>
        <v>33.159999999999997</v>
      </c>
      <c r="U206" s="19">
        <f t="shared" si="974"/>
        <v>2.9999999999994031E-2</v>
      </c>
      <c r="V206" s="12">
        <f>운전실적_원본!L206</f>
        <v>7981</v>
      </c>
      <c r="W206" s="16">
        <f t="shared" ref="W206" si="1173">IF(OR(LEN(V206)=0,V206=0),"",V206-V205)</f>
        <v>-707</v>
      </c>
      <c r="X206" s="10">
        <f>운전실적_원본!M206</f>
        <v>0</v>
      </c>
      <c r="Y206" s="10">
        <f>운전실적_원본!N206</f>
        <v>0</v>
      </c>
      <c r="Z206" s="10">
        <f>운전실적_원본!O206</f>
        <v>0</v>
      </c>
      <c r="AA206" s="10">
        <f>운전실적_원본!P206</f>
        <v>0</v>
      </c>
      <c r="AB206" s="10">
        <f>운전실적_원본!Q206</f>
        <v>0</v>
      </c>
      <c r="AC206" s="10">
        <f>운전실적_원본!R206</f>
        <v>0</v>
      </c>
      <c r="AD206" s="181">
        <f>운전실적_원본!S206</f>
        <v>0</v>
      </c>
      <c r="AE206" s="181">
        <f>운전실적_원본!T206</f>
        <v>0</v>
      </c>
      <c r="AF206" s="181">
        <f>운전실적_원본!U206</f>
        <v>0</v>
      </c>
      <c r="AG206" s="181">
        <f>운전실적_원본!V206</f>
        <v>0</v>
      </c>
      <c r="AH206" s="106">
        <f t="shared" si="1128"/>
        <v>0</v>
      </c>
      <c r="AI206" s="107">
        <f t="shared" si="1136"/>
        <v>0</v>
      </c>
      <c r="AJ206" s="107">
        <f t="shared" si="1137"/>
        <v>0</v>
      </c>
      <c r="AK206" s="204">
        <f t="shared" si="1138"/>
        <v>0</v>
      </c>
      <c r="AL206" s="103"/>
      <c r="AM206" s="103"/>
      <c r="AN206" s="103"/>
      <c r="AO206" s="103"/>
      <c r="AP206" s="103"/>
      <c r="AQ206" s="105"/>
      <c r="AR206" s="103"/>
      <c r="AS206" s="103"/>
      <c r="AT206" s="101"/>
      <c r="AU206" s="101"/>
      <c r="AV206" s="101"/>
      <c r="AW206" s="101"/>
      <c r="AX206" s="32">
        <f>운전실적_원본!W206</f>
        <v>0</v>
      </c>
      <c r="AY206" s="198">
        <f>운전실적_원본!X206</f>
        <v>0</v>
      </c>
      <c r="AZ206" s="198">
        <f>운전실적_원본!Y206</f>
        <v>0</v>
      </c>
      <c r="BA206" s="198">
        <f>운전실적_원본!Z206</f>
        <v>0</v>
      </c>
      <c r="BB206" s="198">
        <f>운전실적_원본!AA206</f>
        <v>0</v>
      </c>
      <c r="BC206" s="198">
        <f>운전실적_원본!AB206</f>
        <v>0</v>
      </c>
      <c r="BD206" s="32" t="str">
        <f t="shared" si="1121"/>
        <v>-</v>
      </c>
      <c r="BE206" s="11" t="str">
        <f t="shared" si="1129"/>
        <v>-</v>
      </c>
      <c r="BF206" s="11">
        <f>운전실적_원본!AE206</f>
        <v>0</v>
      </c>
      <c r="BG206" s="31">
        <f t="shared" si="1122"/>
        <v>0</v>
      </c>
    </row>
    <row r="207" spans="1:59">
      <c r="A207" s="6">
        <f t="shared" si="1130"/>
        <v>45859</v>
      </c>
      <c r="B207" s="15">
        <f>운전실적_원본!B207</f>
        <v>7220</v>
      </c>
      <c r="C207" s="16">
        <f t="shared" si="966"/>
        <v>27</v>
      </c>
      <c r="D207" s="9">
        <f>운전실적_원본!C207</f>
        <v>238601</v>
      </c>
      <c r="E207" s="199">
        <f t="shared" si="967"/>
        <v>0</v>
      </c>
      <c r="F207" s="9">
        <f>운전실적_원본!D207</f>
        <v>232577</v>
      </c>
      <c r="G207" s="16">
        <f t="shared" si="968"/>
        <v>107</v>
      </c>
      <c r="H207" s="15">
        <f>운전실적_원본!E207</f>
        <v>15165</v>
      </c>
      <c r="I207" s="16">
        <f t="shared" si="969"/>
        <v>21.590000000000146</v>
      </c>
      <c r="J207" s="15">
        <f>운전실적_원본!E207</f>
        <v>15165</v>
      </c>
      <c r="K207" s="16">
        <f t="shared" si="969"/>
        <v>21.590000000000146</v>
      </c>
      <c r="L207" s="15">
        <f>운전실적_원본!G207</f>
        <v>3891.2</v>
      </c>
      <c r="M207" s="31">
        <f t="shared" ref="M207" si="1174">IF(OR(LEN(L207)=0,L207=0),"",L207-L206)</f>
        <v>0.59999999999990905</v>
      </c>
      <c r="N207" s="15">
        <f>운전실적_원본!H207</f>
        <v>18035</v>
      </c>
      <c r="O207" s="16">
        <f t="shared" ref="O207" si="1175">IF(OR(LEN(N207)=0,N207=0),"",N207-N206)</f>
        <v>59</v>
      </c>
      <c r="P207" s="15">
        <f>운전실적_원본!I207</f>
        <v>279647</v>
      </c>
      <c r="Q207" s="16">
        <f t="shared" ref="Q207" si="1176">IF(OR(LEN(P207)=0,P207=0),"",P207-P206)</f>
        <v>168</v>
      </c>
      <c r="R207" s="18">
        <f>운전실적_원본!J207</f>
        <v>33.44</v>
      </c>
      <c r="S207" s="19">
        <f t="shared" ref="S207" si="1177">IF(OR(LEN(R207)=0,R207=0),"",R207-R206)</f>
        <v>-2.0000000000003126E-2</v>
      </c>
      <c r="T207" s="18">
        <f>운전실적_원본!K207</f>
        <v>33.24</v>
      </c>
      <c r="U207" s="19">
        <f t="shared" si="974"/>
        <v>8.00000000000054E-2</v>
      </c>
      <c r="V207" s="12">
        <f>운전실적_원본!L207</f>
        <v>7522</v>
      </c>
      <c r="W207" s="16">
        <f t="shared" ref="W207" si="1178">IF(OR(LEN(V207)=0,V207=0),"",V207-V206)</f>
        <v>-459</v>
      </c>
      <c r="X207" s="10">
        <f>운전실적_원본!M207</f>
        <v>0</v>
      </c>
      <c r="Y207" s="10">
        <f>운전실적_원본!N207</f>
        <v>0</v>
      </c>
      <c r="Z207" s="10">
        <f>운전실적_원본!O207</f>
        <v>0</v>
      </c>
      <c r="AA207" s="10">
        <f>운전실적_원본!P207</f>
        <v>0</v>
      </c>
      <c r="AB207" s="10">
        <f>운전실적_원본!Q207</f>
        <v>0</v>
      </c>
      <c r="AC207" s="10">
        <f>운전실적_원본!R207</f>
        <v>0</v>
      </c>
      <c r="AD207" s="181">
        <f>운전실적_원본!S207</f>
        <v>0</v>
      </c>
      <c r="AE207" s="181">
        <f>운전실적_원본!T207</f>
        <v>0</v>
      </c>
      <c r="AF207" s="181">
        <f>운전실적_원본!U207</f>
        <v>0</v>
      </c>
      <c r="AG207" s="181">
        <f>운전실적_원본!V207</f>
        <v>0</v>
      </c>
      <c r="AH207" s="106">
        <f t="shared" si="1128"/>
        <v>0</v>
      </c>
      <c r="AI207" s="107">
        <f t="shared" si="1136"/>
        <v>0</v>
      </c>
      <c r="AJ207" s="107">
        <f t="shared" si="1137"/>
        <v>0</v>
      </c>
      <c r="AK207" s="204">
        <f t="shared" si="1138"/>
        <v>0</v>
      </c>
      <c r="AL207" s="103"/>
      <c r="AM207" s="103"/>
      <c r="AN207" s="103"/>
      <c r="AO207" s="103"/>
      <c r="AP207" s="103"/>
      <c r="AQ207" s="105"/>
      <c r="AR207" s="103"/>
      <c r="AS207" s="103"/>
      <c r="AT207" s="101"/>
      <c r="AU207" s="101"/>
      <c r="AV207" s="101"/>
      <c r="AW207" s="101"/>
      <c r="AX207" s="32">
        <f>운전실적_원본!W207</f>
        <v>0</v>
      </c>
      <c r="AY207" s="198">
        <f>운전실적_원본!X207</f>
        <v>0</v>
      </c>
      <c r="AZ207" s="198">
        <f>운전실적_원본!Y207</f>
        <v>0</v>
      </c>
      <c r="BA207" s="198">
        <f>운전실적_원본!Z207</f>
        <v>0</v>
      </c>
      <c r="BB207" s="198">
        <f>운전실적_원본!AA207</f>
        <v>0</v>
      </c>
      <c r="BC207" s="198">
        <f>운전실적_원본!AB207</f>
        <v>0</v>
      </c>
      <c r="BD207" s="32" t="str">
        <f t="shared" si="1121"/>
        <v>-</v>
      </c>
      <c r="BE207" s="11" t="str">
        <f t="shared" si="1129"/>
        <v>-</v>
      </c>
      <c r="BF207" s="11">
        <f>운전실적_원본!AE207</f>
        <v>0</v>
      </c>
      <c r="BG207" s="31">
        <f t="shared" si="1122"/>
        <v>0</v>
      </c>
    </row>
    <row r="208" spans="1:59">
      <c r="A208" s="6">
        <f t="shared" si="1130"/>
        <v>45860</v>
      </c>
      <c r="B208" s="15">
        <f>운전실적_원본!B208</f>
        <v>7250</v>
      </c>
      <c r="C208" s="16">
        <f t="shared" si="966"/>
        <v>30</v>
      </c>
      <c r="D208" s="9">
        <f>운전실적_원본!C208</f>
        <v>238744</v>
      </c>
      <c r="E208" s="199">
        <f t="shared" si="967"/>
        <v>143</v>
      </c>
      <c r="F208" s="9">
        <f>운전실적_원본!D208</f>
        <v>232577</v>
      </c>
      <c r="G208" s="16">
        <f t="shared" si="968"/>
        <v>0</v>
      </c>
      <c r="H208" s="15">
        <f>운전실적_원본!E208</f>
        <v>15187</v>
      </c>
      <c r="I208" s="16">
        <f t="shared" si="969"/>
        <v>22</v>
      </c>
      <c r="J208" s="15">
        <f>운전실적_원본!E208</f>
        <v>15187</v>
      </c>
      <c r="K208" s="16">
        <f t="shared" si="969"/>
        <v>22</v>
      </c>
      <c r="L208" s="15">
        <f>운전실적_원본!G208</f>
        <v>3892</v>
      </c>
      <c r="M208" s="31">
        <f t="shared" ref="M208" si="1179">IF(OR(LEN(L208)=0,L208=0),"",L208-L207)</f>
        <v>0.8000000000001819</v>
      </c>
      <c r="N208" s="15">
        <f>운전실적_원본!H208</f>
        <v>18167</v>
      </c>
      <c r="O208" s="16">
        <f t="shared" ref="O208" si="1180">IF(OR(LEN(N208)=0,N208=0),"",N208-N207)</f>
        <v>132</v>
      </c>
      <c r="P208" s="15">
        <f>운전실적_원본!I208</f>
        <v>279859</v>
      </c>
      <c r="Q208" s="16">
        <f t="shared" ref="Q208" si="1181">IF(OR(LEN(P208)=0,P208=0),"",P208-P207)</f>
        <v>212</v>
      </c>
      <c r="R208" s="18">
        <f>운전실적_원본!J208</f>
        <v>33.61</v>
      </c>
      <c r="S208" s="19">
        <f t="shared" ref="S208" si="1182">IF(OR(LEN(R208)=0,R208=0),"",R208-R207)</f>
        <v>0.17000000000000171</v>
      </c>
      <c r="T208" s="18">
        <f>운전실적_원본!K208</f>
        <v>33.39</v>
      </c>
      <c r="U208" s="19">
        <f t="shared" si="974"/>
        <v>0.14999999999999858</v>
      </c>
      <c r="V208" s="12">
        <f>운전실적_원본!L208</f>
        <v>8537</v>
      </c>
      <c r="W208" s="16">
        <f t="shared" ref="W208" si="1183">IF(OR(LEN(V208)=0,V208=0),"",V208-V207)</f>
        <v>1015</v>
      </c>
      <c r="X208" s="10">
        <f>운전실적_원본!M208</f>
        <v>0</v>
      </c>
      <c r="Y208" s="10">
        <f>운전실적_원본!N208</f>
        <v>0</v>
      </c>
      <c r="Z208" s="10">
        <f>운전실적_원본!O208</f>
        <v>0</v>
      </c>
      <c r="AA208" s="10">
        <f>운전실적_원본!P208</f>
        <v>0</v>
      </c>
      <c r="AB208" s="10">
        <f>운전실적_원본!Q208</f>
        <v>0</v>
      </c>
      <c r="AC208" s="10">
        <f>운전실적_원본!R208</f>
        <v>0</v>
      </c>
      <c r="AD208" s="181">
        <f>운전실적_원본!S208</f>
        <v>0</v>
      </c>
      <c r="AE208" s="181">
        <f>운전실적_원본!T208</f>
        <v>0</v>
      </c>
      <c r="AF208" s="181">
        <f>운전실적_원본!U208</f>
        <v>0</v>
      </c>
      <c r="AG208" s="181">
        <f>운전실적_원본!V208</f>
        <v>0</v>
      </c>
      <c r="AH208" s="106">
        <f t="shared" si="1128"/>
        <v>0</v>
      </c>
      <c r="AI208" s="107">
        <f t="shared" si="1136"/>
        <v>0</v>
      </c>
      <c r="AJ208" s="107">
        <f t="shared" si="1137"/>
        <v>0</v>
      </c>
      <c r="AK208" s="204">
        <f t="shared" si="1138"/>
        <v>0</v>
      </c>
      <c r="AL208" s="103"/>
      <c r="AM208" s="103"/>
      <c r="AN208" s="103"/>
      <c r="AO208" s="103"/>
      <c r="AP208" s="103"/>
      <c r="AQ208" s="105"/>
      <c r="AR208" s="103"/>
      <c r="AS208" s="103"/>
      <c r="AT208" s="101"/>
      <c r="AU208" s="101"/>
      <c r="AV208" s="101"/>
      <c r="AW208" s="101"/>
      <c r="AX208" s="32">
        <f>운전실적_원본!W208</f>
        <v>0</v>
      </c>
      <c r="AY208" s="198">
        <f>운전실적_원본!X208</f>
        <v>0</v>
      </c>
      <c r="AZ208" s="198">
        <f>운전실적_원본!Y208</f>
        <v>0</v>
      </c>
      <c r="BA208" s="198">
        <f>운전실적_원본!Z208</f>
        <v>0</v>
      </c>
      <c r="BB208" s="198">
        <f>운전실적_원본!AA208</f>
        <v>0</v>
      </c>
      <c r="BC208" s="198">
        <f>운전실적_원본!AB208</f>
        <v>0</v>
      </c>
      <c r="BD208" s="32" t="str">
        <f t="shared" si="1121"/>
        <v>-</v>
      </c>
      <c r="BE208" s="11" t="str">
        <f t="shared" si="1129"/>
        <v>-</v>
      </c>
      <c r="BF208" s="11">
        <f>운전실적_원본!AE208</f>
        <v>0</v>
      </c>
      <c r="BG208" s="31">
        <f t="shared" si="1122"/>
        <v>0</v>
      </c>
    </row>
    <row r="209" spans="1:59">
      <c r="A209" s="6">
        <f t="shared" si="1130"/>
        <v>45861</v>
      </c>
      <c r="B209" s="15">
        <f>운전실적_원본!B209</f>
        <v>7250</v>
      </c>
      <c r="C209" s="16">
        <f t="shared" si="966"/>
        <v>0</v>
      </c>
      <c r="D209" s="9">
        <f>운전실적_원본!C209</f>
        <v>238791</v>
      </c>
      <c r="E209" s="199">
        <f t="shared" si="967"/>
        <v>47</v>
      </c>
      <c r="F209" s="9">
        <f>운전실적_원본!D209</f>
        <v>232577</v>
      </c>
      <c r="G209" s="16">
        <f t="shared" si="968"/>
        <v>0</v>
      </c>
      <c r="H209" s="15">
        <f>운전실적_원본!E209</f>
        <v>15212.34</v>
      </c>
      <c r="I209" s="16">
        <f t="shared" si="969"/>
        <v>25.340000000000146</v>
      </c>
      <c r="J209" s="15">
        <f>운전실적_원본!E209</f>
        <v>15212.34</v>
      </c>
      <c r="K209" s="16">
        <f t="shared" si="969"/>
        <v>25.340000000000146</v>
      </c>
      <c r="L209" s="15">
        <f>운전실적_원본!G209</f>
        <v>3892.6</v>
      </c>
      <c r="M209" s="31">
        <f t="shared" ref="M209" si="1184">IF(OR(LEN(L209)=0,L209=0),"",L209-L208)</f>
        <v>0.59999999999990905</v>
      </c>
      <c r="N209" s="15">
        <f>운전실적_원본!H209</f>
        <v>18235</v>
      </c>
      <c r="O209" s="16">
        <f t="shared" ref="O209" si="1185">IF(OR(LEN(N209)=0,N209=0),"",N209-N208)</f>
        <v>68</v>
      </c>
      <c r="P209" s="15">
        <f>운전실적_원본!I209</f>
        <v>279940</v>
      </c>
      <c r="Q209" s="16">
        <f t="shared" ref="Q209" si="1186">IF(OR(LEN(P209)=0,P209=0),"",P209-P208)</f>
        <v>81</v>
      </c>
      <c r="R209" s="18">
        <f>운전실적_원본!J209</f>
        <v>33.5</v>
      </c>
      <c r="S209" s="19">
        <f t="shared" ref="S209" si="1187">IF(OR(LEN(R209)=0,R209=0),"",R209-R208)</f>
        <v>-0.10999999999999943</v>
      </c>
      <c r="T209" s="18">
        <f>운전실적_원본!K209</f>
        <v>33.270000000000003</v>
      </c>
      <c r="U209" s="19">
        <f t="shared" si="974"/>
        <v>-0.11999999999999744</v>
      </c>
      <c r="V209" s="12">
        <f>운전실적_원본!L209</f>
        <v>8678</v>
      </c>
      <c r="W209" s="16">
        <f t="shared" ref="W209" si="1188">IF(OR(LEN(V209)=0,V209=0),"",V209-V208)</f>
        <v>141</v>
      </c>
      <c r="X209" s="10">
        <f>운전실적_원본!M209</f>
        <v>0</v>
      </c>
      <c r="Y209" s="10">
        <f>운전실적_원본!N209</f>
        <v>0</v>
      </c>
      <c r="Z209" s="10">
        <f>운전실적_원본!O209</f>
        <v>0</v>
      </c>
      <c r="AA209" s="10">
        <f>운전실적_원본!P209</f>
        <v>0</v>
      </c>
      <c r="AB209" s="10">
        <f>운전실적_원본!Q209</f>
        <v>0</v>
      </c>
      <c r="AC209" s="10">
        <f>운전실적_원본!R209</f>
        <v>0</v>
      </c>
      <c r="AD209" s="181">
        <f>운전실적_원본!S209</f>
        <v>0</v>
      </c>
      <c r="AE209" s="181">
        <f>운전실적_원본!T209</f>
        <v>0</v>
      </c>
      <c r="AF209" s="181">
        <f>운전실적_원본!U209</f>
        <v>0</v>
      </c>
      <c r="AG209" s="181">
        <f>운전실적_원본!V209</f>
        <v>0</v>
      </c>
      <c r="AH209" s="106">
        <f t="shared" si="1128"/>
        <v>0</v>
      </c>
      <c r="AI209" s="107">
        <f t="shared" si="1136"/>
        <v>0</v>
      </c>
      <c r="AJ209" s="107">
        <f t="shared" si="1137"/>
        <v>0</v>
      </c>
      <c r="AK209" s="204">
        <f t="shared" si="1138"/>
        <v>0</v>
      </c>
      <c r="AL209" s="103"/>
      <c r="AM209" s="103"/>
      <c r="AN209" s="103"/>
      <c r="AO209" s="103"/>
      <c r="AP209" s="103"/>
      <c r="AQ209" s="105"/>
      <c r="AR209" s="103"/>
      <c r="AS209" s="103"/>
      <c r="AT209" s="101"/>
      <c r="AU209" s="101"/>
      <c r="AV209" s="101"/>
      <c r="AW209" s="101"/>
      <c r="AX209" s="32">
        <f>운전실적_원본!W209</f>
        <v>0</v>
      </c>
      <c r="AY209" s="198">
        <f>운전실적_원본!X209</f>
        <v>0</v>
      </c>
      <c r="AZ209" s="198">
        <f>운전실적_원본!Y209</f>
        <v>0</v>
      </c>
      <c r="BA209" s="198">
        <f>운전실적_원본!Z209</f>
        <v>0</v>
      </c>
      <c r="BB209" s="198">
        <f>운전실적_원본!AA209</f>
        <v>0</v>
      </c>
      <c r="BC209" s="198">
        <f>운전실적_원본!AB209</f>
        <v>0</v>
      </c>
      <c r="BD209" s="32" t="str">
        <f t="shared" si="1121"/>
        <v>-</v>
      </c>
      <c r="BE209" s="11" t="str">
        <f t="shared" si="1129"/>
        <v>-</v>
      </c>
      <c r="BF209" s="11">
        <f>운전실적_원본!AE209</f>
        <v>0</v>
      </c>
      <c r="BG209" s="31">
        <f t="shared" si="1122"/>
        <v>0</v>
      </c>
    </row>
    <row r="210" spans="1:59">
      <c r="A210" s="6">
        <f t="shared" si="1130"/>
        <v>45862</v>
      </c>
      <c r="B210" s="15">
        <f>운전실적_원본!B210</f>
        <v>7250</v>
      </c>
      <c r="C210" s="16">
        <f t="shared" si="966"/>
        <v>0</v>
      </c>
      <c r="D210" s="9">
        <f>운전실적_원본!C210</f>
        <v>238791</v>
      </c>
      <c r="E210" s="199">
        <f t="shared" si="967"/>
        <v>0</v>
      </c>
      <c r="F210" s="9">
        <f>운전실적_원본!D210</f>
        <v>232577</v>
      </c>
      <c r="G210" s="16">
        <f t="shared" si="968"/>
        <v>0</v>
      </c>
      <c r="H210" s="15">
        <f>운전실적_원본!E210</f>
        <v>15239.1</v>
      </c>
      <c r="I210" s="16">
        <f t="shared" si="969"/>
        <v>26.760000000000218</v>
      </c>
      <c r="J210" s="15">
        <f>운전실적_원본!E210</f>
        <v>15239.1</v>
      </c>
      <c r="K210" s="16">
        <f t="shared" si="969"/>
        <v>26.760000000000218</v>
      </c>
      <c r="L210" s="15">
        <f>운전실적_원본!G210</f>
        <v>3893.1</v>
      </c>
      <c r="M210" s="31">
        <f t="shared" ref="M210" si="1189">IF(OR(LEN(L210)=0,L210=0),"",L210-L209)</f>
        <v>0.5</v>
      </c>
      <c r="N210" s="15">
        <f>운전실적_원본!H210</f>
        <v>18287</v>
      </c>
      <c r="O210" s="16">
        <f t="shared" ref="O210" si="1190">IF(OR(LEN(N210)=0,N210=0),"",N210-N209)</f>
        <v>52</v>
      </c>
      <c r="P210" s="15">
        <f>운전실적_원본!I210</f>
        <v>280019</v>
      </c>
      <c r="Q210" s="16">
        <f t="shared" ref="Q210" si="1191">IF(OR(LEN(P210)=0,P210=0),"",P210-P209)</f>
        <v>79</v>
      </c>
      <c r="R210" s="18">
        <f>운전실적_원본!J210</f>
        <v>33.65</v>
      </c>
      <c r="S210" s="19">
        <f t="shared" ref="S210" si="1192">IF(OR(LEN(R210)=0,R210=0),"",R210-R209)</f>
        <v>0.14999999999999858</v>
      </c>
      <c r="T210" s="18">
        <f>운전실적_원본!K210</f>
        <v>33.25</v>
      </c>
      <c r="U210" s="19">
        <f t="shared" si="974"/>
        <v>-2.0000000000003126E-2</v>
      </c>
      <c r="V210" s="12">
        <f>운전실적_원본!L210</f>
        <v>7704</v>
      </c>
      <c r="W210" s="16">
        <f t="shared" ref="W210" si="1193">IF(OR(LEN(V210)=0,V210=0),"",V210-V209)</f>
        <v>-974</v>
      </c>
      <c r="X210" s="10">
        <f>운전실적_원본!M210</f>
        <v>0</v>
      </c>
      <c r="Y210" s="10">
        <f>운전실적_원본!N210</f>
        <v>0</v>
      </c>
      <c r="Z210" s="10">
        <f>운전실적_원본!O210</f>
        <v>0</v>
      </c>
      <c r="AA210" s="10">
        <f>운전실적_원본!P210</f>
        <v>0</v>
      </c>
      <c r="AB210" s="10">
        <f>운전실적_원본!Q210</f>
        <v>0</v>
      </c>
      <c r="AC210" s="10">
        <f>운전실적_원본!R210</f>
        <v>0</v>
      </c>
      <c r="AD210" s="181">
        <f>운전실적_원본!S210</f>
        <v>0</v>
      </c>
      <c r="AE210" s="181">
        <f>운전실적_원본!T210</f>
        <v>0</v>
      </c>
      <c r="AF210" s="181">
        <f>운전실적_원본!U210</f>
        <v>0</v>
      </c>
      <c r="AG210" s="181">
        <f>운전실적_원본!V210</f>
        <v>0</v>
      </c>
      <c r="AH210" s="106">
        <f t="shared" si="1128"/>
        <v>0</v>
      </c>
      <c r="AI210" s="107">
        <f t="shared" si="1136"/>
        <v>0</v>
      </c>
      <c r="AJ210" s="107">
        <f t="shared" si="1137"/>
        <v>0</v>
      </c>
      <c r="AK210" s="204">
        <f t="shared" si="1138"/>
        <v>0</v>
      </c>
      <c r="AL210" s="103"/>
      <c r="AM210" s="103"/>
      <c r="AN210" s="103"/>
      <c r="AO210" s="103"/>
      <c r="AP210" s="103"/>
      <c r="AQ210" s="105"/>
      <c r="AR210" s="103"/>
      <c r="AS210" s="103"/>
      <c r="AT210" s="101"/>
      <c r="AU210" s="101"/>
      <c r="AV210" s="101"/>
      <c r="AW210" s="101"/>
      <c r="AX210" s="32">
        <f>운전실적_원본!W210</f>
        <v>0</v>
      </c>
      <c r="AY210" s="198">
        <f>운전실적_원본!X210</f>
        <v>0</v>
      </c>
      <c r="AZ210" s="198">
        <f>운전실적_원본!Y210</f>
        <v>0</v>
      </c>
      <c r="BA210" s="198">
        <f>운전실적_원본!Z210</f>
        <v>0</v>
      </c>
      <c r="BB210" s="198">
        <f>운전실적_원본!AA210</f>
        <v>0</v>
      </c>
      <c r="BC210" s="198">
        <f>운전실적_원본!AB210</f>
        <v>0</v>
      </c>
      <c r="BD210" s="32" t="str">
        <f t="shared" si="1121"/>
        <v>-</v>
      </c>
      <c r="BE210" s="11" t="str">
        <f t="shared" si="1129"/>
        <v>-</v>
      </c>
      <c r="BF210" s="11">
        <f>운전실적_원본!AE210</f>
        <v>0</v>
      </c>
      <c r="BG210" s="31">
        <f t="shared" si="1122"/>
        <v>0</v>
      </c>
    </row>
    <row r="211" spans="1:59">
      <c r="A211" s="6">
        <f t="shared" si="1130"/>
        <v>45863</v>
      </c>
      <c r="B211" s="15">
        <f>운전실적_원본!B211</f>
        <v>7250</v>
      </c>
      <c r="C211" s="16">
        <f t="shared" si="966"/>
        <v>0</v>
      </c>
      <c r="D211" s="9">
        <f>운전실적_원본!C211</f>
        <v>238791</v>
      </c>
      <c r="E211" s="199">
        <f t="shared" si="967"/>
        <v>0</v>
      </c>
      <c r="F211" s="9">
        <f>운전실적_원본!D211</f>
        <v>232642</v>
      </c>
      <c r="G211" s="16">
        <f t="shared" si="968"/>
        <v>65</v>
      </c>
      <c r="H211" s="15">
        <f>운전실적_원본!E211</f>
        <v>15261.25</v>
      </c>
      <c r="I211" s="16">
        <f t="shared" si="969"/>
        <v>22.149999999999636</v>
      </c>
      <c r="J211" s="15">
        <f>운전실적_원본!E211</f>
        <v>15261.25</v>
      </c>
      <c r="K211" s="16">
        <f t="shared" si="969"/>
        <v>22.149999999999636</v>
      </c>
      <c r="L211" s="15">
        <f>운전실적_원본!G211</f>
        <v>3893.7</v>
      </c>
      <c r="M211" s="31">
        <f t="shared" ref="M211" si="1194">IF(OR(LEN(L211)=0,L211=0),"",L211-L210)</f>
        <v>0.59999999999990905</v>
      </c>
      <c r="N211" s="15">
        <f>운전실적_원본!H211</f>
        <v>18352</v>
      </c>
      <c r="O211" s="16">
        <f t="shared" ref="O211" si="1195">IF(OR(LEN(N211)=0,N211=0),"",N211-N210)</f>
        <v>65</v>
      </c>
      <c r="P211" s="15">
        <f>운전실적_원본!I211</f>
        <v>280106</v>
      </c>
      <c r="Q211" s="16">
        <f t="shared" ref="Q211" si="1196">IF(OR(LEN(P211)=0,P211=0),"",P211-P210)</f>
        <v>87</v>
      </c>
      <c r="R211" s="18">
        <f>운전실적_원본!J211</f>
        <v>33.869999999999997</v>
      </c>
      <c r="S211" s="19">
        <f t="shared" ref="S211" si="1197">IF(OR(LEN(R211)=0,R211=0),"",R211-R210)</f>
        <v>0.21999999999999886</v>
      </c>
      <c r="T211" s="18">
        <f>운전실적_원본!K211</f>
        <v>33.200000000000003</v>
      </c>
      <c r="U211" s="19">
        <f t="shared" si="974"/>
        <v>-4.9999999999997158E-2</v>
      </c>
      <c r="V211" s="12">
        <f>운전실적_원본!L211</f>
        <v>8660</v>
      </c>
      <c r="W211" s="16">
        <f t="shared" ref="W211" si="1198">IF(OR(LEN(V211)=0,V211=0),"",V211-V210)</f>
        <v>956</v>
      </c>
      <c r="X211" s="10">
        <f>운전실적_원본!M211</f>
        <v>0</v>
      </c>
      <c r="Y211" s="10">
        <f>운전실적_원본!N211</f>
        <v>0</v>
      </c>
      <c r="Z211" s="10">
        <f>운전실적_원본!O211</f>
        <v>0</v>
      </c>
      <c r="AA211" s="10">
        <f>운전실적_원본!P211</f>
        <v>0</v>
      </c>
      <c r="AB211" s="10">
        <f>운전실적_원본!Q211</f>
        <v>0</v>
      </c>
      <c r="AC211" s="10">
        <f>운전실적_원본!R211</f>
        <v>0</v>
      </c>
      <c r="AD211" s="181">
        <f>운전실적_원본!S211</f>
        <v>0</v>
      </c>
      <c r="AE211" s="181">
        <f>운전실적_원본!T211</f>
        <v>0</v>
      </c>
      <c r="AF211" s="181">
        <f>운전실적_원본!U211</f>
        <v>0</v>
      </c>
      <c r="AG211" s="181">
        <f>운전실적_원본!V211</f>
        <v>0</v>
      </c>
      <c r="AH211" s="106">
        <f t="shared" si="1128"/>
        <v>0</v>
      </c>
      <c r="AI211" s="107">
        <f t="shared" si="1136"/>
        <v>0</v>
      </c>
      <c r="AJ211" s="107">
        <f t="shared" si="1137"/>
        <v>0</v>
      </c>
      <c r="AK211" s="204">
        <f t="shared" si="1138"/>
        <v>0</v>
      </c>
      <c r="AL211" s="103"/>
      <c r="AM211" s="103"/>
      <c r="AN211" s="103"/>
      <c r="AO211" s="103"/>
      <c r="AP211" s="103"/>
      <c r="AQ211" s="105"/>
      <c r="AR211" s="103"/>
      <c r="AS211" s="103"/>
      <c r="AT211" s="101"/>
      <c r="AU211" s="101"/>
      <c r="AV211" s="101"/>
      <c r="AW211" s="101"/>
      <c r="AX211" s="32">
        <f>운전실적_원본!W211</f>
        <v>0</v>
      </c>
      <c r="AY211" s="198">
        <f>운전실적_원본!X211</f>
        <v>0</v>
      </c>
      <c r="AZ211" s="198">
        <f>운전실적_원본!Y211</f>
        <v>0</v>
      </c>
      <c r="BA211" s="198">
        <f>운전실적_원본!Z211</f>
        <v>0</v>
      </c>
      <c r="BB211" s="198">
        <f>운전실적_원본!AA211</f>
        <v>0</v>
      </c>
      <c r="BC211" s="198">
        <f>운전실적_원본!AB211</f>
        <v>0</v>
      </c>
      <c r="BD211" s="32" t="str">
        <f t="shared" si="1121"/>
        <v>-</v>
      </c>
      <c r="BE211" s="11" t="str">
        <f t="shared" si="1129"/>
        <v>-</v>
      </c>
      <c r="BF211" s="11">
        <f>운전실적_원본!AE211</f>
        <v>0</v>
      </c>
      <c r="BG211" s="31">
        <f t="shared" si="1122"/>
        <v>0</v>
      </c>
    </row>
    <row r="212" spans="1:59">
      <c r="A212" s="6">
        <f t="shared" si="1130"/>
        <v>45864</v>
      </c>
      <c r="B212" s="15">
        <f>운전실적_원본!B212</f>
        <v>7250</v>
      </c>
      <c r="C212" s="16">
        <f t="shared" si="966"/>
        <v>0</v>
      </c>
      <c r="D212" s="9">
        <f>운전실적_원본!C212</f>
        <v>238791</v>
      </c>
      <c r="E212" s="199">
        <f t="shared" si="967"/>
        <v>0</v>
      </c>
      <c r="F212" s="9">
        <f>운전실적_원본!D212</f>
        <v>232642</v>
      </c>
      <c r="G212" s="16">
        <f t="shared" si="968"/>
        <v>0</v>
      </c>
      <c r="H212" s="15">
        <f>운전실적_원본!E212</f>
        <v>15285.8</v>
      </c>
      <c r="I212" s="16">
        <f t="shared" si="969"/>
        <v>24.549999999999272</v>
      </c>
      <c r="J212" s="15">
        <f>운전실적_원본!E212</f>
        <v>15285.8</v>
      </c>
      <c r="K212" s="16">
        <f t="shared" si="969"/>
        <v>24.549999999999272</v>
      </c>
      <c r="L212" s="15">
        <f>운전실적_원본!G212</f>
        <v>3894</v>
      </c>
      <c r="M212" s="31">
        <f t="shared" ref="M212" si="1199">IF(OR(LEN(L212)=0,L212=0),"",L212-L211)</f>
        <v>0.3000000000001819</v>
      </c>
      <c r="N212" s="15">
        <f>운전실적_원본!H212</f>
        <v>18352</v>
      </c>
      <c r="O212" s="16">
        <f t="shared" ref="O212" si="1200">IF(OR(LEN(N212)=0,N212=0),"",N212-N211)</f>
        <v>0</v>
      </c>
      <c r="P212" s="15">
        <f>운전실적_원본!I212</f>
        <v>280172</v>
      </c>
      <c r="Q212" s="16">
        <f t="shared" ref="Q212" si="1201">IF(OR(LEN(P212)=0,P212=0),"",P212-P211)</f>
        <v>66</v>
      </c>
      <c r="R212" s="18">
        <f>운전실적_원본!J212</f>
        <v>33.729999999999997</v>
      </c>
      <c r="S212" s="19">
        <f t="shared" ref="S212" si="1202">IF(OR(LEN(R212)=0,R212=0),"",R212-R211)</f>
        <v>-0.14000000000000057</v>
      </c>
      <c r="T212" s="18">
        <f>운전실적_원본!K212</f>
        <v>33.19</v>
      </c>
      <c r="U212" s="19">
        <f t="shared" si="974"/>
        <v>-1.0000000000005116E-2</v>
      </c>
      <c r="V212" s="12">
        <f>운전실적_원본!L212</f>
        <v>8535</v>
      </c>
      <c r="W212" s="16">
        <f t="shared" ref="W212" si="1203">IF(OR(LEN(V212)=0,V212=0),"",V212-V211)</f>
        <v>-125</v>
      </c>
      <c r="X212" s="10">
        <f>운전실적_원본!M212</f>
        <v>0</v>
      </c>
      <c r="Y212" s="10">
        <f>운전실적_원본!N212</f>
        <v>0</v>
      </c>
      <c r="Z212" s="10">
        <f>운전실적_원본!O212</f>
        <v>0</v>
      </c>
      <c r="AA212" s="10">
        <f>운전실적_원본!P212</f>
        <v>0</v>
      </c>
      <c r="AB212" s="10">
        <f>운전실적_원본!Q212</f>
        <v>0</v>
      </c>
      <c r="AC212" s="10">
        <f>운전실적_원본!R212</f>
        <v>0</v>
      </c>
      <c r="AD212" s="181">
        <f>운전실적_원본!S212</f>
        <v>0</v>
      </c>
      <c r="AE212" s="181">
        <f>운전실적_원본!T212</f>
        <v>0</v>
      </c>
      <c r="AF212" s="181">
        <f>운전실적_원본!U212</f>
        <v>0</v>
      </c>
      <c r="AG212" s="181">
        <f>운전실적_원본!V212</f>
        <v>0</v>
      </c>
      <c r="AH212" s="106">
        <f t="shared" si="1128"/>
        <v>0</v>
      </c>
      <c r="AI212" s="107">
        <f t="shared" si="1136"/>
        <v>0</v>
      </c>
      <c r="AJ212" s="107">
        <f t="shared" si="1137"/>
        <v>0</v>
      </c>
      <c r="AK212" s="204">
        <f t="shared" si="1138"/>
        <v>0</v>
      </c>
      <c r="AL212" s="103"/>
      <c r="AM212" s="103"/>
      <c r="AN212" s="103"/>
      <c r="AO212" s="103"/>
      <c r="AP212" s="103"/>
      <c r="AQ212" s="105"/>
      <c r="AR212" s="103"/>
      <c r="AS212" s="103"/>
      <c r="AT212" s="101"/>
      <c r="AU212" s="101"/>
      <c r="AV212" s="101"/>
      <c r="AW212" s="101"/>
      <c r="AX212" s="32">
        <f>운전실적_원본!W212</f>
        <v>0</v>
      </c>
      <c r="AY212" s="198">
        <f>운전실적_원본!X212</f>
        <v>0</v>
      </c>
      <c r="AZ212" s="198">
        <f>운전실적_원본!Y212</f>
        <v>0</v>
      </c>
      <c r="BA212" s="198">
        <f>운전실적_원본!Z212</f>
        <v>0</v>
      </c>
      <c r="BB212" s="198">
        <f>운전실적_원본!AA212</f>
        <v>0</v>
      </c>
      <c r="BC212" s="198">
        <f>운전실적_원본!AB212</f>
        <v>0</v>
      </c>
      <c r="BD212" s="32" t="str">
        <f t="shared" si="1121"/>
        <v>-</v>
      </c>
      <c r="BE212" s="11" t="str">
        <f t="shared" si="1129"/>
        <v>-</v>
      </c>
      <c r="BF212" s="11">
        <f>운전실적_원본!AE212</f>
        <v>0</v>
      </c>
      <c r="BG212" s="31">
        <f t="shared" si="1122"/>
        <v>0</v>
      </c>
    </row>
    <row r="213" spans="1:59">
      <c r="A213" s="6">
        <f t="shared" si="1130"/>
        <v>45865</v>
      </c>
      <c r="B213" s="15">
        <f>운전실적_원본!B213</f>
        <v>7259</v>
      </c>
      <c r="C213" s="16">
        <f t="shared" si="966"/>
        <v>9</v>
      </c>
      <c r="D213" s="9">
        <f>운전실적_원본!C213</f>
        <v>238791</v>
      </c>
      <c r="E213" s="199">
        <f t="shared" si="967"/>
        <v>0</v>
      </c>
      <c r="F213" s="9">
        <f>운전실적_원본!D213</f>
        <v>232659</v>
      </c>
      <c r="G213" s="16">
        <f t="shared" si="968"/>
        <v>17</v>
      </c>
      <c r="H213" s="15">
        <f>운전실적_원본!E213</f>
        <v>15308.04</v>
      </c>
      <c r="I213" s="16">
        <f t="shared" si="969"/>
        <v>22.240000000001601</v>
      </c>
      <c r="J213" s="15">
        <f>운전실적_원본!E213</f>
        <v>15308.04</v>
      </c>
      <c r="K213" s="16">
        <f t="shared" si="969"/>
        <v>22.240000000001601</v>
      </c>
      <c r="L213" s="15">
        <f>운전실적_원본!G213</f>
        <v>3894.3</v>
      </c>
      <c r="M213" s="31">
        <f t="shared" ref="M213" si="1204">IF(OR(LEN(L213)=0,L213=0),"",L213-L212)</f>
        <v>0.3000000000001819</v>
      </c>
      <c r="N213" s="15">
        <f>운전실적_원본!H213</f>
        <v>18352</v>
      </c>
      <c r="O213" s="16">
        <f t="shared" ref="O213" si="1205">IF(OR(LEN(N213)=0,N213=0),"",N213-N212)</f>
        <v>0</v>
      </c>
      <c r="P213" s="15">
        <f>운전실적_원본!I213</f>
        <v>280251</v>
      </c>
      <c r="Q213" s="16">
        <f t="shared" ref="Q213" si="1206">IF(OR(LEN(P213)=0,P213=0),"",P213-P212)</f>
        <v>79</v>
      </c>
      <c r="R213" s="18">
        <f>운전실적_원본!J213</f>
        <v>33.6</v>
      </c>
      <c r="S213" s="19">
        <f t="shared" ref="S213" si="1207">IF(OR(LEN(R213)=0,R213=0),"",R213-R212)</f>
        <v>-0.12999999999999545</v>
      </c>
      <c r="T213" s="18">
        <f>운전실적_원본!K213</f>
        <v>33.200000000000003</v>
      </c>
      <c r="U213" s="19">
        <f t="shared" si="974"/>
        <v>1.0000000000005116E-2</v>
      </c>
      <c r="V213" s="12">
        <f>운전실적_원본!L213</f>
        <v>8270</v>
      </c>
      <c r="W213" s="16">
        <f t="shared" ref="W213" si="1208">IF(OR(LEN(V213)=0,V213=0),"",V213-V212)</f>
        <v>-265</v>
      </c>
      <c r="X213" s="10">
        <f>운전실적_원본!M213</f>
        <v>0</v>
      </c>
      <c r="Y213" s="10">
        <f>운전실적_원본!N213</f>
        <v>0</v>
      </c>
      <c r="Z213" s="10">
        <f>운전실적_원본!O213</f>
        <v>0</v>
      </c>
      <c r="AA213" s="10">
        <f>운전실적_원본!P213</f>
        <v>0</v>
      </c>
      <c r="AB213" s="10">
        <f>운전실적_원본!Q213</f>
        <v>0</v>
      </c>
      <c r="AC213" s="10">
        <f>운전실적_원본!R213</f>
        <v>0</v>
      </c>
      <c r="AD213" s="181">
        <f>운전실적_원본!S213</f>
        <v>0</v>
      </c>
      <c r="AE213" s="181">
        <f>운전실적_원본!T213</f>
        <v>0</v>
      </c>
      <c r="AF213" s="181">
        <f>운전실적_원본!U213</f>
        <v>0</v>
      </c>
      <c r="AG213" s="181">
        <f>운전실적_원본!V213</f>
        <v>0</v>
      </c>
      <c r="AH213" s="106">
        <f t="shared" si="1128"/>
        <v>0</v>
      </c>
      <c r="AI213" s="107">
        <f t="shared" si="1136"/>
        <v>0</v>
      </c>
      <c r="AJ213" s="107">
        <f t="shared" si="1137"/>
        <v>0</v>
      </c>
      <c r="AK213" s="204">
        <f t="shared" si="1138"/>
        <v>0</v>
      </c>
      <c r="AL213" s="103"/>
      <c r="AM213" s="103"/>
      <c r="AN213" s="103"/>
      <c r="AO213" s="103"/>
      <c r="AP213" s="103"/>
      <c r="AQ213" s="105"/>
      <c r="AR213" s="103"/>
      <c r="AS213" s="103"/>
      <c r="AT213" s="101"/>
      <c r="AU213" s="101"/>
      <c r="AV213" s="101"/>
      <c r="AW213" s="101"/>
      <c r="AX213" s="32">
        <f>운전실적_원본!W213</f>
        <v>0</v>
      </c>
      <c r="AY213" s="198">
        <f>운전실적_원본!X213</f>
        <v>0</v>
      </c>
      <c r="AZ213" s="198">
        <f>운전실적_원본!Y213</f>
        <v>0</v>
      </c>
      <c r="BA213" s="198">
        <f>운전실적_원본!Z213</f>
        <v>0</v>
      </c>
      <c r="BB213" s="198">
        <f>운전실적_원본!AA213</f>
        <v>0</v>
      </c>
      <c r="BC213" s="198">
        <f>운전실적_원본!AB213</f>
        <v>0</v>
      </c>
      <c r="BD213" s="32" t="str">
        <f t="shared" si="1121"/>
        <v>-</v>
      </c>
      <c r="BE213" s="11" t="str">
        <f t="shared" si="1129"/>
        <v>-</v>
      </c>
      <c r="BF213" s="11">
        <f>운전실적_원본!AE213</f>
        <v>0</v>
      </c>
      <c r="BG213" s="31">
        <f t="shared" si="1122"/>
        <v>0</v>
      </c>
    </row>
    <row r="214" spans="1:59">
      <c r="A214" s="6">
        <f t="shared" si="1130"/>
        <v>45866</v>
      </c>
      <c r="B214" s="15">
        <f>운전실적_원본!B214</f>
        <v>7267</v>
      </c>
      <c r="C214" s="16">
        <f t="shared" si="966"/>
        <v>8</v>
      </c>
      <c r="D214" s="9">
        <f>운전실적_원본!C214</f>
        <v>238791</v>
      </c>
      <c r="E214" s="199">
        <f t="shared" si="967"/>
        <v>0</v>
      </c>
      <c r="F214" s="9">
        <f>운전실적_원본!D214</f>
        <v>232709</v>
      </c>
      <c r="G214" s="16">
        <f t="shared" si="968"/>
        <v>50</v>
      </c>
      <c r="H214" s="15">
        <f>운전실적_원본!E214</f>
        <v>15345.19</v>
      </c>
      <c r="I214" s="16">
        <f t="shared" si="969"/>
        <v>37.149999999999636</v>
      </c>
      <c r="J214" s="15">
        <f>운전실적_원본!E214</f>
        <v>15345.19</v>
      </c>
      <c r="K214" s="16">
        <f t="shared" si="969"/>
        <v>37.149999999999636</v>
      </c>
      <c r="L214" s="15">
        <f>운전실적_원본!G214</f>
        <v>3894.8</v>
      </c>
      <c r="M214" s="31">
        <f t="shared" ref="M214" si="1209">IF(OR(LEN(L214)=0,L214=0),"",L214-L213)</f>
        <v>0.5</v>
      </c>
      <c r="N214" s="15">
        <f>운전실적_원본!H214</f>
        <v>18396</v>
      </c>
      <c r="O214" s="16">
        <f t="shared" ref="O214" si="1210">IF(OR(LEN(N214)=0,N214=0),"",N214-N213)</f>
        <v>44</v>
      </c>
      <c r="P214" s="15">
        <f>운전실적_원본!I214</f>
        <v>280337</v>
      </c>
      <c r="Q214" s="16">
        <f t="shared" ref="Q214" si="1211">IF(OR(LEN(P214)=0,P214=0),"",P214-P213)</f>
        <v>86</v>
      </c>
      <c r="R214" s="18">
        <f>운전실적_원본!J214</f>
        <v>33.54</v>
      </c>
      <c r="S214" s="19">
        <f t="shared" ref="S214" si="1212">IF(OR(LEN(R214)=0,R214=0),"",R214-R213)</f>
        <v>-6.0000000000002274E-2</v>
      </c>
      <c r="T214" s="18">
        <f>운전실적_원본!K214</f>
        <v>33.200000000000003</v>
      </c>
      <c r="U214" s="19">
        <f t="shared" si="974"/>
        <v>0</v>
      </c>
      <c r="V214" s="12">
        <f>운전실적_원본!L214</f>
        <v>8321</v>
      </c>
      <c r="W214" s="16">
        <f t="shared" ref="W214" si="1213">IF(OR(LEN(V214)=0,V214=0),"",V214-V213)</f>
        <v>51</v>
      </c>
      <c r="X214" s="10">
        <f>운전실적_원본!M214</f>
        <v>18060.5</v>
      </c>
      <c r="Y214" s="10">
        <f>운전실적_원본!N214</f>
        <v>0</v>
      </c>
      <c r="Z214" s="10">
        <f>운전실적_원본!O214</f>
        <v>0</v>
      </c>
      <c r="AA214" s="10">
        <f>운전실적_원본!P214</f>
        <v>0</v>
      </c>
      <c r="AB214" s="10">
        <f>운전실적_원본!Q214</f>
        <v>0</v>
      </c>
      <c r="AC214" s="10">
        <f>운전실적_원본!R214</f>
        <v>0</v>
      </c>
      <c r="AD214" s="181">
        <f>운전실적_원본!S214</f>
        <v>10</v>
      </c>
      <c r="AE214" s="181">
        <f>운전실적_원본!T214</f>
        <v>0</v>
      </c>
      <c r="AF214" s="181">
        <f>운전실적_원본!U214</f>
        <v>0</v>
      </c>
      <c r="AG214" s="181">
        <f>운전실적_원본!V214</f>
        <v>0</v>
      </c>
      <c r="AH214" s="106">
        <f t="shared" si="1128"/>
        <v>10.166666666627862</v>
      </c>
      <c r="AI214" s="107">
        <f t="shared" si="1136"/>
        <v>0</v>
      </c>
      <c r="AJ214" s="107">
        <f t="shared" si="1137"/>
        <v>0</v>
      </c>
      <c r="AK214" s="204">
        <f t="shared" si="1138"/>
        <v>0</v>
      </c>
      <c r="AL214" s="103">
        <v>45866.486111111109</v>
      </c>
      <c r="AM214" s="103">
        <v>45866.909722222219</v>
      </c>
      <c r="AN214" s="103"/>
      <c r="AO214" s="103"/>
      <c r="AP214" s="103"/>
      <c r="AQ214" s="105"/>
      <c r="AR214" s="103"/>
      <c r="AS214" s="103"/>
      <c r="AT214" s="101"/>
      <c r="AU214" s="101"/>
      <c r="AV214" s="101"/>
      <c r="AW214" s="101"/>
      <c r="AX214" s="32">
        <f>운전실적_원본!W214</f>
        <v>98</v>
      </c>
      <c r="AY214" s="198">
        <f>운전실적_원본!X214</f>
        <v>0</v>
      </c>
      <c r="AZ214" s="198">
        <f>운전실적_원본!Y214</f>
        <v>0</v>
      </c>
      <c r="BA214" s="198">
        <f>운전실적_원본!Z214</f>
        <v>0</v>
      </c>
      <c r="BB214" s="198">
        <f>운전실적_원본!AA214</f>
        <v>0</v>
      </c>
      <c r="BC214" s="198">
        <f>운전실적_원본!AB214</f>
        <v>98</v>
      </c>
      <c r="BD214" s="32">
        <f t="shared" si="1121"/>
        <v>9.8000000000000007</v>
      </c>
      <c r="BE214" s="11">
        <f t="shared" si="1129"/>
        <v>0.19069857949017319</v>
      </c>
      <c r="BF214" s="11">
        <f>운전실적_원본!AE214</f>
        <v>0</v>
      </c>
      <c r="BG214" s="31">
        <f t="shared" si="1122"/>
        <v>0</v>
      </c>
    </row>
    <row r="215" spans="1:59">
      <c r="A215" s="6">
        <f t="shared" si="1130"/>
        <v>45867</v>
      </c>
      <c r="B215" s="15">
        <f>운전실적_원본!B215</f>
        <v>7267</v>
      </c>
      <c r="C215" s="16">
        <f t="shared" si="966"/>
        <v>0</v>
      </c>
      <c r="D215" s="9">
        <f>운전실적_원본!C215</f>
        <v>238813</v>
      </c>
      <c r="E215" s="199">
        <f t="shared" si="967"/>
        <v>22</v>
      </c>
      <c r="F215" s="9">
        <f>운전실적_원본!D215</f>
        <v>232756</v>
      </c>
      <c r="G215" s="16">
        <f t="shared" si="968"/>
        <v>47</v>
      </c>
      <c r="H215" s="15">
        <f>운전실적_원본!E215</f>
        <v>15373.05</v>
      </c>
      <c r="I215" s="16">
        <f t="shared" si="969"/>
        <v>27.859999999998763</v>
      </c>
      <c r="J215" s="15">
        <f>운전실적_원본!E215</f>
        <v>15373.05</v>
      </c>
      <c r="K215" s="16">
        <f t="shared" si="969"/>
        <v>27.859999999998763</v>
      </c>
      <c r="L215" s="15">
        <f>운전실적_원본!G215</f>
        <v>3895.4</v>
      </c>
      <c r="M215" s="31">
        <f t="shared" ref="M215" si="1214">IF(OR(LEN(L215)=0,L215=0),"",L215-L214)</f>
        <v>0.59999999999990905</v>
      </c>
      <c r="N215" s="15">
        <f>운전실적_원본!H215</f>
        <v>18472</v>
      </c>
      <c r="O215" s="16">
        <f t="shared" ref="O215" si="1215">IF(OR(LEN(N215)=0,N215=0),"",N215-N214)</f>
        <v>76</v>
      </c>
      <c r="P215" s="15">
        <f>운전실적_원본!I215</f>
        <v>280504</v>
      </c>
      <c r="Q215" s="16">
        <f t="shared" ref="Q215" si="1216">IF(OR(LEN(P215)=0,P215=0),"",P215-P214)</f>
        <v>167</v>
      </c>
      <c r="R215" s="18">
        <f>운전실적_원본!J215</f>
        <v>33.71</v>
      </c>
      <c r="S215" s="19">
        <f t="shared" ref="S215" si="1217">IF(OR(LEN(R215)=0,R215=0),"",R215-R214)</f>
        <v>0.17000000000000171</v>
      </c>
      <c r="T215" s="18">
        <f>운전실적_원본!K215</f>
        <v>33.29</v>
      </c>
      <c r="U215" s="19">
        <f t="shared" si="974"/>
        <v>8.9999999999996305E-2</v>
      </c>
      <c r="V215" s="12">
        <f>운전실적_원본!L215</f>
        <v>8693</v>
      </c>
      <c r="W215" s="16">
        <f t="shared" ref="W215" si="1218">IF(OR(LEN(V215)=0,V215=0),"",V215-V214)</f>
        <v>372</v>
      </c>
      <c r="X215" s="10">
        <f>운전실적_원본!M215</f>
        <v>15691.7</v>
      </c>
      <c r="Y215" s="10">
        <f>운전실적_원본!N215</f>
        <v>0</v>
      </c>
      <c r="Z215" s="10">
        <f>운전실적_원본!O215</f>
        <v>0</v>
      </c>
      <c r="AA215" s="10">
        <f>운전실적_원본!P215</f>
        <v>0</v>
      </c>
      <c r="AB215" s="10">
        <f>운전실적_원본!Q215</f>
        <v>0</v>
      </c>
      <c r="AC215" s="10">
        <f>운전실적_원본!R215</f>
        <v>0</v>
      </c>
      <c r="AD215" s="181">
        <f>운전실적_원본!S215</f>
        <v>7</v>
      </c>
      <c r="AE215" s="181">
        <f>운전실적_원본!T215</f>
        <v>0</v>
      </c>
      <c r="AF215" s="181">
        <f>운전실적_원본!U215</f>
        <v>0</v>
      </c>
      <c r="AG215" s="181">
        <f>운전실적_원본!V215</f>
        <v>0</v>
      </c>
      <c r="AH215" s="106">
        <f t="shared" si="1128"/>
        <v>6.4166666668024845</v>
      </c>
      <c r="AI215" s="107">
        <f t="shared" si="1136"/>
        <v>0</v>
      </c>
      <c r="AJ215" s="107">
        <f t="shared" si="1137"/>
        <v>0</v>
      </c>
      <c r="AK215" s="204">
        <f t="shared" si="1138"/>
        <v>0</v>
      </c>
      <c r="AL215" s="103">
        <v>45867.565972222219</v>
      </c>
      <c r="AM215" s="103">
        <v>45867.833333333336</v>
      </c>
      <c r="AN215" s="103"/>
      <c r="AO215" s="103"/>
      <c r="AP215" s="103"/>
      <c r="AQ215" s="105"/>
      <c r="AR215" s="103"/>
      <c r="AS215" s="103"/>
      <c r="AT215" s="101"/>
      <c r="AU215" s="101"/>
      <c r="AV215" s="101"/>
      <c r="AW215" s="101"/>
      <c r="AX215" s="32">
        <f>운전실적_원본!W215</f>
        <v>101</v>
      </c>
      <c r="AY215" s="198">
        <f>운전실적_원본!X215</f>
        <v>0</v>
      </c>
      <c r="AZ215" s="198">
        <f>운전실적_원본!Y215</f>
        <v>0</v>
      </c>
      <c r="BA215" s="198">
        <f>운전실적_원본!Z215</f>
        <v>0</v>
      </c>
      <c r="BB215" s="198">
        <f>운전실적_원본!AA215</f>
        <v>0</v>
      </c>
      <c r="BC215" s="198">
        <f>운전실적_원본!AB215</f>
        <v>101</v>
      </c>
      <c r="BD215" s="32">
        <f t="shared" si="1121"/>
        <v>14.428571428571429</v>
      </c>
      <c r="BE215" s="11">
        <f t="shared" si="1129"/>
        <v>0.28076613015317042</v>
      </c>
      <c r="BF215" s="11">
        <f>운전실적_원본!AE215</f>
        <v>0</v>
      </c>
      <c r="BG215" s="31">
        <f t="shared" si="1122"/>
        <v>0</v>
      </c>
    </row>
    <row r="216" spans="1:59">
      <c r="A216" s="6">
        <f t="shared" si="1130"/>
        <v>45868</v>
      </c>
      <c r="B216" s="15">
        <f>운전실적_원본!B216</f>
        <v>7267</v>
      </c>
      <c r="C216" s="16">
        <f t="shared" si="966"/>
        <v>0</v>
      </c>
      <c r="D216" s="9">
        <f>운전실적_원본!C216</f>
        <v>238862</v>
      </c>
      <c r="E216" s="199">
        <f t="shared" si="967"/>
        <v>49</v>
      </c>
      <c r="F216" s="9">
        <f>운전실적_원본!D216</f>
        <v>232756</v>
      </c>
      <c r="G216" s="16">
        <f t="shared" si="968"/>
        <v>0</v>
      </c>
      <c r="H216" s="15">
        <f>운전실적_원본!E216</f>
        <v>15399</v>
      </c>
      <c r="I216" s="16">
        <f t="shared" si="969"/>
        <v>25.950000000000728</v>
      </c>
      <c r="J216" s="15">
        <f>운전실적_원본!E216</f>
        <v>15399</v>
      </c>
      <c r="K216" s="16">
        <f t="shared" si="969"/>
        <v>25.950000000000728</v>
      </c>
      <c r="L216" s="15">
        <f>운전실적_원본!G216</f>
        <v>3896</v>
      </c>
      <c r="M216" s="31">
        <f t="shared" ref="M216" si="1219">IF(OR(LEN(L216)=0,L216=0),"",L216-L215)</f>
        <v>0.59999999999990905</v>
      </c>
      <c r="N216" s="15">
        <f>운전실적_원본!H216</f>
        <v>18524</v>
      </c>
      <c r="O216" s="16">
        <f t="shared" ref="O216" si="1220">IF(OR(LEN(N216)=0,N216=0),"",N216-N215)</f>
        <v>52</v>
      </c>
      <c r="P216" s="15">
        <f>운전실적_원본!I216</f>
        <v>280624</v>
      </c>
      <c r="Q216" s="16">
        <f t="shared" ref="Q216" si="1221">IF(OR(LEN(P216)=0,P216=0),"",P216-P215)</f>
        <v>120</v>
      </c>
      <c r="R216" s="18">
        <f>운전실적_원본!J216</f>
        <v>33.57</v>
      </c>
      <c r="S216" s="19">
        <f t="shared" ref="S216" si="1222">IF(OR(LEN(R216)=0,R216=0),"",R216-R215)</f>
        <v>-0.14000000000000057</v>
      </c>
      <c r="T216" s="18">
        <f>운전실적_원본!K216</f>
        <v>33.270000000000003</v>
      </c>
      <c r="U216" s="19">
        <f t="shared" si="974"/>
        <v>-1.9999999999996021E-2</v>
      </c>
      <c r="V216" s="12">
        <f>운전실적_원본!L216</f>
        <v>8530</v>
      </c>
      <c r="W216" s="16">
        <f t="shared" ref="W216" si="1223">IF(OR(LEN(V216)=0,V216=0),"",V216-V215)</f>
        <v>-163</v>
      </c>
      <c r="X216" s="10">
        <f>운전실적_원본!M216</f>
        <v>0</v>
      </c>
      <c r="Y216" s="10">
        <f>운전실적_원본!N216</f>
        <v>0</v>
      </c>
      <c r="Z216" s="10">
        <f>운전실적_원본!O216</f>
        <v>0</v>
      </c>
      <c r="AA216" s="10">
        <f>운전실적_원본!P216</f>
        <v>0</v>
      </c>
      <c r="AB216" s="10">
        <f>운전실적_원본!Q216</f>
        <v>0</v>
      </c>
      <c r="AC216" s="10">
        <f>운전실적_원본!R216</f>
        <v>0</v>
      </c>
      <c r="AD216" s="181">
        <f>운전실적_원본!S216</f>
        <v>0</v>
      </c>
      <c r="AE216" s="181">
        <f>운전실적_원본!T216</f>
        <v>0</v>
      </c>
      <c r="AF216" s="181">
        <f>운전실적_원본!U216</f>
        <v>0</v>
      </c>
      <c r="AG216" s="181">
        <f>운전실적_원본!V216</f>
        <v>0</v>
      </c>
      <c r="AH216" s="106">
        <f t="shared" si="1128"/>
        <v>0</v>
      </c>
      <c r="AI216" s="107">
        <f t="shared" si="1136"/>
        <v>0</v>
      </c>
      <c r="AJ216" s="107">
        <f t="shared" si="1137"/>
        <v>0</v>
      </c>
      <c r="AK216" s="204">
        <f t="shared" si="1138"/>
        <v>0</v>
      </c>
      <c r="AL216" s="103"/>
      <c r="AM216" s="103"/>
      <c r="AN216" s="103"/>
      <c r="AO216" s="103"/>
      <c r="AP216" s="103"/>
      <c r="AQ216" s="105"/>
      <c r="AR216" s="103"/>
      <c r="AS216" s="103"/>
      <c r="AT216" s="101"/>
      <c r="AU216" s="101"/>
      <c r="AV216" s="101"/>
      <c r="AW216" s="101"/>
      <c r="AX216" s="32">
        <f>운전실적_원본!W216</f>
        <v>0</v>
      </c>
      <c r="AY216" s="198">
        <f>운전실적_원본!X216</f>
        <v>0</v>
      </c>
      <c r="AZ216" s="198">
        <f>운전실적_원본!Y216</f>
        <v>0</v>
      </c>
      <c r="BA216" s="198">
        <f>운전실적_원본!Z216</f>
        <v>0</v>
      </c>
      <c r="BB216" s="198">
        <f>운전실적_원본!AA216</f>
        <v>0</v>
      </c>
      <c r="BC216" s="198">
        <f>운전실적_원본!AB216</f>
        <v>0</v>
      </c>
      <c r="BD216" s="32" t="str">
        <f t="shared" si="1121"/>
        <v>-</v>
      </c>
      <c r="BE216" s="11" t="str">
        <f t="shared" si="1129"/>
        <v>-</v>
      </c>
      <c r="BF216" s="11">
        <f>운전실적_원본!AE216</f>
        <v>0</v>
      </c>
      <c r="BG216" s="31">
        <f t="shared" si="1122"/>
        <v>0</v>
      </c>
    </row>
    <row r="217" spans="1:59" s="197" customFormat="1">
      <c r="A217" s="205">
        <f t="shared" si="1130"/>
        <v>45869</v>
      </c>
      <c r="B217" s="182">
        <f>운전실적_원본!B217</f>
        <v>7267</v>
      </c>
      <c r="C217" s="183">
        <f t="shared" si="966"/>
        <v>0</v>
      </c>
      <c r="D217" s="184">
        <f>운전실적_원본!C217</f>
        <v>238895</v>
      </c>
      <c r="E217" s="202">
        <f t="shared" si="967"/>
        <v>33</v>
      </c>
      <c r="F217" s="184">
        <f>운전실적_원본!D217</f>
        <v>232756</v>
      </c>
      <c r="G217" s="183">
        <f t="shared" si="968"/>
        <v>0</v>
      </c>
      <c r="H217" s="182">
        <f>운전실적_원본!E217</f>
        <v>15427</v>
      </c>
      <c r="I217" s="183">
        <f t="shared" si="969"/>
        <v>28</v>
      </c>
      <c r="J217" s="182">
        <f>운전실적_원본!E217</f>
        <v>15427</v>
      </c>
      <c r="K217" s="183">
        <f t="shared" si="969"/>
        <v>28</v>
      </c>
      <c r="L217" s="182">
        <f>운전실적_원본!G217</f>
        <v>3896.5</v>
      </c>
      <c r="M217" s="185">
        <f t="shared" ref="M217" si="1224">IF(OR(LEN(L217)=0,L217=0),"",L217-L216)</f>
        <v>0.5</v>
      </c>
      <c r="N217" s="182">
        <f>운전실적_원본!H217</f>
        <v>18587</v>
      </c>
      <c r="O217" s="183">
        <f t="shared" ref="O217" si="1225">IF(OR(LEN(N217)=0,N217=0),"",N217-N216)</f>
        <v>63</v>
      </c>
      <c r="P217" s="182">
        <f>운전실적_원본!I217</f>
        <v>280705</v>
      </c>
      <c r="Q217" s="183">
        <f t="shared" ref="Q217" si="1226">IF(OR(LEN(P217)=0,P217=0),"",P217-P216)</f>
        <v>81</v>
      </c>
      <c r="R217" s="186">
        <f>운전실적_원본!J217</f>
        <v>33.65</v>
      </c>
      <c r="S217" s="187">
        <f t="shared" ref="S217" si="1227">IF(OR(LEN(R217)=0,R217=0),"",R217-R216)</f>
        <v>7.9999999999998295E-2</v>
      </c>
      <c r="T217" s="186">
        <f>운전실적_원본!K217</f>
        <v>33.130000000000003</v>
      </c>
      <c r="U217" s="187">
        <f t="shared" si="974"/>
        <v>-0.14000000000000057</v>
      </c>
      <c r="V217" s="184">
        <f>운전실적_원본!L217</f>
        <v>8497</v>
      </c>
      <c r="W217" s="183">
        <f t="shared" ref="W217" si="1228">IF(OR(LEN(V217)=0,V217=0),"",V217-V216)</f>
        <v>-33</v>
      </c>
      <c r="X217" s="188">
        <f>운전실적_원본!M217</f>
        <v>0.5</v>
      </c>
      <c r="Y217" s="188">
        <f>운전실적_원본!N217</f>
        <v>0</v>
      </c>
      <c r="Z217" s="188">
        <f>운전실적_원본!O217</f>
        <v>0</v>
      </c>
      <c r="AA217" s="188">
        <f>운전실적_원본!P217</f>
        <v>0</v>
      </c>
      <c r="AB217" s="188">
        <f>운전실적_원본!Q217</f>
        <v>0</v>
      </c>
      <c r="AC217" s="188">
        <f>운전실적_원본!R217</f>
        <v>0</v>
      </c>
      <c r="AD217" s="189">
        <f>운전실적_원본!S217</f>
        <v>0</v>
      </c>
      <c r="AE217" s="189">
        <f>운전실적_원본!T217</f>
        <v>0</v>
      </c>
      <c r="AF217" s="189">
        <f>운전실적_원본!U217</f>
        <v>0</v>
      </c>
      <c r="AG217" s="189">
        <f>운전실적_원본!V217</f>
        <v>0</v>
      </c>
      <c r="AH217" s="190">
        <f t="shared" si="1128"/>
        <v>0</v>
      </c>
      <c r="AI217" s="191">
        <f t="shared" si="1136"/>
        <v>0</v>
      </c>
      <c r="AJ217" s="191">
        <f t="shared" si="1137"/>
        <v>0</v>
      </c>
      <c r="AK217" s="206">
        <f t="shared" si="1138"/>
        <v>0</v>
      </c>
      <c r="AL217" s="192"/>
      <c r="AM217" s="192"/>
      <c r="AN217" s="192"/>
      <c r="AO217" s="192"/>
      <c r="AP217" s="192"/>
      <c r="AQ217" s="193"/>
      <c r="AR217" s="192"/>
      <c r="AS217" s="192"/>
      <c r="AT217" s="194"/>
      <c r="AU217" s="194"/>
      <c r="AV217" s="194"/>
      <c r="AW217" s="194"/>
      <c r="AX217" s="195">
        <f>운전실적_원본!W217</f>
        <v>0</v>
      </c>
      <c r="AY217" s="196">
        <f>운전실적_원본!X217</f>
        <v>0</v>
      </c>
      <c r="AZ217" s="196">
        <f>운전실적_원본!Y217</f>
        <v>0</v>
      </c>
      <c r="BA217" s="196">
        <f>운전실적_원본!Z217</f>
        <v>0</v>
      </c>
      <c r="BB217" s="196">
        <f>운전실적_원본!AA217</f>
        <v>0</v>
      </c>
      <c r="BC217" s="185">
        <f>운전실적_원본!AB217</f>
        <v>0</v>
      </c>
      <c r="BD217" s="195" t="str">
        <f t="shared" si="1121"/>
        <v>-</v>
      </c>
      <c r="BE217" s="196" t="str">
        <f t="shared" si="1129"/>
        <v>-</v>
      </c>
      <c r="BF217" s="196">
        <f>운전실적_원본!AE217</f>
        <v>0</v>
      </c>
      <c r="BG217" s="185">
        <f t="shared" si="1122"/>
        <v>0</v>
      </c>
    </row>
    <row r="218" spans="1:59">
      <c r="A218" s="6">
        <f t="shared" si="1130"/>
        <v>45870</v>
      </c>
      <c r="B218" s="15">
        <f>운전실적_원본!B218</f>
        <v>7267</v>
      </c>
      <c r="C218" s="16">
        <f t="shared" si="966"/>
        <v>0</v>
      </c>
      <c r="D218" s="9">
        <f>운전실적_원본!C218</f>
        <v>238895</v>
      </c>
      <c r="E218" s="199">
        <f t="shared" si="967"/>
        <v>0</v>
      </c>
      <c r="F218" s="9">
        <f>운전실적_원본!D218</f>
        <v>232756</v>
      </c>
      <c r="G218" s="16">
        <f t="shared" si="968"/>
        <v>0</v>
      </c>
      <c r="H218" s="15">
        <f>운전실적_원본!E218</f>
        <v>15459.81</v>
      </c>
      <c r="I218" s="16">
        <f t="shared" si="969"/>
        <v>32.809999999999491</v>
      </c>
      <c r="J218" s="15">
        <f>운전실적_원본!E218</f>
        <v>15459.81</v>
      </c>
      <c r="K218" s="16">
        <f t="shared" si="969"/>
        <v>32.809999999999491</v>
      </c>
      <c r="L218" s="15">
        <f>운전실적_원본!G218</f>
        <v>3896.8</v>
      </c>
      <c r="M218" s="31">
        <f t="shared" ref="M218" si="1229">IF(OR(LEN(L218)=0,L218=0),"",L218-L217)</f>
        <v>0.3000000000001819</v>
      </c>
      <c r="N218" s="15">
        <f>운전실적_원본!H218</f>
        <v>18587</v>
      </c>
      <c r="O218" s="16">
        <f t="shared" ref="O218" si="1230">IF(OR(LEN(N218)=0,N218=0),"",N218-N217)</f>
        <v>0</v>
      </c>
      <c r="P218" s="15">
        <f>운전실적_원본!I218</f>
        <v>280750</v>
      </c>
      <c r="Q218" s="16">
        <f t="shared" ref="Q218" si="1231">IF(OR(LEN(P218)=0,P218=0),"",P218-P217)</f>
        <v>45</v>
      </c>
      <c r="R218" s="18">
        <f>운전실적_원본!J218</f>
        <v>33.74</v>
      </c>
      <c r="S218" s="19">
        <f t="shared" ref="S218" si="1232">IF(OR(LEN(R218)=0,R218=0),"",R218-R217)</f>
        <v>9.0000000000003411E-2</v>
      </c>
      <c r="T218" s="18">
        <f>운전실적_원본!K218</f>
        <v>33.08</v>
      </c>
      <c r="U218" s="19">
        <f t="shared" si="974"/>
        <v>-5.0000000000004263E-2</v>
      </c>
      <c r="V218" s="12">
        <f>운전실적_원본!L218</f>
        <v>8360</v>
      </c>
      <c r="W218" s="16">
        <f t="shared" ref="W218" si="1233">IF(OR(LEN(V218)=0,V218=0),"",V218-V217)</f>
        <v>-137</v>
      </c>
      <c r="X218" s="10">
        <f>운전실적_원본!M218</f>
        <v>0</v>
      </c>
      <c r="Y218" s="10">
        <f>운전실적_원본!N218</f>
        <v>0</v>
      </c>
      <c r="Z218" s="10">
        <f>운전실적_원본!O218</f>
        <v>0</v>
      </c>
      <c r="AA218" s="10">
        <f>운전실적_원본!P218</f>
        <v>0</v>
      </c>
      <c r="AB218" s="10">
        <f>운전실적_원본!Q218</f>
        <v>0</v>
      </c>
      <c r="AC218" s="10">
        <f>운전실적_원본!R218</f>
        <v>0</v>
      </c>
      <c r="AD218" s="181">
        <f>운전실적_원본!S218</f>
        <v>0</v>
      </c>
      <c r="AE218" s="181">
        <f>운전실적_원본!T218</f>
        <v>0</v>
      </c>
      <c r="AF218" s="181">
        <f>운전실적_원본!U218</f>
        <v>0</v>
      </c>
      <c r="AG218" s="181">
        <f>운전실적_원본!V218</f>
        <v>0</v>
      </c>
      <c r="AH218" s="106">
        <f t="shared" si="1128"/>
        <v>0</v>
      </c>
      <c r="AI218" s="107">
        <f t="shared" si="1136"/>
        <v>0</v>
      </c>
      <c r="AJ218" s="107">
        <f t="shared" si="1137"/>
        <v>0</v>
      </c>
      <c r="AK218" s="204">
        <f t="shared" si="1138"/>
        <v>0</v>
      </c>
      <c r="AL218" s="103"/>
      <c r="AM218" s="103"/>
      <c r="AN218" s="103"/>
      <c r="AO218" s="103"/>
      <c r="AP218" s="103"/>
      <c r="AQ218" s="105"/>
      <c r="AR218" s="103"/>
      <c r="AS218" s="103"/>
      <c r="AT218" s="101"/>
      <c r="AU218" s="101"/>
      <c r="AV218" s="101"/>
      <c r="AW218" s="101"/>
      <c r="AX218" s="32">
        <f>운전실적_원본!W218</f>
        <v>0</v>
      </c>
      <c r="AY218" s="198">
        <f>운전실적_원본!X218</f>
        <v>0</v>
      </c>
      <c r="AZ218" s="198">
        <f>운전실적_원본!Y218</f>
        <v>0</v>
      </c>
      <c r="BA218" s="198">
        <f>운전실적_원본!Z218</f>
        <v>0</v>
      </c>
      <c r="BB218" s="198">
        <f>운전실적_원본!AA218</f>
        <v>0</v>
      </c>
      <c r="BC218" s="198">
        <f>운전실적_원본!AB218</f>
        <v>0</v>
      </c>
      <c r="BD218" s="32" t="str">
        <f t="shared" si="1121"/>
        <v>-</v>
      </c>
      <c r="BE218" s="11" t="str">
        <f t="shared" si="1129"/>
        <v>-</v>
      </c>
      <c r="BF218" s="11">
        <f>운전실적_원본!AE218</f>
        <v>0</v>
      </c>
      <c r="BG218" s="31">
        <f t="shared" si="1122"/>
        <v>0</v>
      </c>
    </row>
    <row r="219" spans="1:59">
      <c r="A219" s="6">
        <f t="shared" si="1130"/>
        <v>45871</v>
      </c>
      <c r="B219" s="15">
        <f>운전실적_원본!B219</f>
        <v>7267</v>
      </c>
      <c r="C219" s="16">
        <f t="shared" si="966"/>
        <v>0</v>
      </c>
      <c r="D219" s="9">
        <f>운전실적_원본!C219</f>
        <v>238895</v>
      </c>
      <c r="E219" s="199">
        <f t="shared" si="967"/>
        <v>0</v>
      </c>
      <c r="F219" s="9">
        <f>운전실적_원본!D219</f>
        <v>232756</v>
      </c>
      <c r="G219" s="16">
        <f t="shared" si="968"/>
        <v>0</v>
      </c>
      <c r="H219" s="15">
        <f>운전실적_원본!E219</f>
        <v>15491.86</v>
      </c>
      <c r="I219" s="16">
        <f t="shared" si="969"/>
        <v>32.050000000001091</v>
      </c>
      <c r="J219" s="15">
        <f>운전실적_원본!E219</f>
        <v>15491.86</v>
      </c>
      <c r="K219" s="16">
        <f t="shared" si="969"/>
        <v>32.050000000001091</v>
      </c>
      <c r="L219" s="15">
        <f>운전실적_원본!G219</f>
        <v>3897.1</v>
      </c>
      <c r="M219" s="31">
        <f t="shared" ref="M219" si="1234">IF(OR(LEN(L219)=0,L219=0),"",L219-L218)</f>
        <v>0.29999999999972715</v>
      </c>
      <c r="N219" s="15">
        <f>운전실적_원본!H219</f>
        <v>18587</v>
      </c>
      <c r="O219" s="16">
        <f t="shared" ref="O219" si="1235">IF(OR(LEN(N219)=0,N219=0),"",N219-N218)</f>
        <v>0</v>
      </c>
      <c r="P219" s="15">
        <f>운전실적_원본!I219</f>
        <v>280791</v>
      </c>
      <c r="Q219" s="16">
        <f t="shared" ref="Q219" si="1236">IF(OR(LEN(P219)=0,P219=0),"",P219-P218)</f>
        <v>41</v>
      </c>
      <c r="R219" s="18">
        <f>운전실적_원본!J219</f>
        <v>33.68</v>
      </c>
      <c r="S219" s="19">
        <f t="shared" ref="S219" si="1237">IF(OR(LEN(R219)=0,R219=0),"",R219-R218)</f>
        <v>-6.0000000000002274E-2</v>
      </c>
      <c r="T219" s="18">
        <f>운전실적_원본!K219</f>
        <v>33.03</v>
      </c>
      <c r="U219" s="19">
        <f t="shared" si="974"/>
        <v>-4.9999999999997158E-2</v>
      </c>
      <c r="V219" s="12">
        <f>운전실적_원본!L219</f>
        <v>7928</v>
      </c>
      <c r="W219" s="16">
        <f t="shared" ref="W219" si="1238">IF(OR(LEN(V219)=0,V219=0),"",V219-V218)</f>
        <v>-432</v>
      </c>
      <c r="X219" s="10">
        <f>운전실적_원본!M219</f>
        <v>0</v>
      </c>
      <c r="Y219" s="10">
        <f>운전실적_원본!N219</f>
        <v>0</v>
      </c>
      <c r="Z219" s="10">
        <f>운전실적_원본!O219</f>
        <v>0</v>
      </c>
      <c r="AA219" s="10">
        <f>운전실적_원본!P219</f>
        <v>0</v>
      </c>
      <c r="AB219" s="10">
        <f>운전실적_원본!Q219</f>
        <v>0</v>
      </c>
      <c r="AC219" s="10">
        <f>운전실적_원본!R219</f>
        <v>0</v>
      </c>
      <c r="AD219" s="181">
        <f>운전실적_원본!S219</f>
        <v>0</v>
      </c>
      <c r="AE219" s="181">
        <f>운전실적_원본!T219</f>
        <v>0</v>
      </c>
      <c r="AF219" s="181">
        <f>운전실적_원본!U219</f>
        <v>0</v>
      </c>
      <c r="AG219" s="181">
        <f>운전실적_원본!V219</f>
        <v>0</v>
      </c>
      <c r="AH219" s="106">
        <f t="shared" si="1128"/>
        <v>0</v>
      </c>
      <c r="AI219" s="107">
        <f t="shared" si="1136"/>
        <v>0</v>
      </c>
      <c r="AJ219" s="107">
        <f t="shared" si="1137"/>
        <v>0</v>
      </c>
      <c r="AK219" s="204">
        <f t="shared" si="1138"/>
        <v>0</v>
      </c>
      <c r="AL219" s="103"/>
      <c r="AM219" s="103"/>
      <c r="AN219" s="103"/>
      <c r="AO219" s="103"/>
      <c r="AP219" s="103"/>
      <c r="AQ219" s="105"/>
      <c r="AR219" s="103"/>
      <c r="AS219" s="103"/>
      <c r="AT219" s="101"/>
      <c r="AU219" s="101"/>
      <c r="AV219" s="101"/>
      <c r="AW219" s="101"/>
      <c r="AX219" s="32">
        <f>운전실적_원본!W219</f>
        <v>0</v>
      </c>
      <c r="AY219" s="198">
        <f>운전실적_원본!X219</f>
        <v>0</v>
      </c>
      <c r="AZ219" s="198">
        <f>운전실적_원본!Y219</f>
        <v>0</v>
      </c>
      <c r="BA219" s="198">
        <f>운전실적_원본!Z219</f>
        <v>0</v>
      </c>
      <c r="BB219" s="198">
        <f>운전실적_원본!AA219</f>
        <v>0</v>
      </c>
      <c r="BC219" s="198">
        <f>운전실적_원본!AB219</f>
        <v>0</v>
      </c>
      <c r="BD219" s="32" t="str">
        <f t="shared" si="1121"/>
        <v>-</v>
      </c>
      <c r="BE219" s="11" t="str">
        <f t="shared" si="1129"/>
        <v>-</v>
      </c>
      <c r="BF219" s="11">
        <f>운전실적_원본!AE219</f>
        <v>0</v>
      </c>
      <c r="BG219" s="31">
        <f t="shared" si="1122"/>
        <v>0</v>
      </c>
    </row>
    <row r="220" spans="1:59">
      <c r="A220" s="6">
        <f t="shared" si="1130"/>
        <v>45872</v>
      </c>
      <c r="B220" s="15">
        <f>운전실적_원본!B220</f>
        <v>7298</v>
      </c>
      <c r="C220" s="16">
        <f t="shared" si="966"/>
        <v>31</v>
      </c>
      <c r="D220" s="9">
        <f>운전실적_원본!C220</f>
        <v>238944</v>
      </c>
      <c r="E220" s="199">
        <f t="shared" si="967"/>
        <v>49</v>
      </c>
      <c r="F220" s="9">
        <f>운전실적_원본!D220</f>
        <v>232802</v>
      </c>
      <c r="G220" s="16">
        <f t="shared" si="968"/>
        <v>46</v>
      </c>
      <c r="H220" s="15">
        <f>운전실적_원본!E220</f>
        <v>15504.46</v>
      </c>
      <c r="I220" s="16">
        <f t="shared" si="969"/>
        <v>12.599999999998545</v>
      </c>
      <c r="J220" s="15">
        <f>운전실적_원본!E220</f>
        <v>15504.46</v>
      </c>
      <c r="K220" s="16">
        <f t="shared" si="969"/>
        <v>12.599999999998545</v>
      </c>
      <c r="L220" s="15">
        <f>운전실적_원본!G220</f>
        <v>3897.5</v>
      </c>
      <c r="M220" s="31">
        <f t="shared" ref="M220" si="1239">IF(OR(LEN(L220)=0,L220=0),"",L220-L219)</f>
        <v>0.40000000000009095</v>
      </c>
      <c r="N220" s="15">
        <f>운전실적_원본!H220</f>
        <v>18587</v>
      </c>
      <c r="O220" s="16">
        <f t="shared" ref="O220" si="1240">IF(OR(LEN(N220)=0,N220=0),"",N220-N219)</f>
        <v>0</v>
      </c>
      <c r="P220" s="15">
        <f>운전실적_원본!I220</f>
        <v>280901</v>
      </c>
      <c r="Q220" s="16">
        <f t="shared" ref="Q220" si="1241">IF(OR(LEN(P220)=0,P220=0),"",P220-P219)</f>
        <v>110</v>
      </c>
      <c r="R220" s="18">
        <f>운전실적_원본!J220</f>
        <v>33.479999999999997</v>
      </c>
      <c r="S220" s="19">
        <f t="shared" ref="S220" si="1242">IF(OR(LEN(R220)=0,R220=0),"",R220-R219)</f>
        <v>-0.20000000000000284</v>
      </c>
      <c r="T220" s="18">
        <f>운전실적_원본!K220</f>
        <v>33.11</v>
      </c>
      <c r="U220" s="19">
        <f t="shared" si="974"/>
        <v>7.9999999999998295E-2</v>
      </c>
      <c r="V220" s="12">
        <f>운전실적_원본!L220</f>
        <v>8523</v>
      </c>
      <c r="W220" s="16">
        <f t="shared" ref="W220" si="1243">IF(OR(LEN(V220)=0,V220=0),"",V220-V219)</f>
        <v>595</v>
      </c>
      <c r="X220" s="10">
        <f>운전실적_원본!M220</f>
        <v>0</v>
      </c>
      <c r="Y220" s="10">
        <f>운전실적_원본!N220</f>
        <v>0</v>
      </c>
      <c r="Z220" s="10">
        <f>운전실적_원본!O220</f>
        <v>0</v>
      </c>
      <c r="AA220" s="10">
        <f>운전실적_원본!P220</f>
        <v>0</v>
      </c>
      <c r="AB220" s="10">
        <f>운전실적_원본!Q220</f>
        <v>0</v>
      </c>
      <c r="AC220" s="10">
        <f>운전실적_원본!R220</f>
        <v>0</v>
      </c>
      <c r="AD220" s="181">
        <f>운전실적_원본!S220</f>
        <v>0</v>
      </c>
      <c r="AE220" s="181">
        <f>운전실적_원본!T220</f>
        <v>0</v>
      </c>
      <c r="AF220" s="181">
        <f>운전실적_원본!U220</f>
        <v>0</v>
      </c>
      <c r="AG220" s="181">
        <f>운전실적_원본!V220</f>
        <v>0</v>
      </c>
      <c r="AH220" s="106">
        <f t="shared" si="1128"/>
        <v>0</v>
      </c>
      <c r="AI220" s="107">
        <f t="shared" si="1136"/>
        <v>0</v>
      </c>
      <c r="AJ220" s="107">
        <f t="shared" si="1137"/>
        <v>0</v>
      </c>
      <c r="AK220" s="204">
        <f t="shared" si="1138"/>
        <v>0</v>
      </c>
      <c r="AL220" s="103"/>
      <c r="AM220" s="103"/>
      <c r="AN220" s="103"/>
      <c r="AO220" s="103"/>
      <c r="AP220" s="103"/>
      <c r="AQ220" s="105"/>
      <c r="AR220" s="103"/>
      <c r="AS220" s="103"/>
      <c r="AT220" s="101"/>
      <c r="AU220" s="101"/>
      <c r="AV220" s="101"/>
      <c r="AW220" s="101"/>
      <c r="AX220" s="32">
        <f>운전실적_원본!W220</f>
        <v>0</v>
      </c>
      <c r="AY220" s="198">
        <f>운전실적_원본!X220</f>
        <v>0</v>
      </c>
      <c r="AZ220" s="198">
        <f>운전실적_원본!Y220</f>
        <v>0</v>
      </c>
      <c r="BA220" s="198">
        <f>운전실적_원본!Z220</f>
        <v>0</v>
      </c>
      <c r="BB220" s="198">
        <f>운전실적_원본!AA220</f>
        <v>0</v>
      </c>
      <c r="BC220" s="198">
        <f>운전실적_원본!AB220</f>
        <v>0</v>
      </c>
      <c r="BD220" s="32" t="str">
        <f t="shared" si="1121"/>
        <v>-</v>
      </c>
      <c r="BE220" s="11" t="str">
        <f t="shared" si="1129"/>
        <v>-</v>
      </c>
      <c r="BF220" s="11">
        <f>운전실적_원본!AE220</f>
        <v>0</v>
      </c>
      <c r="BG220" s="31">
        <f t="shared" si="1122"/>
        <v>0</v>
      </c>
    </row>
    <row r="221" spans="1:59">
      <c r="A221" s="6">
        <f t="shared" si="1130"/>
        <v>45873</v>
      </c>
      <c r="B221" s="15">
        <f>운전실적_원본!B221</f>
        <v>7328</v>
      </c>
      <c r="C221" s="16">
        <f t="shared" si="966"/>
        <v>30</v>
      </c>
      <c r="D221" s="9">
        <f>운전실적_원본!C221</f>
        <v>238944</v>
      </c>
      <c r="E221" s="199">
        <f t="shared" si="967"/>
        <v>0</v>
      </c>
      <c r="F221" s="9">
        <f>운전실적_원본!D221</f>
        <v>232921</v>
      </c>
      <c r="G221" s="16">
        <f t="shared" si="968"/>
        <v>119</v>
      </c>
      <c r="H221" s="15">
        <f>운전실적_원본!E221</f>
        <v>15523.54</v>
      </c>
      <c r="I221" s="16">
        <f t="shared" si="969"/>
        <v>19.080000000001746</v>
      </c>
      <c r="J221" s="15">
        <f>운전실적_원본!E221</f>
        <v>15523.54</v>
      </c>
      <c r="K221" s="16">
        <f t="shared" si="969"/>
        <v>19.080000000001746</v>
      </c>
      <c r="L221" s="15">
        <f>운전실적_원본!G221</f>
        <v>3898.1</v>
      </c>
      <c r="M221" s="31">
        <f t="shared" ref="M221" si="1244">IF(OR(LEN(L221)=0,L221=0),"",L221-L220)</f>
        <v>0.59999999999990905</v>
      </c>
      <c r="N221" s="15">
        <f>운전실적_원본!H221</f>
        <v>18618</v>
      </c>
      <c r="O221" s="16">
        <f t="shared" ref="O221" si="1245">IF(OR(LEN(N221)=0,N221=0),"",N221-N220)</f>
        <v>31</v>
      </c>
      <c r="P221" s="15">
        <f>운전실적_원본!I221</f>
        <v>281066</v>
      </c>
      <c r="Q221" s="16">
        <f t="shared" ref="Q221" si="1246">IF(OR(LEN(P221)=0,P221=0),"",P221-P220)</f>
        <v>165</v>
      </c>
      <c r="R221" s="18">
        <f>운전실적_원본!J221</f>
        <v>33.61</v>
      </c>
      <c r="S221" s="19">
        <f t="shared" ref="S221" si="1247">IF(OR(LEN(R221)=0,R221=0),"",R221-R220)</f>
        <v>0.13000000000000256</v>
      </c>
      <c r="T221" s="18">
        <f>운전실적_원본!K221</f>
        <v>33.229999999999997</v>
      </c>
      <c r="U221" s="19">
        <f t="shared" si="974"/>
        <v>0.11999999999999744</v>
      </c>
      <c r="V221" s="12">
        <f>운전실적_원본!L221</f>
        <v>8471</v>
      </c>
      <c r="W221" s="16">
        <f t="shared" ref="W221" si="1248">IF(OR(LEN(V221)=0,V221=0),"",V221-V220)</f>
        <v>-52</v>
      </c>
      <c r="X221" s="10">
        <f>운전실적_원본!M221</f>
        <v>0</v>
      </c>
      <c r="Y221" s="10">
        <f>운전실적_원본!N221</f>
        <v>0</v>
      </c>
      <c r="Z221" s="10">
        <f>운전실적_원본!O221</f>
        <v>0</v>
      </c>
      <c r="AA221" s="10">
        <f>운전실적_원본!P221</f>
        <v>0</v>
      </c>
      <c r="AB221" s="10">
        <f>운전실적_원본!Q221</f>
        <v>0</v>
      </c>
      <c r="AC221" s="10">
        <f>운전실적_원본!R221</f>
        <v>0</v>
      </c>
      <c r="AD221" s="181">
        <f>운전실적_원본!S221</f>
        <v>0</v>
      </c>
      <c r="AE221" s="181">
        <f>운전실적_원본!T221</f>
        <v>0</v>
      </c>
      <c r="AF221" s="181">
        <f>운전실적_원본!U221</f>
        <v>0</v>
      </c>
      <c r="AG221" s="181">
        <f>운전실적_원본!V221</f>
        <v>0</v>
      </c>
      <c r="AH221" s="106">
        <f t="shared" si="1128"/>
        <v>0</v>
      </c>
      <c r="AI221" s="107">
        <f t="shared" si="1136"/>
        <v>0</v>
      </c>
      <c r="AJ221" s="107">
        <f t="shared" si="1137"/>
        <v>0</v>
      </c>
      <c r="AK221" s="204">
        <f t="shared" si="1138"/>
        <v>0</v>
      </c>
      <c r="AL221" s="103"/>
      <c r="AM221" s="103"/>
      <c r="AN221" s="103"/>
      <c r="AO221" s="103"/>
      <c r="AP221" s="103"/>
      <c r="AQ221" s="105"/>
      <c r="AR221" s="103"/>
      <c r="AS221" s="103"/>
      <c r="AT221" s="101"/>
      <c r="AU221" s="101"/>
      <c r="AV221" s="101"/>
      <c r="AW221" s="101"/>
      <c r="AX221" s="32">
        <f>운전실적_원본!W221</f>
        <v>0</v>
      </c>
      <c r="AY221" s="198">
        <f>운전실적_원본!X221</f>
        <v>0</v>
      </c>
      <c r="AZ221" s="198">
        <f>운전실적_원본!Y221</f>
        <v>0</v>
      </c>
      <c r="BA221" s="198">
        <f>운전실적_원본!Z221</f>
        <v>0</v>
      </c>
      <c r="BB221" s="198">
        <f>운전실적_원본!AA221</f>
        <v>0</v>
      </c>
      <c r="BC221" s="198">
        <f>운전실적_원본!AB221</f>
        <v>0</v>
      </c>
      <c r="BD221" s="32" t="str">
        <f t="shared" si="1121"/>
        <v>-</v>
      </c>
      <c r="BE221" s="11" t="str">
        <f t="shared" si="1129"/>
        <v>-</v>
      </c>
      <c r="BF221" s="11">
        <f>운전실적_원본!AE221</f>
        <v>0</v>
      </c>
      <c r="BG221" s="31">
        <f t="shared" si="1122"/>
        <v>0</v>
      </c>
    </row>
    <row r="222" spans="1:59">
      <c r="A222" s="6">
        <f t="shared" si="1130"/>
        <v>45874</v>
      </c>
      <c r="B222" s="15">
        <f>운전실적_원본!B222</f>
        <v>7359</v>
      </c>
      <c r="C222" s="16">
        <f t="shared" si="966"/>
        <v>31</v>
      </c>
      <c r="D222" s="9">
        <f>운전실적_원본!C222</f>
        <v>239036</v>
      </c>
      <c r="E222" s="199">
        <f t="shared" si="967"/>
        <v>92</v>
      </c>
      <c r="F222" s="9">
        <f>운전실적_원본!D222</f>
        <v>232931</v>
      </c>
      <c r="G222" s="16">
        <f t="shared" si="968"/>
        <v>10</v>
      </c>
      <c r="H222" s="15">
        <f>운전실적_원본!E222</f>
        <v>15540.82</v>
      </c>
      <c r="I222" s="16">
        <f t="shared" si="969"/>
        <v>17.279999999998836</v>
      </c>
      <c r="J222" s="15">
        <f>운전실적_원본!E222</f>
        <v>15540.82</v>
      </c>
      <c r="K222" s="16">
        <f t="shared" si="969"/>
        <v>17.279999999998836</v>
      </c>
      <c r="L222" s="15">
        <f>운전실적_원본!G222</f>
        <v>3898.8</v>
      </c>
      <c r="M222" s="31">
        <f t="shared" ref="M222" si="1249">IF(OR(LEN(L222)=0,L222=0),"",L222-L221)</f>
        <v>0.70000000000027285</v>
      </c>
      <c r="N222" s="15">
        <f>운전실적_원본!H222</f>
        <v>18697</v>
      </c>
      <c r="O222" s="16">
        <f t="shared" ref="O222" si="1250">IF(OR(LEN(N222)=0,N222=0),"",N222-N221)</f>
        <v>79</v>
      </c>
      <c r="P222" s="15">
        <f>운전실적_원본!I222</f>
        <v>281227</v>
      </c>
      <c r="Q222" s="16">
        <f t="shared" ref="Q222" si="1251">IF(OR(LEN(P222)=0,P222=0),"",P222-P221)</f>
        <v>161</v>
      </c>
      <c r="R222" s="18">
        <f>운전실적_원본!J222</f>
        <v>33.74</v>
      </c>
      <c r="S222" s="19">
        <f t="shared" ref="S222" si="1252">IF(OR(LEN(R222)=0,R222=0),"",R222-R221)</f>
        <v>0.13000000000000256</v>
      </c>
      <c r="T222" s="18">
        <f>운전실적_원본!K222</f>
        <v>33.32</v>
      </c>
      <c r="U222" s="19">
        <f t="shared" si="974"/>
        <v>9.0000000000003411E-2</v>
      </c>
      <c r="V222" s="12">
        <f>운전실적_원본!L222</f>
        <v>8008</v>
      </c>
      <c r="W222" s="16">
        <f t="shared" ref="W222" si="1253">IF(OR(LEN(V222)=0,V222=0),"",V222-V221)</f>
        <v>-463</v>
      </c>
      <c r="X222" s="10">
        <f>운전실적_원본!M222</f>
        <v>0</v>
      </c>
      <c r="Y222" s="10">
        <f>운전실적_원본!N222</f>
        <v>0</v>
      </c>
      <c r="Z222" s="10">
        <f>운전실적_원본!O222</f>
        <v>0</v>
      </c>
      <c r="AA222" s="10">
        <f>운전실적_원본!P222</f>
        <v>0</v>
      </c>
      <c r="AB222" s="10">
        <f>운전실적_원본!Q222</f>
        <v>0</v>
      </c>
      <c r="AC222" s="10">
        <f>운전실적_원본!R222</f>
        <v>0</v>
      </c>
      <c r="AD222" s="181">
        <f>운전실적_원본!S222</f>
        <v>0</v>
      </c>
      <c r="AE222" s="181">
        <f>운전실적_원본!T222</f>
        <v>0</v>
      </c>
      <c r="AF222" s="181">
        <f>운전실적_원본!U222</f>
        <v>0</v>
      </c>
      <c r="AG222" s="181">
        <f>운전실적_원본!V222</f>
        <v>0</v>
      </c>
      <c r="AH222" s="106">
        <f t="shared" si="1128"/>
        <v>0</v>
      </c>
      <c r="AI222" s="107">
        <f t="shared" si="1136"/>
        <v>0</v>
      </c>
      <c r="AJ222" s="107">
        <f t="shared" si="1137"/>
        <v>0</v>
      </c>
      <c r="AK222" s="204">
        <f t="shared" si="1138"/>
        <v>0</v>
      </c>
      <c r="AL222" s="103"/>
      <c r="AM222" s="103"/>
      <c r="AN222" s="103"/>
      <c r="AO222" s="103"/>
      <c r="AP222" s="103"/>
      <c r="AQ222" s="105"/>
      <c r="AR222" s="103"/>
      <c r="AS222" s="103"/>
      <c r="AT222" s="101"/>
      <c r="AU222" s="101"/>
      <c r="AV222" s="101"/>
      <c r="AW222" s="101"/>
      <c r="AX222" s="32">
        <f>운전실적_원본!W222</f>
        <v>0</v>
      </c>
      <c r="AY222" s="198">
        <f>운전실적_원본!X222</f>
        <v>0</v>
      </c>
      <c r="AZ222" s="198">
        <f>운전실적_원본!Y222</f>
        <v>0</v>
      </c>
      <c r="BA222" s="198">
        <f>운전실적_원본!Z222</f>
        <v>0</v>
      </c>
      <c r="BB222" s="198">
        <f>운전실적_원본!AA222</f>
        <v>0</v>
      </c>
      <c r="BC222" s="198">
        <f>운전실적_원본!AB222</f>
        <v>0</v>
      </c>
      <c r="BD222" s="32" t="str">
        <f t="shared" si="1121"/>
        <v>-</v>
      </c>
      <c r="BE222" s="11" t="str">
        <f t="shared" si="1129"/>
        <v>-</v>
      </c>
      <c r="BF222" s="11">
        <f>운전실적_원본!AE222</f>
        <v>0</v>
      </c>
      <c r="BG222" s="31">
        <f t="shared" si="1122"/>
        <v>0</v>
      </c>
    </row>
    <row r="223" spans="1:59">
      <c r="A223" s="6">
        <f t="shared" si="1130"/>
        <v>45875</v>
      </c>
      <c r="B223" s="15">
        <f>운전실적_원본!B223</f>
        <v>7363</v>
      </c>
      <c r="C223" s="16">
        <f t="shared" si="966"/>
        <v>4</v>
      </c>
      <c r="D223" s="9">
        <f>운전실적_원본!C223</f>
        <v>239069</v>
      </c>
      <c r="E223" s="199">
        <f t="shared" si="967"/>
        <v>33</v>
      </c>
      <c r="F223" s="9">
        <f>운전실적_원본!D223</f>
        <v>232962</v>
      </c>
      <c r="G223" s="16">
        <f t="shared" si="968"/>
        <v>31</v>
      </c>
      <c r="H223" s="15">
        <f>운전실적_원본!E223</f>
        <v>15556.12</v>
      </c>
      <c r="I223" s="16">
        <f t="shared" si="969"/>
        <v>15.300000000001091</v>
      </c>
      <c r="J223" s="15">
        <f>운전실적_원본!E223</f>
        <v>15556.12</v>
      </c>
      <c r="K223" s="16">
        <f t="shared" si="969"/>
        <v>15.300000000001091</v>
      </c>
      <c r="L223" s="15">
        <f>운전실적_원본!G223</f>
        <v>3899.3</v>
      </c>
      <c r="M223" s="31">
        <f t="shared" ref="M223" si="1254">IF(OR(LEN(L223)=0,L223=0),"",L223-L222)</f>
        <v>0.5</v>
      </c>
      <c r="N223" s="15">
        <f>운전실적_원본!H223</f>
        <v>18702</v>
      </c>
      <c r="O223" s="16">
        <f t="shared" ref="O223" si="1255">IF(OR(LEN(N223)=0,N223=0),"",N223-N222)</f>
        <v>5</v>
      </c>
      <c r="P223" s="15">
        <f>운전실적_원본!I223</f>
        <v>281341</v>
      </c>
      <c r="Q223" s="16">
        <f t="shared" ref="Q223" si="1256">IF(OR(LEN(P223)=0,P223=0),"",P223-P222)</f>
        <v>114</v>
      </c>
      <c r="R223" s="18">
        <f>운전실적_원본!J223</f>
        <v>33.74</v>
      </c>
      <c r="S223" s="19">
        <f t="shared" ref="S223" si="1257">IF(OR(LEN(R223)=0,R223=0),"",R223-R222)</f>
        <v>0</v>
      </c>
      <c r="T223" s="18">
        <f>운전실적_원본!K223</f>
        <v>33.26</v>
      </c>
      <c r="U223" s="19">
        <f t="shared" si="974"/>
        <v>-6.0000000000002274E-2</v>
      </c>
      <c r="V223" s="12">
        <f>운전실적_원본!L223</f>
        <v>8659</v>
      </c>
      <c r="W223" s="16">
        <f t="shared" ref="W223" si="1258">IF(OR(LEN(V223)=0,V223=0),"",V223-V222)</f>
        <v>651</v>
      </c>
      <c r="X223" s="10">
        <f>운전실적_원본!M223</f>
        <v>0</v>
      </c>
      <c r="Y223" s="10">
        <f>운전실적_원본!N223</f>
        <v>0</v>
      </c>
      <c r="Z223" s="10">
        <f>운전실적_원본!O223</f>
        <v>0</v>
      </c>
      <c r="AA223" s="10">
        <f>운전실적_원본!P223</f>
        <v>0</v>
      </c>
      <c r="AB223" s="10">
        <f>운전실적_원본!Q223</f>
        <v>0</v>
      </c>
      <c r="AC223" s="10">
        <f>운전실적_원본!R223</f>
        <v>0</v>
      </c>
      <c r="AD223" s="181">
        <f>운전실적_원본!S223</f>
        <v>0</v>
      </c>
      <c r="AE223" s="181">
        <f>운전실적_원본!T223</f>
        <v>0</v>
      </c>
      <c r="AF223" s="181">
        <f>운전실적_원본!U223</f>
        <v>0</v>
      </c>
      <c r="AG223" s="181">
        <f>운전실적_원본!V223</f>
        <v>0</v>
      </c>
      <c r="AH223" s="106">
        <f t="shared" si="1128"/>
        <v>0</v>
      </c>
      <c r="AI223" s="107">
        <f t="shared" si="1136"/>
        <v>0</v>
      </c>
      <c r="AJ223" s="107">
        <f t="shared" si="1137"/>
        <v>0</v>
      </c>
      <c r="AK223" s="204">
        <f t="shared" si="1138"/>
        <v>0</v>
      </c>
      <c r="AL223" s="103"/>
      <c r="AM223" s="103"/>
      <c r="AN223" s="103"/>
      <c r="AO223" s="103"/>
      <c r="AP223" s="103"/>
      <c r="AQ223" s="105"/>
      <c r="AR223" s="103"/>
      <c r="AS223" s="103"/>
      <c r="AT223" s="101"/>
      <c r="AU223" s="101"/>
      <c r="AV223" s="101"/>
      <c r="AW223" s="101"/>
      <c r="AX223" s="32">
        <f>운전실적_원본!W223</f>
        <v>0</v>
      </c>
      <c r="AY223" s="198">
        <f>운전실적_원본!X223</f>
        <v>0</v>
      </c>
      <c r="AZ223" s="198">
        <f>운전실적_원본!Y223</f>
        <v>0</v>
      </c>
      <c r="BA223" s="198">
        <f>운전실적_원본!Z223</f>
        <v>0</v>
      </c>
      <c r="BB223" s="198">
        <f>운전실적_원본!AA223</f>
        <v>0</v>
      </c>
      <c r="BC223" s="198">
        <f>운전실적_원본!AB223</f>
        <v>0</v>
      </c>
      <c r="BD223" s="32" t="str">
        <f t="shared" si="1121"/>
        <v>-</v>
      </c>
      <c r="BE223" s="11" t="str">
        <f t="shared" si="1129"/>
        <v>-</v>
      </c>
      <c r="BF223" s="11">
        <f>운전실적_원본!AE223</f>
        <v>0</v>
      </c>
      <c r="BG223" s="31">
        <f t="shared" si="1122"/>
        <v>0</v>
      </c>
    </row>
    <row r="224" spans="1:59">
      <c r="A224" s="6">
        <f t="shared" si="1130"/>
        <v>45876</v>
      </c>
      <c r="B224" s="15">
        <f>운전실적_원본!B224</f>
        <v>7364</v>
      </c>
      <c r="C224" s="16">
        <f t="shared" si="966"/>
        <v>1</v>
      </c>
      <c r="D224" s="9">
        <f>운전실적_원본!C224</f>
        <v>239069</v>
      </c>
      <c r="E224" s="199">
        <f t="shared" si="967"/>
        <v>0</v>
      </c>
      <c r="F224" s="9">
        <f>운전실적_원본!D224</f>
        <v>232962</v>
      </c>
      <c r="G224" s="16">
        <f t="shared" si="968"/>
        <v>0</v>
      </c>
      <c r="H224" s="15">
        <f>운전실적_원본!E224</f>
        <v>15574.54</v>
      </c>
      <c r="I224" s="16">
        <f t="shared" si="969"/>
        <v>18.420000000000073</v>
      </c>
      <c r="J224" s="15">
        <f>운전실적_원본!E224</f>
        <v>15574.54</v>
      </c>
      <c r="K224" s="16">
        <f t="shared" si="969"/>
        <v>18.420000000000073</v>
      </c>
      <c r="L224" s="15">
        <f>운전실적_원본!G224</f>
        <v>3900</v>
      </c>
      <c r="M224" s="31">
        <f t="shared" ref="M224" si="1259">IF(OR(LEN(L224)=0,L224=0),"",L224-L223)</f>
        <v>0.6999999999998181</v>
      </c>
      <c r="N224" s="15">
        <f>운전실적_원본!H224</f>
        <v>18768</v>
      </c>
      <c r="O224" s="16">
        <f t="shared" ref="O224" si="1260">IF(OR(LEN(N224)=0,N224=0),"",N224-N223)</f>
        <v>66</v>
      </c>
      <c r="P224" s="15">
        <f>운전실적_원본!I224</f>
        <v>281368</v>
      </c>
      <c r="Q224" s="16">
        <f t="shared" ref="Q224" si="1261">IF(OR(LEN(P224)=0,P224=0),"",P224-P223)</f>
        <v>27</v>
      </c>
      <c r="R224" s="18">
        <f>운전실적_원본!J224</f>
        <v>33.78</v>
      </c>
      <c r="S224" s="19">
        <f t="shared" ref="S224" si="1262">IF(OR(LEN(R224)=0,R224=0),"",R224-R223)</f>
        <v>3.9999999999999147E-2</v>
      </c>
      <c r="T224" s="18">
        <f>운전실적_원본!K224</f>
        <v>33.32</v>
      </c>
      <c r="U224" s="19">
        <f t="shared" si="974"/>
        <v>6.0000000000002274E-2</v>
      </c>
      <c r="V224" s="12">
        <f>운전실적_원본!L224</f>
        <v>7860</v>
      </c>
      <c r="W224" s="16">
        <f t="shared" ref="W224" si="1263">IF(OR(LEN(V224)=0,V224=0),"",V224-V223)</f>
        <v>-799</v>
      </c>
      <c r="X224" s="10">
        <f>운전실적_원본!M224</f>
        <v>0</v>
      </c>
      <c r="Y224" s="10">
        <f>운전실적_원본!N224</f>
        <v>0</v>
      </c>
      <c r="Z224" s="10">
        <f>운전실적_원본!O224</f>
        <v>0</v>
      </c>
      <c r="AA224" s="10">
        <f>운전실적_원본!P224</f>
        <v>0</v>
      </c>
      <c r="AB224" s="10">
        <f>운전실적_원본!Q224</f>
        <v>0</v>
      </c>
      <c r="AC224" s="10">
        <f>운전실적_원본!R224</f>
        <v>0</v>
      </c>
      <c r="AD224" s="181">
        <f>운전실적_원본!S224</f>
        <v>0</v>
      </c>
      <c r="AE224" s="181">
        <f>운전실적_원본!T224</f>
        <v>0</v>
      </c>
      <c r="AF224" s="181">
        <f>운전실적_원본!U224</f>
        <v>0</v>
      </c>
      <c r="AG224" s="181">
        <f>운전실적_원본!V224</f>
        <v>0</v>
      </c>
      <c r="AH224" s="106">
        <f t="shared" si="1128"/>
        <v>0</v>
      </c>
      <c r="AI224" s="107">
        <f t="shared" si="1136"/>
        <v>0</v>
      </c>
      <c r="AJ224" s="107">
        <f t="shared" si="1137"/>
        <v>0</v>
      </c>
      <c r="AK224" s="204">
        <f t="shared" si="1138"/>
        <v>0</v>
      </c>
      <c r="AL224" s="103"/>
      <c r="AM224" s="103"/>
      <c r="AN224" s="103"/>
      <c r="AO224" s="103"/>
      <c r="AP224" s="103"/>
      <c r="AQ224" s="105"/>
      <c r="AR224" s="103"/>
      <c r="AS224" s="103"/>
      <c r="AT224" s="101"/>
      <c r="AU224" s="101"/>
      <c r="AV224" s="101"/>
      <c r="AW224" s="101"/>
      <c r="AX224" s="32">
        <f>운전실적_원본!W224</f>
        <v>0</v>
      </c>
      <c r="AY224" s="198">
        <f>운전실적_원본!X224</f>
        <v>0</v>
      </c>
      <c r="AZ224" s="198">
        <f>운전실적_원본!Y224</f>
        <v>0</v>
      </c>
      <c r="BA224" s="198">
        <f>운전실적_원본!Z224</f>
        <v>0</v>
      </c>
      <c r="BB224" s="198">
        <f>운전실적_원본!AA224</f>
        <v>0</v>
      </c>
      <c r="BC224" s="198">
        <f>운전실적_원본!AB224</f>
        <v>0</v>
      </c>
      <c r="BD224" s="32" t="str">
        <f t="shared" si="1121"/>
        <v>-</v>
      </c>
      <c r="BE224" s="11" t="str">
        <f t="shared" si="1129"/>
        <v>-</v>
      </c>
      <c r="BF224" s="11">
        <f>운전실적_원본!AE224</f>
        <v>0</v>
      </c>
      <c r="BG224" s="31">
        <f t="shared" si="1122"/>
        <v>0</v>
      </c>
    </row>
    <row r="225" spans="1:59">
      <c r="A225" s="6">
        <f t="shared" si="1130"/>
        <v>45877</v>
      </c>
      <c r="B225" s="15">
        <f>운전실적_원본!B225</f>
        <v>7364</v>
      </c>
      <c r="C225" s="16">
        <f t="shared" si="966"/>
        <v>0</v>
      </c>
      <c r="D225" s="9">
        <f>운전실적_원본!C225</f>
        <v>239069</v>
      </c>
      <c r="E225" s="199">
        <f t="shared" si="967"/>
        <v>0</v>
      </c>
      <c r="F225" s="9">
        <f>운전실적_원본!D225</f>
        <v>232996</v>
      </c>
      <c r="G225" s="16">
        <f t="shared" si="968"/>
        <v>34</v>
      </c>
      <c r="H225" s="15">
        <f>운전실적_원본!E225</f>
        <v>15592.5</v>
      </c>
      <c r="I225" s="16">
        <f t="shared" si="969"/>
        <v>17.959999999999127</v>
      </c>
      <c r="J225" s="15">
        <f>운전실적_원본!E225</f>
        <v>15592.5</v>
      </c>
      <c r="K225" s="16">
        <f t="shared" si="969"/>
        <v>17.959999999999127</v>
      </c>
      <c r="L225" s="15">
        <f>운전실적_원본!G225</f>
        <v>3900.3</v>
      </c>
      <c r="M225" s="31">
        <f t="shared" ref="M225" si="1264">IF(OR(LEN(L225)=0,L225=0),"",L225-L224)</f>
        <v>0.3000000000001819</v>
      </c>
      <c r="N225" s="15">
        <f>운전실적_원본!H225</f>
        <v>18768</v>
      </c>
      <c r="O225" s="16">
        <f t="shared" ref="O225" si="1265">IF(OR(LEN(N225)=0,N225=0),"",N225-N224)</f>
        <v>0</v>
      </c>
      <c r="P225" s="15">
        <f>운전실적_원본!I225</f>
        <v>281438</v>
      </c>
      <c r="Q225" s="16">
        <f t="shared" ref="Q225" si="1266">IF(OR(LEN(P225)=0,P225=0),"",P225-P224)</f>
        <v>70</v>
      </c>
      <c r="R225" s="18">
        <f>운전실적_원본!J225</f>
        <v>33.86</v>
      </c>
      <c r="S225" s="19">
        <f t="shared" ref="S225" si="1267">IF(OR(LEN(R225)=0,R225=0),"",R225-R224)</f>
        <v>7.9999999999998295E-2</v>
      </c>
      <c r="T225" s="18">
        <f>운전실적_원본!K225</f>
        <v>33.229999999999997</v>
      </c>
      <c r="U225" s="19">
        <f t="shared" si="974"/>
        <v>-9.0000000000003411E-2</v>
      </c>
      <c r="V225" s="12">
        <f>운전실적_원본!L225</f>
        <v>8392</v>
      </c>
      <c r="W225" s="16">
        <f t="shared" ref="W225" si="1268">IF(OR(LEN(V225)=0,V225=0),"",V225-V224)</f>
        <v>532</v>
      </c>
      <c r="X225" s="10">
        <f>운전실적_원본!M225</f>
        <v>0</v>
      </c>
      <c r="Y225" s="10">
        <f>운전실적_원본!N225</f>
        <v>0</v>
      </c>
      <c r="Z225" s="10">
        <f>운전실적_원본!O225</f>
        <v>0</v>
      </c>
      <c r="AA225" s="10">
        <f>운전실적_원본!P225</f>
        <v>0</v>
      </c>
      <c r="AB225" s="10">
        <f>운전실적_원본!Q225</f>
        <v>0</v>
      </c>
      <c r="AC225" s="10">
        <f>운전실적_원본!R225</f>
        <v>0</v>
      </c>
      <c r="AD225" s="181">
        <f>운전실적_원본!S225</f>
        <v>0</v>
      </c>
      <c r="AE225" s="181">
        <f>운전실적_원본!T225</f>
        <v>0</v>
      </c>
      <c r="AF225" s="181">
        <f>운전실적_원본!U225</f>
        <v>0</v>
      </c>
      <c r="AG225" s="181">
        <f>운전실적_원본!V225</f>
        <v>0</v>
      </c>
      <c r="AH225" s="106">
        <f t="shared" si="1128"/>
        <v>0</v>
      </c>
      <c r="AI225" s="107">
        <f t="shared" si="1136"/>
        <v>0</v>
      </c>
      <c r="AJ225" s="107">
        <f t="shared" si="1137"/>
        <v>0</v>
      </c>
      <c r="AK225" s="204">
        <f t="shared" si="1138"/>
        <v>0</v>
      </c>
      <c r="AL225" s="103"/>
      <c r="AM225" s="103"/>
      <c r="AN225" s="103"/>
      <c r="AO225" s="103"/>
      <c r="AP225" s="103"/>
      <c r="AQ225" s="105"/>
      <c r="AR225" s="103"/>
      <c r="AS225" s="103"/>
      <c r="AT225" s="101"/>
      <c r="AU225" s="101"/>
      <c r="AV225" s="101"/>
      <c r="AW225" s="101"/>
      <c r="AX225" s="32">
        <f>운전실적_원본!W225</f>
        <v>0</v>
      </c>
      <c r="AY225" s="198">
        <f>운전실적_원본!X225</f>
        <v>0</v>
      </c>
      <c r="AZ225" s="198">
        <f>운전실적_원본!Y225</f>
        <v>0</v>
      </c>
      <c r="BA225" s="198">
        <f>운전실적_원본!Z225</f>
        <v>0</v>
      </c>
      <c r="BB225" s="198">
        <f>운전실적_원본!AA225</f>
        <v>0</v>
      </c>
      <c r="BC225" s="198">
        <f>운전실적_원본!AB225</f>
        <v>0</v>
      </c>
      <c r="BD225" s="32" t="str">
        <f t="shared" si="1121"/>
        <v>-</v>
      </c>
      <c r="BE225" s="11" t="str">
        <f t="shared" si="1129"/>
        <v>-</v>
      </c>
      <c r="BF225" s="11">
        <f>운전실적_원본!AE225</f>
        <v>0</v>
      </c>
      <c r="BG225" s="31">
        <f t="shared" si="1122"/>
        <v>0</v>
      </c>
    </row>
    <row r="226" spans="1:59">
      <c r="A226" s="6">
        <f t="shared" si="1130"/>
        <v>45878</v>
      </c>
      <c r="B226" s="15">
        <f>운전실적_원본!B226</f>
        <v>7364</v>
      </c>
      <c r="C226" s="16">
        <f t="shared" si="966"/>
        <v>0</v>
      </c>
      <c r="D226" s="9">
        <f>운전실적_원본!C226</f>
        <v>239069</v>
      </c>
      <c r="E226" s="199">
        <f t="shared" si="967"/>
        <v>0</v>
      </c>
      <c r="F226" s="9">
        <f>운전실적_원본!D226</f>
        <v>232996</v>
      </c>
      <c r="G226" s="16">
        <f t="shared" si="968"/>
        <v>0</v>
      </c>
      <c r="H226" s="15">
        <f>운전실적_원본!E226</f>
        <v>15606</v>
      </c>
      <c r="I226" s="16">
        <f t="shared" si="969"/>
        <v>13.5</v>
      </c>
      <c r="J226" s="15">
        <f>운전실적_원본!E226</f>
        <v>15606</v>
      </c>
      <c r="K226" s="16">
        <f t="shared" si="969"/>
        <v>13.5</v>
      </c>
      <c r="L226" s="15">
        <f>운전실적_원본!G226</f>
        <v>3900.6</v>
      </c>
      <c r="M226" s="31">
        <f t="shared" ref="M226" si="1269">IF(OR(LEN(L226)=0,L226=0),"",L226-L225)</f>
        <v>0.29999999999972715</v>
      </c>
      <c r="N226" s="15">
        <f>운전실적_원본!H226</f>
        <v>18768</v>
      </c>
      <c r="O226" s="16">
        <f t="shared" ref="O226" si="1270">IF(OR(LEN(N226)=0,N226=0),"",N226-N225)</f>
        <v>0</v>
      </c>
      <c r="P226" s="15">
        <f>운전실적_원본!I226</f>
        <v>281463</v>
      </c>
      <c r="Q226" s="16">
        <f t="shared" ref="Q226" si="1271">IF(OR(LEN(P226)=0,P226=0),"",P226-P225)</f>
        <v>25</v>
      </c>
      <c r="R226" s="18">
        <f>운전실적_원본!J226</f>
        <v>33.56</v>
      </c>
      <c r="S226" s="19">
        <f t="shared" ref="S226" si="1272">IF(OR(LEN(R226)=0,R226=0),"",R226-R225)</f>
        <v>-0.29999999999999716</v>
      </c>
      <c r="T226" s="18">
        <f>운전실적_원본!K226</f>
        <v>33</v>
      </c>
      <c r="U226" s="19">
        <f t="shared" si="974"/>
        <v>-0.22999999999999687</v>
      </c>
      <c r="V226" s="12">
        <f>운전실적_원본!L226</f>
        <v>8199</v>
      </c>
      <c r="W226" s="16">
        <f t="shared" ref="W226" si="1273">IF(OR(LEN(V226)=0,V226=0),"",V226-V225)</f>
        <v>-193</v>
      </c>
      <c r="X226" s="10">
        <f>운전실적_원본!M226</f>
        <v>0</v>
      </c>
      <c r="Y226" s="10">
        <f>운전실적_원본!N226</f>
        <v>0</v>
      </c>
      <c r="Z226" s="10">
        <f>운전실적_원본!O226</f>
        <v>0</v>
      </c>
      <c r="AA226" s="10">
        <f>운전실적_원본!P226</f>
        <v>0</v>
      </c>
      <c r="AB226" s="10">
        <f>운전실적_원본!Q226</f>
        <v>0</v>
      </c>
      <c r="AC226" s="10">
        <f>운전실적_원본!R226</f>
        <v>0</v>
      </c>
      <c r="AD226" s="181">
        <f>운전실적_원본!S226</f>
        <v>0</v>
      </c>
      <c r="AE226" s="181">
        <f>운전실적_원본!T226</f>
        <v>0</v>
      </c>
      <c r="AF226" s="181">
        <f>운전실적_원본!U226</f>
        <v>0</v>
      </c>
      <c r="AG226" s="181">
        <f>운전실적_원본!V226</f>
        <v>0</v>
      </c>
      <c r="AH226" s="106">
        <f t="shared" si="1128"/>
        <v>0</v>
      </c>
      <c r="AI226" s="107">
        <f t="shared" si="1136"/>
        <v>0</v>
      </c>
      <c r="AJ226" s="107">
        <f t="shared" si="1137"/>
        <v>0</v>
      </c>
      <c r="AK226" s="204">
        <f t="shared" si="1138"/>
        <v>0</v>
      </c>
      <c r="AL226" s="103"/>
      <c r="AM226" s="103"/>
      <c r="AN226" s="103"/>
      <c r="AO226" s="103"/>
      <c r="AP226" s="103"/>
      <c r="AQ226" s="105"/>
      <c r="AR226" s="103"/>
      <c r="AS226" s="103"/>
      <c r="AT226" s="101"/>
      <c r="AU226" s="101"/>
      <c r="AV226" s="101"/>
      <c r="AW226" s="101"/>
      <c r="AX226" s="32">
        <f>운전실적_원본!W226</f>
        <v>0</v>
      </c>
      <c r="AY226" s="198">
        <f>운전실적_원본!X226</f>
        <v>0</v>
      </c>
      <c r="AZ226" s="198">
        <f>운전실적_원본!Y226</f>
        <v>0</v>
      </c>
      <c r="BA226" s="198">
        <f>운전실적_원본!Z226</f>
        <v>0</v>
      </c>
      <c r="BB226" s="198">
        <f>운전실적_원본!AA226</f>
        <v>0</v>
      </c>
      <c r="BC226" s="198">
        <f>운전실적_원본!AB226</f>
        <v>0</v>
      </c>
      <c r="BD226" s="32" t="str">
        <f t="shared" si="1121"/>
        <v>-</v>
      </c>
      <c r="BE226" s="11" t="str">
        <f t="shared" si="1129"/>
        <v>-</v>
      </c>
      <c r="BF226" s="11">
        <f>운전실적_원본!AE226</f>
        <v>0</v>
      </c>
      <c r="BG226" s="31">
        <f t="shared" si="1122"/>
        <v>0</v>
      </c>
    </row>
    <row r="227" spans="1:59">
      <c r="A227" s="6">
        <f t="shared" si="1130"/>
        <v>45879</v>
      </c>
      <c r="B227" s="15">
        <f>운전실적_원본!B227</f>
        <v>7383</v>
      </c>
      <c r="C227" s="16">
        <f t="shared" si="966"/>
        <v>19</v>
      </c>
      <c r="D227" s="9">
        <f>운전실적_원본!C227</f>
        <v>239069</v>
      </c>
      <c r="E227" s="199">
        <f t="shared" si="967"/>
        <v>0</v>
      </c>
      <c r="F227" s="9">
        <f>운전실적_원본!D227</f>
        <v>233043</v>
      </c>
      <c r="G227" s="16">
        <f t="shared" si="968"/>
        <v>47</v>
      </c>
      <c r="H227" s="15">
        <f>운전실적_원본!E227</f>
        <v>15620.29</v>
      </c>
      <c r="I227" s="16">
        <f t="shared" si="969"/>
        <v>14.290000000000873</v>
      </c>
      <c r="J227" s="15">
        <f>운전실적_원본!E227</f>
        <v>15620.29</v>
      </c>
      <c r="K227" s="16">
        <f t="shared" si="969"/>
        <v>14.290000000000873</v>
      </c>
      <c r="L227" s="15">
        <f>운전실적_원본!G227</f>
        <v>3900.9</v>
      </c>
      <c r="M227" s="31">
        <f t="shared" ref="M227" si="1274">IF(OR(LEN(L227)=0,L227=0),"",L227-L226)</f>
        <v>0.3000000000001819</v>
      </c>
      <c r="N227" s="15">
        <f>운전실적_원본!H227</f>
        <v>18768</v>
      </c>
      <c r="O227" s="16">
        <f t="shared" ref="O227" si="1275">IF(OR(LEN(N227)=0,N227=0),"",N227-N226)</f>
        <v>0</v>
      </c>
      <c r="P227" s="15">
        <f>운전실적_원본!I227</f>
        <v>281533</v>
      </c>
      <c r="Q227" s="16">
        <f t="shared" ref="Q227" si="1276">IF(OR(LEN(P227)=0,P227=0),"",P227-P226)</f>
        <v>70</v>
      </c>
      <c r="R227" s="18">
        <f>운전실적_원본!J227</f>
        <v>33.229999999999997</v>
      </c>
      <c r="S227" s="19">
        <f t="shared" ref="S227" si="1277">IF(OR(LEN(R227)=0,R227=0),"",R227-R226)</f>
        <v>-0.3300000000000054</v>
      </c>
      <c r="T227" s="18">
        <f>운전실적_원본!K227</f>
        <v>32.89</v>
      </c>
      <c r="U227" s="19">
        <f t="shared" si="974"/>
        <v>-0.10999999999999943</v>
      </c>
      <c r="V227" s="12">
        <f>운전실적_원본!L227</f>
        <v>7687</v>
      </c>
      <c r="W227" s="16">
        <f t="shared" ref="W227" si="1278">IF(OR(LEN(V227)=0,V227=0),"",V227-V226)</f>
        <v>-512</v>
      </c>
      <c r="X227" s="10">
        <f>운전실적_원본!M227</f>
        <v>0</v>
      </c>
      <c r="Y227" s="10">
        <f>운전실적_원본!N227</f>
        <v>0</v>
      </c>
      <c r="Z227" s="10">
        <f>운전실적_원본!O227</f>
        <v>0</v>
      </c>
      <c r="AA227" s="10">
        <f>운전실적_원본!P227</f>
        <v>0</v>
      </c>
      <c r="AB227" s="10">
        <f>운전실적_원본!Q227</f>
        <v>0</v>
      </c>
      <c r="AC227" s="10">
        <f>운전실적_원본!R227</f>
        <v>0</v>
      </c>
      <c r="AD227" s="181">
        <f>운전실적_원본!S227</f>
        <v>0</v>
      </c>
      <c r="AE227" s="181">
        <f>운전실적_원본!T227</f>
        <v>0</v>
      </c>
      <c r="AF227" s="181">
        <f>운전실적_원본!U227</f>
        <v>0</v>
      </c>
      <c r="AG227" s="181">
        <f>운전실적_원본!V227</f>
        <v>0</v>
      </c>
      <c r="AH227" s="106">
        <f t="shared" si="1128"/>
        <v>0</v>
      </c>
      <c r="AI227" s="107">
        <f t="shared" si="1136"/>
        <v>0</v>
      </c>
      <c r="AJ227" s="107">
        <f t="shared" si="1137"/>
        <v>0</v>
      </c>
      <c r="AK227" s="204">
        <f t="shared" si="1138"/>
        <v>0</v>
      </c>
      <c r="AL227" s="103"/>
      <c r="AM227" s="103"/>
      <c r="AN227" s="103"/>
      <c r="AO227" s="103"/>
      <c r="AP227" s="103"/>
      <c r="AQ227" s="105"/>
      <c r="AR227" s="103"/>
      <c r="AS227" s="103"/>
      <c r="AT227" s="101"/>
      <c r="AU227" s="101"/>
      <c r="AV227" s="101"/>
      <c r="AW227" s="101"/>
      <c r="AX227" s="32">
        <f>운전실적_원본!W227</f>
        <v>0</v>
      </c>
      <c r="AY227" s="198">
        <f>운전실적_원본!X227</f>
        <v>0</v>
      </c>
      <c r="AZ227" s="198">
        <f>운전실적_원본!Y227</f>
        <v>0</v>
      </c>
      <c r="BA227" s="198">
        <f>운전실적_원본!Z227</f>
        <v>0</v>
      </c>
      <c r="BB227" s="198">
        <f>운전실적_원본!AA227</f>
        <v>0</v>
      </c>
      <c r="BC227" s="198">
        <f>운전실적_원본!AB227</f>
        <v>0</v>
      </c>
      <c r="BD227" s="32" t="str">
        <f t="shared" si="1121"/>
        <v>-</v>
      </c>
      <c r="BE227" s="11" t="str">
        <f t="shared" si="1129"/>
        <v>-</v>
      </c>
      <c r="BF227" s="11">
        <f>운전실적_원본!AE227</f>
        <v>0</v>
      </c>
      <c r="BG227" s="31">
        <f t="shared" si="1122"/>
        <v>0</v>
      </c>
    </row>
    <row r="228" spans="1:59">
      <c r="A228" s="6">
        <f t="shared" si="1130"/>
        <v>45880</v>
      </c>
      <c r="B228" s="15">
        <f>운전실적_원본!B228</f>
        <v>7417</v>
      </c>
      <c r="C228" s="16">
        <f t="shared" si="966"/>
        <v>34</v>
      </c>
      <c r="D228" s="9">
        <f>운전실적_원본!C228</f>
        <v>239069</v>
      </c>
      <c r="E228" s="199">
        <f t="shared" si="967"/>
        <v>0</v>
      </c>
      <c r="F228" s="9">
        <f>운전실적_원본!D228</f>
        <v>233138</v>
      </c>
      <c r="G228" s="16">
        <f t="shared" si="968"/>
        <v>95</v>
      </c>
      <c r="H228" s="15">
        <f>운전실적_원본!E228</f>
        <v>15637.21</v>
      </c>
      <c r="I228" s="16">
        <f t="shared" si="969"/>
        <v>16.919999999998254</v>
      </c>
      <c r="J228" s="15">
        <f>운전실적_원본!E228</f>
        <v>15637.21</v>
      </c>
      <c r="K228" s="16">
        <f t="shared" si="969"/>
        <v>16.919999999998254</v>
      </c>
      <c r="L228" s="15">
        <f>운전실적_원본!G228</f>
        <v>3901.4</v>
      </c>
      <c r="M228" s="31">
        <f t="shared" ref="M228" si="1279">IF(OR(LEN(L228)=0,L228=0),"",L228-L227)</f>
        <v>0.5</v>
      </c>
      <c r="N228" s="15">
        <f>운전실적_원본!H228</f>
        <v>18812</v>
      </c>
      <c r="O228" s="16">
        <f t="shared" ref="O228" si="1280">IF(OR(LEN(N228)=0,N228=0),"",N228-N227)</f>
        <v>44</v>
      </c>
      <c r="P228" s="15">
        <f>운전실적_원본!I228</f>
        <v>281650</v>
      </c>
      <c r="Q228" s="16">
        <f t="shared" ref="Q228" si="1281">IF(OR(LEN(P228)=0,P228=0),"",P228-P227)</f>
        <v>117</v>
      </c>
      <c r="R228" s="18">
        <f>운전실적_원본!J228</f>
        <v>33.119999999999997</v>
      </c>
      <c r="S228" s="19">
        <f t="shared" ref="S228" si="1282">IF(OR(LEN(R228)=0,R228=0),"",R228-R227)</f>
        <v>-0.10999999999999943</v>
      </c>
      <c r="T228" s="18">
        <f>운전실적_원본!K228</f>
        <v>32.78</v>
      </c>
      <c r="U228" s="19">
        <f t="shared" si="974"/>
        <v>-0.10999999999999943</v>
      </c>
      <c r="V228" s="12">
        <f>운전실적_원본!L228</f>
        <v>8185</v>
      </c>
      <c r="W228" s="16">
        <f t="shared" ref="W228" si="1283">IF(OR(LEN(V228)=0,V228=0),"",V228-V227)</f>
        <v>498</v>
      </c>
      <c r="X228" s="10">
        <f>운전실적_원본!M228</f>
        <v>0</v>
      </c>
      <c r="Y228" s="10">
        <f>운전실적_원본!N228</f>
        <v>0</v>
      </c>
      <c r="Z228" s="10">
        <f>운전실적_원본!O228</f>
        <v>0</v>
      </c>
      <c r="AA228" s="10">
        <f>운전실적_원본!P228</f>
        <v>0</v>
      </c>
      <c r="AB228" s="10">
        <f>운전실적_원본!Q228</f>
        <v>0</v>
      </c>
      <c r="AC228" s="10">
        <f>운전실적_원본!R228</f>
        <v>0</v>
      </c>
      <c r="AD228" s="181">
        <f>운전실적_원본!S228</f>
        <v>0</v>
      </c>
      <c r="AE228" s="181">
        <f>운전실적_원본!T228</f>
        <v>0</v>
      </c>
      <c r="AF228" s="181">
        <f>운전실적_원본!U228</f>
        <v>0</v>
      </c>
      <c r="AG228" s="181">
        <f>운전실적_원본!V228</f>
        <v>0</v>
      </c>
      <c r="AH228" s="106">
        <f t="shared" si="1128"/>
        <v>0</v>
      </c>
      <c r="AI228" s="107">
        <f t="shared" si="1136"/>
        <v>0</v>
      </c>
      <c r="AJ228" s="107">
        <f t="shared" si="1137"/>
        <v>0</v>
      </c>
      <c r="AK228" s="204">
        <f t="shared" si="1138"/>
        <v>0</v>
      </c>
      <c r="AL228" s="103"/>
      <c r="AM228" s="103"/>
      <c r="AN228" s="103"/>
      <c r="AO228" s="103"/>
      <c r="AP228" s="103"/>
      <c r="AQ228" s="105"/>
      <c r="AR228" s="103"/>
      <c r="AS228" s="103"/>
      <c r="AT228" s="101"/>
      <c r="AU228" s="101"/>
      <c r="AV228" s="101"/>
      <c r="AW228" s="101"/>
      <c r="AX228" s="32">
        <f>운전실적_원본!W228</f>
        <v>0</v>
      </c>
      <c r="AY228" s="198">
        <f>운전실적_원본!X228</f>
        <v>0</v>
      </c>
      <c r="AZ228" s="198">
        <f>운전실적_원본!Y228</f>
        <v>0</v>
      </c>
      <c r="BA228" s="198">
        <f>운전실적_원본!Z228</f>
        <v>0</v>
      </c>
      <c r="BB228" s="198">
        <f>운전실적_원본!AA228</f>
        <v>0</v>
      </c>
      <c r="BC228" s="198">
        <f>운전실적_원본!AB228</f>
        <v>0</v>
      </c>
      <c r="BD228" s="32" t="str">
        <f t="shared" si="1121"/>
        <v>-</v>
      </c>
      <c r="BE228" s="11" t="str">
        <f t="shared" si="1129"/>
        <v>-</v>
      </c>
      <c r="BF228" s="11">
        <f>운전실적_원본!AE228</f>
        <v>0</v>
      </c>
      <c r="BG228" s="31">
        <f t="shared" si="1122"/>
        <v>0</v>
      </c>
    </row>
    <row r="229" spans="1:59">
      <c r="A229" s="6">
        <f t="shared" si="1130"/>
        <v>45881</v>
      </c>
      <c r="B229" s="15">
        <f>운전실적_원본!B229</f>
        <v>7448</v>
      </c>
      <c r="C229" s="16">
        <f t="shared" si="966"/>
        <v>31</v>
      </c>
      <c r="D229" s="9">
        <f>운전실적_원본!C229</f>
        <v>239145</v>
      </c>
      <c r="E229" s="199">
        <f t="shared" si="967"/>
        <v>76</v>
      </c>
      <c r="F229" s="9">
        <f>운전실적_원본!D229</f>
        <v>233186</v>
      </c>
      <c r="G229" s="16">
        <f t="shared" si="968"/>
        <v>48</v>
      </c>
      <c r="H229" s="15">
        <f>운전실적_원본!E229</f>
        <v>15654.93</v>
      </c>
      <c r="I229" s="16">
        <f t="shared" si="969"/>
        <v>17.720000000001164</v>
      </c>
      <c r="J229" s="15">
        <f>운전실적_원본!E229</f>
        <v>15654.93</v>
      </c>
      <c r="K229" s="16">
        <f t="shared" si="969"/>
        <v>17.720000000001164</v>
      </c>
      <c r="L229" s="15">
        <f>운전실적_원본!G229</f>
        <v>3901.9</v>
      </c>
      <c r="M229" s="31">
        <f t="shared" ref="M229" si="1284">IF(OR(LEN(L229)=0,L229=0),"",L229-L228)</f>
        <v>0.5</v>
      </c>
      <c r="N229" s="15">
        <f>운전실적_원본!H229</f>
        <v>18858</v>
      </c>
      <c r="O229" s="16">
        <f t="shared" ref="O229" si="1285">IF(OR(LEN(N229)=0,N229=0),"",N229-N228)</f>
        <v>46</v>
      </c>
      <c r="P229" s="15">
        <f>운전실적_원본!I229</f>
        <v>281851</v>
      </c>
      <c r="Q229" s="16">
        <f t="shared" ref="Q229" si="1286">IF(OR(LEN(P229)=0,P229=0),"",P229-P228)</f>
        <v>201</v>
      </c>
      <c r="R229" s="18">
        <f>운전실적_원본!J229</f>
        <v>33.18</v>
      </c>
      <c r="S229" s="19">
        <f t="shared" ref="S229" si="1287">IF(OR(LEN(R229)=0,R229=0),"",R229-R228)</f>
        <v>6.0000000000002274E-2</v>
      </c>
      <c r="T229" s="18">
        <f>운전실적_원본!K229</f>
        <v>32.64</v>
      </c>
      <c r="U229" s="19">
        <f t="shared" si="974"/>
        <v>-0.14000000000000057</v>
      </c>
      <c r="V229" s="12">
        <f>운전실적_원본!L229</f>
        <v>8511</v>
      </c>
      <c r="W229" s="16">
        <f t="shared" ref="W229" si="1288">IF(OR(LEN(V229)=0,V229=0),"",V229-V228)</f>
        <v>326</v>
      </c>
      <c r="X229" s="10">
        <f>운전실적_원본!M229</f>
        <v>0</v>
      </c>
      <c r="Y229" s="10">
        <f>운전실적_원본!N229</f>
        <v>0</v>
      </c>
      <c r="Z229" s="10">
        <f>운전실적_원본!O229</f>
        <v>0</v>
      </c>
      <c r="AA229" s="10">
        <f>운전실적_원본!P229</f>
        <v>0</v>
      </c>
      <c r="AB229" s="10">
        <f>운전실적_원본!Q229</f>
        <v>0</v>
      </c>
      <c r="AC229" s="10">
        <f>운전실적_원본!R229</f>
        <v>0</v>
      </c>
      <c r="AD229" s="181">
        <f>운전실적_원본!S229</f>
        <v>0</v>
      </c>
      <c r="AE229" s="181">
        <f>운전실적_원본!T229</f>
        <v>0</v>
      </c>
      <c r="AF229" s="181">
        <f>운전실적_원본!U229</f>
        <v>0</v>
      </c>
      <c r="AG229" s="181">
        <f>운전실적_원본!V229</f>
        <v>0</v>
      </c>
      <c r="AH229" s="106">
        <f t="shared" si="1128"/>
        <v>0</v>
      </c>
      <c r="AI229" s="107">
        <f t="shared" si="1136"/>
        <v>0</v>
      </c>
      <c r="AJ229" s="107">
        <f t="shared" si="1137"/>
        <v>0</v>
      </c>
      <c r="AK229" s="204">
        <f t="shared" si="1138"/>
        <v>0</v>
      </c>
      <c r="AL229" s="103"/>
      <c r="AM229" s="103"/>
      <c r="AN229" s="103"/>
      <c r="AO229" s="103"/>
      <c r="AP229" s="103"/>
      <c r="AQ229" s="105"/>
      <c r="AR229" s="103"/>
      <c r="AS229" s="103"/>
      <c r="AT229" s="101"/>
      <c r="AU229" s="101"/>
      <c r="AV229" s="101"/>
      <c r="AW229" s="101"/>
      <c r="AX229" s="32">
        <f>운전실적_원본!W229</f>
        <v>0</v>
      </c>
      <c r="AY229" s="198">
        <f>운전실적_원본!X229</f>
        <v>0</v>
      </c>
      <c r="AZ229" s="198">
        <f>운전실적_원본!Y229</f>
        <v>0</v>
      </c>
      <c r="BA229" s="198">
        <f>운전실적_원본!Z229</f>
        <v>0</v>
      </c>
      <c r="BB229" s="198">
        <f>운전실적_원본!AA229</f>
        <v>0</v>
      </c>
      <c r="BC229" s="198">
        <f>운전실적_원본!AB229</f>
        <v>0</v>
      </c>
      <c r="BD229" s="32" t="str">
        <f t="shared" si="1121"/>
        <v>-</v>
      </c>
      <c r="BE229" s="11" t="str">
        <f t="shared" si="1129"/>
        <v>-</v>
      </c>
      <c r="BF229" s="11">
        <f>운전실적_원본!AE229</f>
        <v>0</v>
      </c>
      <c r="BG229" s="31">
        <f t="shared" si="1122"/>
        <v>0</v>
      </c>
    </row>
    <row r="230" spans="1:59">
      <c r="A230" s="6">
        <f t="shared" si="1130"/>
        <v>45882</v>
      </c>
      <c r="B230" s="15">
        <f>운전실적_원본!B230</f>
        <v>7480</v>
      </c>
      <c r="C230" s="16">
        <f t="shared" si="966"/>
        <v>32</v>
      </c>
      <c r="D230" s="9">
        <f>운전실적_원본!C230</f>
        <v>239212</v>
      </c>
      <c r="E230" s="199">
        <f t="shared" si="967"/>
        <v>67</v>
      </c>
      <c r="F230" s="9">
        <f>운전실적_원본!D230</f>
        <v>233186</v>
      </c>
      <c r="G230" s="16">
        <f t="shared" si="968"/>
        <v>0</v>
      </c>
      <c r="H230" s="15">
        <f>운전실적_원본!E230</f>
        <v>15668.35</v>
      </c>
      <c r="I230" s="16">
        <f t="shared" si="969"/>
        <v>13.420000000000073</v>
      </c>
      <c r="J230" s="15">
        <f>운전실적_원본!E230</f>
        <v>15668.35</v>
      </c>
      <c r="K230" s="16">
        <f t="shared" si="969"/>
        <v>13.420000000000073</v>
      </c>
      <c r="L230" s="15">
        <f>운전실적_원본!G230</f>
        <v>3902.3</v>
      </c>
      <c r="M230" s="31">
        <f t="shared" ref="M230" si="1289">IF(OR(LEN(L230)=0,L230=0),"",L230-L229)</f>
        <v>0.40000000000009095</v>
      </c>
      <c r="N230" s="15">
        <f>운전실적_원본!H230</f>
        <v>18858</v>
      </c>
      <c r="O230" s="16">
        <f t="shared" ref="O230" si="1290">IF(OR(LEN(N230)=0,N230=0),"",N230-N229)</f>
        <v>0</v>
      </c>
      <c r="P230" s="15">
        <f>운전실적_원본!I230</f>
        <v>281922</v>
      </c>
      <c r="Q230" s="16">
        <f t="shared" ref="Q230" si="1291">IF(OR(LEN(P230)=0,P230=0),"",P230-P229)</f>
        <v>71</v>
      </c>
      <c r="R230" s="18">
        <f>운전실적_원본!J230</f>
        <v>33.18</v>
      </c>
      <c r="S230" s="19">
        <f t="shared" ref="S230" si="1292">IF(OR(LEN(R230)=0,R230=0),"",R230-R229)</f>
        <v>0</v>
      </c>
      <c r="T230" s="18">
        <f>운전실적_원본!K230</f>
        <v>32.53</v>
      </c>
      <c r="U230" s="19">
        <f t="shared" si="974"/>
        <v>-0.10999999999999943</v>
      </c>
      <c r="V230" s="12">
        <f>운전실적_원본!L230</f>
        <v>7752</v>
      </c>
      <c r="W230" s="16">
        <f t="shared" ref="W230" si="1293">IF(OR(LEN(V230)=0,V230=0),"",V230-V229)</f>
        <v>-759</v>
      </c>
      <c r="X230" s="10">
        <f>운전실적_원본!M230</f>
        <v>0</v>
      </c>
      <c r="Y230" s="10">
        <f>운전실적_원본!N230</f>
        <v>0</v>
      </c>
      <c r="Z230" s="10">
        <f>운전실적_원본!O230</f>
        <v>0</v>
      </c>
      <c r="AA230" s="10">
        <f>운전실적_원본!P230</f>
        <v>0</v>
      </c>
      <c r="AB230" s="10">
        <f>운전실적_원본!Q230</f>
        <v>0</v>
      </c>
      <c r="AC230" s="10">
        <f>운전실적_원본!R230</f>
        <v>0</v>
      </c>
      <c r="AD230" s="181">
        <f>운전실적_원본!S230</f>
        <v>0</v>
      </c>
      <c r="AE230" s="181">
        <f>운전실적_원본!T230</f>
        <v>0</v>
      </c>
      <c r="AF230" s="181">
        <f>운전실적_원본!U230</f>
        <v>0</v>
      </c>
      <c r="AG230" s="181">
        <f>운전실적_원본!V230</f>
        <v>0</v>
      </c>
      <c r="AH230" s="106">
        <f t="shared" si="1128"/>
        <v>0</v>
      </c>
      <c r="AI230" s="107">
        <f t="shared" si="1136"/>
        <v>0</v>
      </c>
      <c r="AJ230" s="107">
        <f t="shared" si="1137"/>
        <v>0</v>
      </c>
      <c r="AK230" s="204">
        <f t="shared" si="1138"/>
        <v>0</v>
      </c>
      <c r="AL230" s="103"/>
      <c r="AM230" s="103"/>
      <c r="AN230" s="103"/>
      <c r="AO230" s="103"/>
      <c r="AP230" s="103"/>
      <c r="AQ230" s="105"/>
      <c r="AR230" s="103"/>
      <c r="AS230" s="103"/>
      <c r="AT230" s="101"/>
      <c r="AU230" s="101"/>
      <c r="AV230" s="101"/>
      <c r="AW230" s="101"/>
      <c r="AX230" s="32">
        <f>운전실적_원본!W230</f>
        <v>0</v>
      </c>
      <c r="AY230" s="198">
        <f>운전실적_원본!X230</f>
        <v>0</v>
      </c>
      <c r="AZ230" s="198">
        <f>운전실적_원본!Y230</f>
        <v>0</v>
      </c>
      <c r="BA230" s="198">
        <f>운전실적_원본!Z230</f>
        <v>0</v>
      </c>
      <c r="BB230" s="198">
        <f>운전실적_원본!AA230</f>
        <v>0</v>
      </c>
      <c r="BC230" s="198">
        <f>운전실적_원본!AB230</f>
        <v>0</v>
      </c>
      <c r="BD230" s="32" t="str">
        <f t="shared" si="1121"/>
        <v>-</v>
      </c>
      <c r="BE230" s="11" t="str">
        <f t="shared" si="1129"/>
        <v>-</v>
      </c>
      <c r="BF230" s="11">
        <f>운전실적_원본!AE230</f>
        <v>0</v>
      </c>
      <c r="BG230" s="31">
        <f t="shared" si="1122"/>
        <v>0</v>
      </c>
    </row>
    <row r="231" spans="1:59">
      <c r="A231" s="6">
        <f t="shared" si="1130"/>
        <v>45883</v>
      </c>
      <c r="B231" s="15">
        <f>운전실적_원본!B231</f>
        <v>7511</v>
      </c>
      <c r="C231" s="16">
        <f t="shared" si="966"/>
        <v>31</v>
      </c>
      <c r="D231" s="9">
        <f>운전실적_원본!C231</f>
        <v>239249</v>
      </c>
      <c r="E231" s="199">
        <f t="shared" si="967"/>
        <v>37</v>
      </c>
      <c r="F231" s="9">
        <f>운전실적_원본!D231</f>
        <v>233273</v>
      </c>
      <c r="G231" s="16">
        <f t="shared" si="968"/>
        <v>87</v>
      </c>
      <c r="H231" s="15">
        <f>운전실적_원본!E231</f>
        <v>15682.62</v>
      </c>
      <c r="I231" s="16">
        <f t="shared" si="969"/>
        <v>14.270000000000437</v>
      </c>
      <c r="J231" s="15">
        <f>운전실적_원본!E231</f>
        <v>15682.62</v>
      </c>
      <c r="K231" s="16">
        <f t="shared" si="969"/>
        <v>14.270000000000437</v>
      </c>
      <c r="L231" s="15">
        <f>운전실적_원본!G231</f>
        <v>3902.9</v>
      </c>
      <c r="M231" s="31">
        <f t="shared" ref="M231" si="1294">IF(OR(LEN(L231)=0,L231=0),"",L231-L230)</f>
        <v>0.59999999999990905</v>
      </c>
      <c r="N231" s="15">
        <f>운전실적_원본!H231</f>
        <v>18932</v>
      </c>
      <c r="O231" s="16">
        <f t="shared" ref="O231" si="1295">IF(OR(LEN(N231)=0,N231=0),"",N231-N230)</f>
        <v>74</v>
      </c>
      <c r="P231" s="15">
        <f>운전실적_원본!I231</f>
        <v>282085</v>
      </c>
      <c r="Q231" s="16">
        <f t="shared" ref="Q231" si="1296">IF(OR(LEN(P231)=0,P231=0),"",P231-P230)</f>
        <v>163</v>
      </c>
      <c r="R231" s="18">
        <f>운전실적_원본!J231</f>
        <v>33.06</v>
      </c>
      <c r="S231" s="19">
        <f t="shared" ref="S231" si="1297">IF(OR(LEN(R231)=0,R231=0),"",R231-R230)</f>
        <v>-0.11999999999999744</v>
      </c>
      <c r="T231" s="18">
        <f>운전실적_원본!K231</f>
        <v>32.39</v>
      </c>
      <c r="U231" s="19">
        <f t="shared" si="974"/>
        <v>-0.14000000000000057</v>
      </c>
      <c r="V231" s="12">
        <f>운전실적_원본!L231</f>
        <v>8230</v>
      </c>
      <c r="W231" s="16">
        <f t="shared" ref="W231" si="1298">IF(OR(LEN(V231)=0,V231=0),"",V231-V230)</f>
        <v>478</v>
      </c>
      <c r="X231" s="10">
        <f>운전실적_원본!M231</f>
        <v>0</v>
      </c>
      <c r="Y231" s="10">
        <f>운전실적_원본!N231</f>
        <v>0</v>
      </c>
      <c r="Z231" s="10">
        <f>운전실적_원본!O231</f>
        <v>0</v>
      </c>
      <c r="AA231" s="10">
        <f>운전실적_원본!P231</f>
        <v>0</v>
      </c>
      <c r="AB231" s="10">
        <f>운전실적_원본!Q231</f>
        <v>0</v>
      </c>
      <c r="AC231" s="10">
        <f>운전실적_원본!R231</f>
        <v>0</v>
      </c>
      <c r="AD231" s="181">
        <f>운전실적_원본!S231</f>
        <v>0</v>
      </c>
      <c r="AE231" s="181">
        <f>운전실적_원본!T231</f>
        <v>0</v>
      </c>
      <c r="AF231" s="181">
        <f>운전실적_원본!U231</f>
        <v>0</v>
      </c>
      <c r="AG231" s="181">
        <f>운전실적_원본!V231</f>
        <v>0</v>
      </c>
      <c r="AH231" s="106">
        <f t="shared" si="1128"/>
        <v>0</v>
      </c>
      <c r="AI231" s="107">
        <f t="shared" si="1136"/>
        <v>0</v>
      </c>
      <c r="AJ231" s="107">
        <f t="shared" si="1137"/>
        <v>0</v>
      </c>
      <c r="AK231" s="204">
        <f t="shared" si="1138"/>
        <v>0</v>
      </c>
      <c r="AL231" s="103"/>
      <c r="AM231" s="103"/>
      <c r="AN231" s="103"/>
      <c r="AO231" s="103"/>
      <c r="AP231" s="103"/>
      <c r="AQ231" s="105"/>
      <c r="AR231" s="103"/>
      <c r="AS231" s="103"/>
      <c r="AT231" s="101"/>
      <c r="AU231" s="101"/>
      <c r="AV231" s="101"/>
      <c r="AW231" s="101"/>
      <c r="AX231" s="32">
        <f>운전실적_원본!W231</f>
        <v>0</v>
      </c>
      <c r="AY231" s="198">
        <f>운전실적_원본!X231</f>
        <v>0</v>
      </c>
      <c r="AZ231" s="198">
        <f>운전실적_원본!Y231</f>
        <v>0</v>
      </c>
      <c r="BA231" s="198">
        <f>운전실적_원본!Z231</f>
        <v>0</v>
      </c>
      <c r="BB231" s="198">
        <f>운전실적_원본!AA231</f>
        <v>0</v>
      </c>
      <c r="BC231" s="198">
        <f>운전실적_원본!AB231</f>
        <v>0</v>
      </c>
      <c r="BD231" s="32" t="str">
        <f t="shared" si="1121"/>
        <v>-</v>
      </c>
      <c r="BE231" s="11" t="str">
        <f t="shared" si="1129"/>
        <v>-</v>
      </c>
      <c r="BF231" s="11">
        <f>운전실적_원본!AE231</f>
        <v>0</v>
      </c>
      <c r="BG231" s="31">
        <f t="shared" si="1122"/>
        <v>0</v>
      </c>
    </row>
    <row r="232" spans="1:59">
      <c r="A232" s="6">
        <f t="shared" si="1130"/>
        <v>45884</v>
      </c>
      <c r="B232" s="15">
        <f>운전실적_원본!B232</f>
        <v>7542</v>
      </c>
      <c r="C232" s="16">
        <f t="shared" ref="C232:C295" si="1299">IF(OR(LEN(B232)=0,B232=0),"",B232-B231)</f>
        <v>31</v>
      </c>
      <c r="D232" s="9">
        <f>운전실적_원본!C232</f>
        <v>239275</v>
      </c>
      <c r="E232" s="199">
        <f t="shared" ref="E232:E295" si="1300">IF(OR(LEN(D232)=0,D232=0),"",D232-D231)</f>
        <v>26</v>
      </c>
      <c r="F232" s="9">
        <f>운전실적_원본!D232</f>
        <v>233338</v>
      </c>
      <c r="G232" s="16">
        <f t="shared" ref="G232:G295" si="1301">IF(OR(LEN(F232)=0,F232=0),"",F232-F231)</f>
        <v>65</v>
      </c>
      <c r="H232" s="15">
        <f>운전실적_원본!E232</f>
        <v>15694.77</v>
      </c>
      <c r="I232" s="16">
        <f t="shared" ref="I232:K295" si="1302">IF(OR(LEN(H232)=0,H232=0),"",H232-H231)</f>
        <v>12.149999999999636</v>
      </c>
      <c r="J232" s="15">
        <f>운전실적_원본!E232</f>
        <v>15694.77</v>
      </c>
      <c r="K232" s="16">
        <f t="shared" si="1302"/>
        <v>12.149999999999636</v>
      </c>
      <c r="L232" s="15">
        <f>운전실적_원본!G232</f>
        <v>3903.2</v>
      </c>
      <c r="M232" s="31">
        <f t="shared" ref="M232" si="1303">IF(OR(LEN(L232)=0,L232=0),"",L232-L231)</f>
        <v>0.29999999999972715</v>
      </c>
      <c r="N232" s="15">
        <f>운전실적_원본!H232</f>
        <v>18935</v>
      </c>
      <c r="O232" s="16">
        <f t="shared" ref="O232" si="1304">IF(OR(LEN(N232)=0,N232=0),"",N232-N231)</f>
        <v>3</v>
      </c>
      <c r="P232" s="15">
        <f>운전실적_원본!I232</f>
        <v>282182</v>
      </c>
      <c r="Q232" s="16">
        <f t="shared" ref="Q232" si="1305">IF(OR(LEN(P232)=0,P232=0),"",P232-P231)</f>
        <v>97</v>
      </c>
      <c r="R232" s="18">
        <f>운전실적_원본!J232</f>
        <v>32.909999999999997</v>
      </c>
      <c r="S232" s="19">
        <f t="shared" ref="S232" si="1306">IF(OR(LEN(R232)=0,R232=0),"",R232-R231)</f>
        <v>-0.15000000000000568</v>
      </c>
      <c r="T232" s="18">
        <f>운전실적_원본!K232</f>
        <v>32.31</v>
      </c>
      <c r="U232" s="19">
        <f t="shared" ref="U232:U295" si="1307">IF(OR(LEN(T232)=0,T232=0),"",T232-T231)</f>
        <v>-7.9999999999998295E-2</v>
      </c>
      <c r="V232" s="12">
        <f>운전실적_원본!L232</f>
        <v>8524</v>
      </c>
      <c r="W232" s="16">
        <f t="shared" ref="W232" si="1308">IF(OR(LEN(V232)=0,V232=0),"",V232-V231)</f>
        <v>294</v>
      </c>
      <c r="X232" s="10">
        <f>운전실적_원본!M232</f>
        <v>0</v>
      </c>
      <c r="Y232" s="10">
        <f>운전실적_원본!N232</f>
        <v>0</v>
      </c>
      <c r="Z232" s="10">
        <f>운전실적_원본!O232</f>
        <v>0</v>
      </c>
      <c r="AA232" s="10">
        <f>운전실적_원본!P232</f>
        <v>0</v>
      </c>
      <c r="AB232" s="10">
        <f>운전실적_원본!Q232</f>
        <v>0</v>
      </c>
      <c r="AC232" s="10">
        <f>운전실적_원본!R232</f>
        <v>0</v>
      </c>
      <c r="AD232" s="181">
        <f>운전실적_원본!S232</f>
        <v>0</v>
      </c>
      <c r="AE232" s="181">
        <f>운전실적_원본!T232</f>
        <v>0</v>
      </c>
      <c r="AF232" s="181">
        <f>운전실적_원본!U232</f>
        <v>0</v>
      </c>
      <c r="AG232" s="181">
        <f>운전실적_원본!V232</f>
        <v>0</v>
      </c>
      <c r="AH232" s="106">
        <f t="shared" si="1128"/>
        <v>0</v>
      </c>
      <c r="AI232" s="107">
        <f t="shared" si="1136"/>
        <v>0</v>
      </c>
      <c r="AJ232" s="107">
        <f t="shared" si="1137"/>
        <v>0</v>
      </c>
      <c r="AK232" s="204">
        <f t="shared" si="1138"/>
        <v>0</v>
      </c>
      <c r="AL232" s="103"/>
      <c r="AM232" s="103"/>
      <c r="AN232" s="103"/>
      <c r="AO232" s="103"/>
      <c r="AP232" s="103"/>
      <c r="AQ232" s="105"/>
      <c r="AR232" s="103"/>
      <c r="AS232" s="103"/>
      <c r="AT232" s="101"/>
      <c r="AU232" s="101"/>
      <c r="AV232" s="101"/>
      <c r="AW232" s="101"/>
      <c r="AX232" s="32">
        <f>운전실적_원본!W232</f>
        <v>0</v>
      </c>
      <c r="AY232" s="198">
        <f>운전실적_원본!X232</f>
        <v>0</v>
      </c>
      <c r="AZ232" s="198">
        <f>운전실적_원본!Y232</f>
        <v>0</v>
      </c>
      <c r="BA232" s="198">
        <f>운전실적_원본!Z232</f>
        <v>0</v>
      </c>
      <c r="BB232" s="198">
        <f>운전실적_원본!AA232</f>
        <v>0</v>
      </c>
      <c r="BC232" s="198">
        <f>운전실적_원본!AB232</f>
        <v>0</v>
      </c>
      <c r="BD232" s="32" t="str">
        <f t="shared" si="1121"/>
        <v>-</v>
      </c>
      <c r="BE232" s="11" t="str">
        <f t="shared" si="1129"/>
        <v>-</v>
      </c>
      <c r="BF232" s="11">
        <f>운전실적_원본!AE232</f>
        <v>0</v>
      </c>
      <c r="BG232" s="31">
        <f t="shared" si="1122"/>
        <v>0</v>
      </c>
    </row>
    <row r="233" spans="1:59">
      <c r="A233" s="6">
        <f t="shared" si="1130"/>
        <v>45885</v>
      </c>
      <c r="B233" s="15">
        <f>운전실적_원본!B233</f>
        <v>7573</v>
      </c>
      <c r="C233" s="16">
        <f t="shared" si="1299"/>
        <v>31</v>
      </c>
      <c r="D233" s="9">
        <f>운전실적_원본!C233</f>
        <v>239342</v>
      </c>
      <c r="E233" s="199">
        <f t="shared" si="1300"/>
        <v>67</v>
      </c>
      <c r="F233" s="9">
        <f>운전실적_원본!D233</f>
        <v>233338</v>
      </c>
      <c r="G233" s="16">
        <f t="shared" si="1301"/>
        <v>0</v>
      </c>
      <c r="H233" s="15">
        <f>운전실적_원본!E233</f>
        <v>15708.17</v>
      </c>
      <c r="I233" s="16">
        <f t="shared" si="1302"/>
        <v>13.399999999999636</v>
      </c>
      <c r="J233" s="15">
        <f>운전실적_원본!E233</f>
        <v>15708.17</v>
      </c>
      <c r="K233" s="16">
        <f t="shared" si="1302"/>
        <v>13.399999999999636</v>
      </c>
      <c r="L233" s="15">
        <f>운전실적_원본!G233</f>
        <v>3903.5</v>
      </c>
      <c r="M233" s="31">
        <f t="shared" ref="M233" si="1309">IF(OR(LEN(L233)=0,L233=0),"",L233-L232)</f>
        <v>0.3000000000001819</v>
      </c>
      <c r="N233" s="15">
        <f>운전실적_원본!H233</f>
        <v>18935</v>
      </c>
      <c r="O233" s="16">
        <f t="shared" ref="O233" si="1310">IF(OR(LEN(N233)=0,N233=0),"",N233-N232)</f>
        <v>0</v>
      </c>
      <c r="P233" s="15">
        <f>운전실적_원본!I233</f>
        <v>282265</v>
      </c>
      <c r="Q233" s="16">
        <f t="shared" ref="Q233" si="1311">IF(OR(LEN(P233)=0,P233=0),"",P233-P232)</f>
        <v>83</v>
      </c>
      <c r="R233" s="18">
        <f>운전실적_원본!J233</f>
        <v>32.57</v>
      </c>
      <c r="S233" s="19">
        <f t="shared" ref="S233" si="1312">IF(OR(LEN(R233)=0,R233=0),"",R233-R232)</f>
        <v>-0.33999999999999631</v>
      </c>
      <c r="T233" s="18">
        <f>운전실적_원본!K233</f>
        <v>32.159999999999997</v>
      </c>
      <c r="U233" s="19">
        <f t="shared" si="1307"/>
        <v>-0.15000000000000568</v>
      </c>
      <c r="V233" s="12">
        <f>운전실적_원본!L233</f>
        <v>7698</v>
      </c>
      <c r="W233" s="16">
        <f t="shared" ref="W233" si="1313">IF(OR(LEN(V233)=0,V233=0),"",V233-V232)</f>
        <v>-826</v>
      </c>
      <c r="X233" s="10">
        <f>운전실적_원본!M233</f>
        <v>0</v>
      </c>
      <c r="Y233" s="10">
        <f>운전실적_원본!N233</f>
        <v>0</v>
      </c>
      <c r="Z233" s="10">
        <f>운전실적_원본!O233</f>
        <v>0</v>
      </c>
      <c r="AA233" s="10">
        <f>운전실적_원본!P233</f>
        <v>0</v>
      </c>
      <c r="AB233" s="10">
        <f>운전실적_원본!Q233</f>
        <v>0</v>
      </c>
      <c r="AC233" s="10">
        <f>운전실적_원본!R233</f>
        <v>0</v>
      </c>
      <c r="AD233" s="181">
        <f>운전실적_원본!S233</f>
        <v>0</v>
      </c>
      <c r="AE233" s="181">
        <f>운전실적_원본!T233</f>
        <v>0</v>
      </c>
      <c r="AF233" s="181">
        <f>운전실적_원본!U233</f>
        <v>0</v>
      </c>
      <c r="AG233" s="181">
        <f>운전실적_원본!V233</f>
        <v>0</v>
      </c>
      <c r="AH233" s="106">
        <f t="shared" si="1128"/>
        <v>0</v>
      </c>
      <c r="AI233" s="107">
        <f t="shared" si="1136"/>
        <v>0</v>
      </c>
      <c r="AJ233" s="107">
        <f t="shared" si="1137"/>
        <v>0</v>
      </c>
      <c r="AK233" s="204">
        <f t="shared" si="1138"/>
        <v>0</v>
      </c>
      <c r="AL233" s="103"/>
      <c r="AM233" s="103"/>
      <c r="AN233" s="103"/>
      <c r="AO233" s="103"/>
      <c r="AP233" s="103"/>
      <c r="AQ233" s="105"/>
      <c r="AR233" s="103"/>
      <c r="AS233" s="103"/>
      <c r="AT233" s="101"/>
      <c r="AU233" s="101"/>
      <c r="AV233" s="101"/>
      <c r="AW233" s="101"/>
      <c r="AX233" s="32">
        <f>운전실적_원본!W233</f>
        <v>0</v>
      </c>
      <c r="AY233" s="198">
        <f>운전실적_원본!X233</f>
        <v>0</v>
      </c>
      <c r="AZ233" s="198">
        <f>운전실적_원본!Y233</f>
        <v>0</v>
      </c>
      <c r="BA233" s="198">
        <f>운전실적_원본!Z233</f>
        <v>0</v>
      </c>
      <c r="BB233" s="198">
        <f>운전실적_원본!AA233</f>
        <v>0</v>
      </c>
      <c r="BC233" s="198">
        <f>운전실적_원본!AB233</f>
        <v>0</v>
      </c>
      <c r="BD233" s="32" t="str">
        <f t="shared" si="1121"/>
        <v>-</v>
      </c>
      <c r="BE233" s="11" t="str">
        <f t="shared" si="1129"/>
        <v>-</v>
      </c>
      <c r="BF233" s="11">
        <f>운전실적_원본!AE233</f>
        <v>0</v>
      </c>
      <c r="BG233" s="31">
        <f t="shared" si="1122"/>
        <v>0</v>
      </c>
    </row>
    <row r="234" spans="1:59">
      <c r="A234" s="6">
        <f t="shared" si="1130"/>
        <v>45886</v>
      </c>
      <c r="B234" s="15">
        <f>운전실적_원본!B234</f>
        <v>7573</v>
      </c>
      <c r="C234" s="16">
        <f t="shared" si="1299"/>
        <v>0</v>
      </c>
      <c r="D234" s="9">
        <f>운전실적_원본!C234</f>
        <v>239388</v>
      </c>
      <c r="E234" s="199">
        <f t="shared" si="1300"/>
        <v>46</v>
      </c>
      <c r="F234" s="9">
        <f>운전실적_원본!D234</f>
        <v>233338</v>
      </c>
      <c r="G234" s="16">
        <f t="shared" si="1301"/>
        <v>0</v>
      </c>
      <c r="H234" s="15">
        <f>운전실적_원본!E234</f>
        <v>15720.72</v>
      </c>
      <c r="I234" s="16">
        <f t="shared" si="1302"/>
        <v>12.549999999999272</v>
      </c>
      <c r="J234" s="15">
        <f>운전실적_원본!E234</f>
        <v>15720.72</v>
      </c>
      <c r="K234" s="16">
        <f t="shared" si="1302"/>
        <v>12.549999999999272</v>
      </c>
      <c r="L234" s="15">
        <f>운전실적_원본!G234</f>
        <v>3903.9</v>
      </c>
      <c r="M234" s="31">
        <f t="shared" ref="M234" si="1314">IF(OR(LEN(L234)=0,L234=0),"",L234-L233)</f>
        <v>0.40000000000009095</v>
      </c>
      <c r="N234" s="15">
        <f>운전실적_원본!H234</f>
        <v>18966</v>
      </c>
      <c r="O234" s="16">
        <f t="shared" ref="O234" si="1315">IF(OR(LEN(N234)=0,N234=0),"",N234-N233)</f>
        <v>31</v>
      </c>
      <c r="P234" s="15">
        <f>운전실적_원본!I234</f>
        <v>282333</v>
      </c>
      <c r="Q234" s="16">
        <f t="shared" ref="Q234" si="1316">IF(OR(LEN(P234)=0,P234=0),"",P234-P233)</f>
        <v>68</v>
      </c>
      <c r="R234" s="18">
        <f>운전실적_원본!J234</f>
        <v>32.29</v>
      </c>
      <c r="S234" s="19">
        <f t="shared" ref="S234" si="1317">IF(OR(LEN(R234)=0,R234=0),"",R234-R233)</f>
        <v>-0.28000000000000114</v>
      </c>
      <c r="T234" s="18">
        <f>운전실적_원본!K234</f>
        <v>32.03</v>
      </c>
      <c r="U234" s="19">
        <f t="shared" si="1307"/>
        <v>-0.12999999999999545</v>
      </c>
      <c r="V234" s="12">
        <f>운전실적_원본!L234</f>
        <v>6959</v>
      </c>
      <c r="W234" s="16">
        <f t="shared" ref="W234" si="1318">IF(OR(LEN(V234)=0,V234=0),"",V234-V233)</f>
        <v>-739</v>
      </c>
      <c r="X234" s="10">
        <f>운전실적_원본!M234</f>
        <v>0</v>
      </c>
      <c r="Y234" s="10">
        <f>운전실적_원본!N234</f>
        <v>0</v>
      </c>
      <c r="Z234" s="10">
        <f>운전실적_원본!O234</f>
        <v>0</v>
      </c>
      <c r="AA234" s="10">
        <f>운전실적_원본!P234</f>
        <v>0</v>
      </c>
      <c r="AB234" s="10">
        <f>운전실적_원본!Q234</f>
        <v>0</v>
      </c>
      <c r="AC234" s="10">
        <f>운전실적_원본!R234</f>
        <v>0</v>
      </c>
      <c r="AD234" s="181">
        <f>운전실적_원본!S234</f>
        <v>0</v>
      </c>
      <c r="AE234" s="181">
        <f>운전실적_원본!T234</f>
        <v>0</v>
      </c>
      <c r="AF234" s="181">
        <f>운전실적_원본!U234</f>
        <v>0</v>
      </c>
      <c r="AG234" s="181">
        <f>운전실적_원본!V234</f>
        <v>0</v>
      </c>
      <c r="AH234" s="106">
        <f t="shared" si="1128"/>
        <v>0</v>
      </c>
      <c r="AI234" s="107">
        <f t="shared" si="1136"/>
        <v>0</v>
      </c>
      <c r="AJ234" s="107">
        <f t="shared" si="1137"/>
        <v>0</v>
      </c>
      <c r="AK234" s="204">
        <f t="shared" si="1138"/>
        <v>0</v>
      </c>
      <c r="AL234" s="103"/>
      <c r="AM234" s="103"/>
      <c r="AN234" s="103"/>
      <c r="AO234" s="103"/>
      <c r="AP234" s="103"/>
      <c r="AQ234" s="105"/>
      <c r="AR234" s="103"/>
      <c r="AS234" s="103"/>
      <c r="AT234" s="101"/>
      <c r="AU234" s="101"/>
      <c r="AV234" s="101"/>
      <c r="AW234" s="101"/>
      <c r="AX234" s="32">
        <f>운전실적_원본!W234</f>
        <v>0</v>
      </c>
      <c r="AY234" s="198">
        <f>운전실적_원본!X234</f>
        <v>0</v>
      </c>
      <c r="AZ234" s="198">
        <f>운전실적_원본!Y234</f>
        <v>0</v>
      </c>
      <c r="BA234" s="198">
        <f>운전실적_원본!Z234</f>
        <v>0</v>
      </c>
      <c r="BB234" s="198">
        <f>운전실적_원본!AA234</f>
        <v>0</v>
      </c>
      <c r="BC234" s="198">
        <f>운전실적_원본!AB234</f>
        <v>0</v>
      </c>
      <c r="BD234" s="32" t="str">
        <f t="shared" si="1121"/>
        <v>-</v>
      </c>
      <c r="BE234" s="11" t="str">
        <f t="shared" si="1129"/>
        <v>-</v>
      </c>
      <c r="BF234" s="11">
        <f>운전실적_원본!AE234</f>
        <v>0</v>
      </c>
      <c r="BG234" s="31">
        <f t="shared" si="1122"/>
        <v>0</v>
      </c>
    </row>
    <row r="235" spans="1:59">
      <c r="A235" s="6">
        <f t="shared" si="1130"/>
        <v>45887</v>
      </c>
      <c r="B235" s="15">
        <f>운전실적_원본!B235</f>
        <v>7595</v>
      </c>
      <c r="C235" s="16">
        <f t="shared" si="1299"/>
        <v>22</v>
      </c>
      <c r="D235" s="9">
        <f>운전실적_원본!C235</f>
        <v>239405</v>
      </c>
      <c r="E235" s="199">
        <f t="shared" si="1300"/>
        <v>17</v>
      </c>
      <c r="F235" s="9">
        <f>운전실적_원본!D235</f>
        <v>233338</v>
      </c>
      <c r="G235" s="16">
        <f t="shared" si="1301"/>
        <v>0</v>
      </c>
      <c r="H235" s="15">
        <f>운전실적_원본!E235</f>
        <v>15736.74</v>
      </c>
      <c r="I235" s="16">
        <f t="shared" si="1302"/>
        <v>16.020000000000437</v>
      </c>
      <c r="J235" s="15">
        <f>운전실적_원본!E235</f>
        <v>15736.74</v>
      </c>
      <c r="K235" s="16">
        <f t="shared" si="1302"/>
        <v>16.020000000000437</v>
      </c>
      <c r="L235" s="15">
        <f>운전실적_원본!G235</f>
        <v>3904.5</v>
      </c>
      <c r="M235" s="31">
        <f t="shared" ref="M235" si="1319">IF(OR(LEN(L235)=0,L235=0),"",L235-L234)</f>
        <v>0.59999999999990905</v>
      </c>
      <c r="N235" s="15">
        <f>운전실적_원본!H235</f>
        <v>19003</v>
      </c>
      <c r="O235" s="16">
        <f t="shared" ref="O235" si="1320">IF(OR(LEN(N235)=0,N235=0),"",N235-N234)</f>
        <v>37</v>
      </c>
      <c r="P235" s="15">
        <f>운전실적_원본!I235</f>
        <v>282406</v>
      </c>
      <c r="Q235" s="16">
        <f t="shared" ref="Q235" si="1321">IF(OR(LEN(P235)=0,P235=0),"",P235-P234)</f>
        <v>73</v>
      </c>
      <c r="R235" s="18">
        <f>운전실적_원본!J235</f>
        <v>32.1</v>
      </c>
      <c r="S235" s="19">
        <f t="shared" ref="S235" si="1322">IF(OR(LEN(R235)=0,R235=0),"",R235-R234)</f>
        <v>-0.18999999999999773</v>
      </c>
      <c r="T235" s="18">
        <f>운전실적_원본!K235</f>
        <v>31.79</v>
      </c>
      <c r="U235" s="19">
        <f t="shared" si="1307"/>
        <v>-0.24000000000000199</v>
      </c>
      <c r="V235" s="12">
        <f>운전실적_원본!L235</f>
        <v>5055</v>
      </c>
      <c r="W235" s="16">
        <f t="shared" ref="W235" si="1323">IF(OR(LEN(V235)=0,V235=0),"",V235-V234)</f>
        <v>-1904</v>
      </c>
      <c r="X235" s="10">
        <f>운전실적_원본!M235</f>
        <v>18765.69999999553</v>
      </c>
      <c r="Y235" s="10">
        <f>운전실적_원본!N235</f>
        <v>0</v>
      </c>
      <c r="Z235" s="10">
        <f>운전실적_원본!O235</f>
        <v>0</v>
      </c>
      <c r="AA235" s="10">
        <f>운전실적_원본!P235</f>
        <v>0</v>
      </c>
      <c r="AB235" s="10">
        <f>운전실적_원본!Q235</f>
        <v>0</v>
      </c>
      <c r="AC235" s="10">
        <f>운전실적_원본!R235</f>
        <v>0</v>
      </c>
      <c r="AD235" s="181">
        <f>운전실적_원본!S235</f>
        <v>10</v>
      </c>
      <c r="AE235" s="181">
        <f>운전실적_원본!T235</f>
        <v>0</v>
      </c>
      <c r="AF235" s="181">
        <f>운전실적_원본!U235</f>
        <v>0</v>
      </c>
      <c r="AG235" s="181">
        <f>운전실적_원본!V235</f>
        <v>0</v>
      </c>
      <c r="AH235" s="106">
        <f t="shared" si="1128"/>
        <v>10.583333333255723</v>
      </c>
      <c r="AI235" s="107">
        <f t="shared" si="1136"/>
        <v>0</v>
      </c>
      <c r="AJ235" s="107">
        <f t="shared" si="1137"/>
        <v>0</v>
      </c>
      <c r="AK235" s="204">
        <f t="shared" si="1138"/>
        <v>0</v>
      </c>
      <c r="AL235" s="103">
        <v>45887.413194444445</v>
      </c>
      <c r="AM235" s="103">
        <v>45887.854166666664</v>
      </c>
      <c r="AN235" s="103"/>
      <c r="AO235" s="103"/>
      <c r="AP235" s="103"/>
      <c r="AQ235" s="105"/>
      <c r="AR235" s="103"/>
      <c r="AS235" s="103"/>
      <c r="AT235" s="101"/>
      <c r="AU235" s="101"/>
      <c r="AV235" s="101"/>
      <c r="AW235" s="101"/>
      <c r="AX235" s="32">
        <f>운전실적_원본!W235</f>
        <v>99</v>
      </c>
      <c r="AY235" s="198">
        <f>운전실적_원본!X235</f>
        <v>0</v>
      </c>
      <c r="AZ235" s="198">
        <f>운전실적_원본!Y235</f>
        <v>0</v>
      </c>
      <c r="BA235" s="198">
        <f>운전실적_원본!Z235</f>
        <v>0</v>
      </c>
      <c r="BB235" s="198">
        <f>운전실적_원본!AA235</f>
        <v>0</v>
      </c>
      <c r="BC235" s="198">
        <f>운전실적_원본!AB235</f>
        <v>99</v>
      </c>
      <c r="BD235" s="32">
        <f t="shared" si="1121"/>
        <v>9.9</v>
      </c>
      <c r="BE235" s="11">
        <f t="shared" si="1129"/>
        <v>0.19264448336252191</v>
      </c>
      <c r="BF235" s="11">
        <f>운전실적_원본!AE235</f>
        <v>0</v>
      </c>
      <c r="BG235" s="31">
        <f t="shared" si="1122"/>
        <v>0</v>
      </c>
    </row>
    <row r="236" spans="1:59">
      <c r="A236" s="6">
        <f t="shared" si="1130"/>
        <v>45888</v>
      </c>
      <c r="B236" s="15">
        <f>운전실적_원본!B236</f>
        <v>7600</v>
      </c>
      <c r="C236" s="16">
        <f t="shared" si="1299"/>
        <v>5</v>
      </c>
      <c r="D236" s="9">
        <f>운전실적_원본!C236</f>
        <v>239537</v>
      </c>
      <c r="E236" s="199">
        <f t="shared" si="1300"/>
        <v>132</v>
      </c>
      <c r="F236" s="9">
        <f>운전실적_원본!D236</f>
        <v>233338</v>
      </c>
      <c r="G236" s="16">
        <f t="shared" si="1301"/>
        <v>0</v>
      </c>
      <c r="H236" s="15">
        <f>운전실적_원본!E236</f>
        <v>15753.13</v>
      </c>
      <c r="I236" s="16">
        <f t="shared" si="1302"/>
        <v>16.389999999999418</v>
      </c>
      <c r="J236" s="15">
        <f>운전실적_원본!E236</f>
        <v>15753.13</v>
      </c>
      <c r="K236" s="16">
        <f t="shared" si="1302"/>
        <v>16.389999999999418</v>
      </c>
      <c r="L236" s="15">
        <f>운전실적_원본!G236</f>
        <v>3905.3</v>
      </c>
      <c r="M236" s="31">
        <f t="shared" ref="M236" si="1324">IF(OR(LEN(L236)=0,L236=0),"",L236-L235)</f>
        <v>0.8000000000001819</v>
      </c>
      <c r="N236" s="15">
        <f>운전실적_원본!H236</f>
        <v>19129</v>
      </c>
      <c r="O236" s="16">
        <f t="shared" ref="O236" si="1325">IF(OR(LEN(N236)=0,N236=0),"",N236-N235)</f>
        <v>126</v>
      </c>
      <c r="P236" s="15">
        <f>운전실적_원본!I236</f>
        <v>282611</v>
      </c>
      <c r="Q236" s="16">
        <f t="shared" ref="Q236" si="1326">IF(OR(LEN(P236)=0,P236=0),"",P236-P235)</f>
        <v>205</v>
      </c>
      <c r="R236" s="18">
        <f>운전실적_원본!J236</f>
        <v>31.92</v>
      </c>
      <c r="S236" s="19">
        <f t="shared" ref="S236" si="1327">IF(OR(LEN(R236)=0,R236=0),"",R236-R235)</f>
        <v>-0.17999999999999972</v>
      </c>
      <c r="T236" s="18">
        <f>운전실적_원본!K236</f>
        <v>31.59</v>
      </c>
      <c r="U236" s="19">
        <f t="shared" si="1307"/>
        <v>-0.19999999999999929</v>
      </c>
      <c r="V236" s="12">
        <f>운전실적_원본!L236</f>
        <v>8232</v>
      </c>
      <c r="W236" s="16">
        <f t="shared" ref="W236" si="1328">IF(OR(LEN(V236)=0,V236=0),"",V236-V235)</f>
        <v>3177</v>
      </c>
      <c r="X236" s="10">
        <f>운전실적_원본!M236</f>
        <v>15166.10000000149</v>
      </c>
      <c r="Y236" s="10">
        <f>운전실적_원본!N236</f>
        <v>0</v>
      </c>
      <c r="Z236" s="10">
        <f>운전실적_원본!O236</f>
        <v>0</v>
      </c>
      <c r="AA236" s="10">
        <f>운전실적_원본!P236</f>
        <v>0</v>
      </c>
      <c r="AB236" s="10">
        <f>운전실적_원본!Q236</f>
        <v>0</v>
      </c>
      <c r="AC236" s="10">
        <f>운전실적_원본!R236</f>
        <v>0</v>
      </c>
      <c r="AD236" s="181">
        <f>운전실적_원본!S236</f>
        <v>6</v>
      </c>
      <c r="AE236" s="181">
        <f>운전실적_원본!T236</f>
        <v>0</v>
      </c>
      <c r="AF236" s="181">
        <f>운전실적_원본!U236</f>
        <v>0</v>
      </c>
      <c r="AG236" s="181">
        <f>운전실적_원본!V236</f>
        <v>0</v>
      </c>
      <c r="AH236" s="106">
        <f t="shared" si="1128"/>
        <v>5.9166666667442769</v>
      </c>
      <c r="AI236" s="107">
        <f t="shared" si="1136"/>
        <v>0</v>
      </c>
      <c r="AJ236" s="107">
        <f t="shared" si="1137"/>
        <v>0</v>
      </c>
      <c r="AK236" s="204">
        <f t="shared" si="1138"/>
        <v>0</v>
      </c>
      <c r="AL236" s="103">
        <v>45887.503472222219</v>
      </c>
      <c r="AM236" s="103">
        <v>45887.75</v>
      </c>
      <c r="AN236" s="103"/>
      <c r="AO236" s="103"/>
      <c r="AP236" s="103"/>
      <c r="AQ236" s="105"/>
      <c r="AR236" s="103"/>
      <c r="AS236" s="103"/>
      <c r="AT236" s="101"/>
      <c r="AU236" s="101"/>
      <c r="AV236" s="101"/>
      <c r="AW236" s="101"/>
      <c r="AX236" s="32">
        <f>운전실적_원본!W236</f>
        <v>97</v>
      </c>
      <c r="AY236" s="198">
        <f>운전실적_원본!X236</f>
        <v>0</v>
      </c>
      <c r="AZ236" s="198">
        <f>운전실적_원본!Y236</f>
        <v>0</v>
      </c>
      <c r="BA236" s="198">
        <f>운전실적_원본!Z236</f>
        <v>0</v>
      </c>
      <c r="BB236" s="198">
        <f>운전실적_원본!AA236</f>
        <v>0</v>
      </c>
      <c r="BC236" s="198">
        <f>운전실적_원본!AB236</f>
        <v>97</v>
      </c>
      <c r="BD236" s="32">
        <f t="shared" si="1121"/>
        <v>16.166666666666668</v>
      </c>
      <c r="BE236" s="11">
        <f t="shared" si="1129"/>
        <v>0.31458779269637416</v>
      </c>
      <c r="BF236" s="11">
        <f>운전실적_원본!AE236</f>
        <v>0</v>
      </c>
      <c r="BG236" s="31">
        <f t="shared" si="1122"/>
        <v>0</v>
      </c>
    </row>
    <row r="237" spans="1:59">
      <c r="A237" s="6">
        <f t="shared" si="1130"/>
        <v>45889</v>
      </c>
      <c r="B237" s="15">
        <f>운전실적_원본!B237</f>
        <v>7618</v>
      </c>
      <c r="C237" s="16">
        <f t="shared" si="1299"/>
        <v>18</v>
      </c>
      <c r="D237" s="9">
        <f>운전실적_원본!C237</f>
        <v>239637</v>
      </c>
      <c r="E237" s="199">
        <f t="shared" si="1300"/>
        <v>100</v>
      </c>
      <c r="F237" s="9">
        <f>운전실적_원본!D237</f>
        <v>233338</v>
      </c>
      <c r="G237" s="16">
        <f t="shared" si="1301"/>
        <v>0</v>
      </c>
      <c r="H237" s="15">
        <f>운전실적_원본!E237</f>
        <v>15771.89</v>
      </c>
      <c r="I237" s="16">
        <f t="shared" si="1302"/>
        <v>18.760000000000218</v>
      </c>
      <c r="J237" s="15">
        <f>운전실적_원본!E237</f>
        <v>15771.89</v>
      </c>
      <c r="K237" s="16">
        <f t="shared" si="1302"/>
        <v>18.760000000000218</v>
      </c>
      <c r="L237" s="15">
        <f>운전실적_원본!G237</f>
        <v>3905.8</v>
      </c>
      <c r="M237" s="31">
        <f t="shared" ref="M237" si="1329">IF(OR(LEN(L237)=0,L237=0),"",L237-L236)</f>
        <v>0.5</v>
      </c>
      <c r="N237" s="15">
        <f>운전실적_원본!H237</f>
        <v>19129</v>
      </c>
      <c r="O237" s="16">
        <f t="shared" ref="O237" si="1330">IF(OR(LEN(N237)=0,N237=0),"",N237-N236)</f>
        <v>0</v>
      </c>
      <c r="P237" s="15">
        <f>운전실적_원본!I237</f>
        <v>282731</v>
      </c>
      <c r="Q237" s="16">
        <f t="shared" ref="Q237" si="1331">IF(OR(LEN(P237)=0,P237=0),"",P237-P236)</f>
        <v>120</v>
      </c>
      <c r="R237" s="18">
        <f>운전실적_원본!J237</f>
        <v>31.72</v>
      </c>
      <c r="S237" s="19">
        <f t="shared" ref="S237" si="1332">IF(OR(LEN(R237)=0,R237=0),"",R237-R236)</f>
        <v>-0.20000000000000284</v>
      </c>
      <c r="T237" s="18">
        <f>운전실적_원본!K237</f>
        <v>31.43</v>
      </c>
      <c r="U237" s="19">
        <f t="shared" si="1307"/>
        <v>-0.16000000000000014</v>
      </c>
      <c r="V237" s="12">
        <f>운전실적_원본!L237</f>
        <v>8536</v>
      </c>
      <c r="W237" s="16">
        <f t="shared" ref="W237" si="1333">IF(OR(LEN(V237)=0,V237=0),"",V237-V236)</f>
        <v>304</v>
      </c>
      <c r="X237" s="10">
        <f>운전실적_원본!M237</f>
        <v>0</v>
      </c>
      <c r="Y237" s="10">
        <f>운전실적_원본!N237</f>
        <v>0</v>
      </c>
      <c r="Z237" s="10">
        <f>운전실적_원본!O237</f>
        <v>0</v>
      </c>
      <c r="AA237" s="10">
        <f>운전실적_원본!P237</f>
        <v>0</v>
      </c>
      <c r="AB237" s="10">
        <f>운전실적_원본!Q237</f>
        <v>0</v>
      </c>
      <c r="AC237" s="10">
        <f>운전실적_원본!R237</f>
        <v>0</v>
      </c>
      <c r="AD237" s="181">
        <f>운전실적_원본!S237</f>
        <v>0</v>
      </c>
      <c r="AE237" s="181">
        <f>운전실적_원본!T237</f>
        <v>0</v>
      </c>
      <c r="AF237" s="181">
        <f>운전실적_원본!U237</f>
        <v>0</v>
      </c>
      <c r="AG237" s="181">
        <f>운전실적_원본!V237</f>
        <v>0</v>
      </c>
      <c r="AH237" s="106">
        <f t="shared" si="1128"/>
        <v>0</v>
      </c>
      <c r="AI237" s="107">
        <f t="shared" si="1136"/>
        <v>0</v>
      </c>
      <c r="AJ237" s="107">
        <f t="shared" si="1137"/>
        <v>0</v>
      </c>
      <c r="AK237" s="204">
        <f t="shared" si="1138"/>
        <v>0</v>
      </c>
      <c r="AL237" s="103"/>
      <c r="AM237" s="103"/>
      <c r="AN237" s="103"/>
      <c r="AO237" s="103"/>
      <c r="AP237" s="103"/>
      <c r="AQ237" s="105"/>
      <c r="AR237" s="103"/>
      <c r="AS237" s="103"/>
      <c r="AT237" s="101"/>
      <c r="AU237" s="101"/>
      <c r="AV237" s="101"/>
      <c r="AW237" s="101"/>
      <c r="AX237" s="32">
        <f>운전실적_원본!W237</f>
        <v>0</v>
      </c>
      <c r="AY237" s="198">
        <f>운전실적_원본!X237</f>
        <v>0</v>
      </c>
      <c r="AZ237" s="198">
        <f>운전실적_원본!Y237</f>
        <v>0</v>
      </c>
      <c r="BA237" s="198">
        <f>운전실적_원본!Z237</f>
        <v>0</v>
      </c>
      <c r="BB237" s="198">
        <f>운전실적_원본!AA237</f>
        <v>0</v>
      </c>
      <c r="BC237" s="198">
        <f>운전실적_원본!AB237</f>
        <v>0</v>
      </c>
      <c r="BD237" s="32" t="str">
        <f t="shared" si="1121"/>
        <v>-</v>
      </c>
      <c r="BE237" s="11" t="str">
        <f t="shared" si="1129"/>
        <v>-</v>
      </c>
      <c r="BF237" s="11">
        <f>운전실적_원본!AE237</f>
        <v>0</v>
      </c>
      <c r="BG237" s="31">
        <f t="shared" si="1122"/>
        <v>0</v>
      </c>
    </row>
    <row r="238" spans="1:59">
      <c r="A238" s="6">
        <f t="shared" si="1130"/>
        <v>45890</v>
      </c>
      <c r="B238" s="15">
        <f>운전실적_원본!B238</f>
        <v>7636</v>
      </c>
      <c r="C238" s="16">
        <f t="shared" si="1299"/>
        <v>18</v>
      </c>
      <c r="D238" s="9">
        <f>운전실적_원본!C238</f>
        <v>239637</v>
      </c>
      <c r="E238" s="199">
        <f t="shared" si="1300"/>
        <v>0</v>
      </c>
      <c r="F238" s="9">
        <f>운전실적_원본!D238</f>
        <v>233501</v>
      </c>
      <c r="G238" s="16">
        <f t="shared" si="1301"/>
        <v>163</v>
      </c>
      <c r="H238" s="15">
        <f>운전실적_원본!E238</f>
        <v>15806.58</v>
      </c>
      <c r="I238" s="16">
        <f t="shared" si="1302"/>
        <v>34.690000000000509</v>
      </c>
      <c r="J238" s="15">
        <f>운전실적_원본!E238</f>
        <v>15806.58</v>
      </c>
      <c r="K238" s="16">
        <f t="shared" si="1302"/>
        <v>34.690000000000509</v>
      </c>
      <c r="L238" s="15">
        <f>운전실적_원본!G238</f>
        <v>3906.9</v>
      </c>
      <c r="M238" s="31">
        <f t="shared" ref="M238" si="1334">IF(OR(LEN(L238)=0,L238=0),"",L238-L237)</f>
        <v>1.0999999999999091</v>
      </c>
      <c r="N238" s="15">
        <f>운전실적_원본!H238</f>
        <v>19129</v>
      </c>
      <c r="O238" s="16">
        <f t="shared" ref="O238" si="1335">IF(OR(LEN(N238)=0,N238=0),"",N238-N237)</f>
        <v>0</v>
      </c>
      <c r="P238" s="15">
        <f>운전실적_원본!I238</f>
        <v>283004</v>
      </c>
      <c r="Q238" s="16">
        <f t="shared" ref="Q238" si="1336">IF(OR(LEN(P238)=0,P238=0),"",P238-P237)</f>
        <v>273</v>
      </c>
      <c r="R238" s="18">
        <f>운전실적_원본!J238</f>
        <v>31.91</v>
      </c>
      <c r="S238" s="19">
        <f t="shared" ref="S238" si="1337">IF(OR(LEN(R238)=0,R238=0),"",R238-R237)</f>
        <v>0.19000000000000128</v>
      </c>
      <c r="T238" s="18">
        <f>운전실적_원본!K238</f>
        <v>31.42</v>
      </c>
      <c r="U238" s="19">
        <f t="shared" si="1307"/>
        <v>-9.9999999999980105E-3</v>
      </c>
      <c r="V238" s="12">
        <f>운전실적_원본!L238</f>
        <v>8442</v>
      </c>
      <c r="W238" s="16">
        <f t="shared" ref="W238" si="1338">IF(OR(LEN(V238)=0,V238=0),"",V238-V237)</f>
        <v>-94</v>
      </c>
      <c r="X238" s="10">
        <f>운전실적_원본!M238</f>
        <v>23492.880000002682</v>
      </c>
      <c r="Y238" s="10">
        <f>운전실적_원본!N238</f>
        <v>0</v>
      </c>
      <c r="Z238" s="10">
        <f>운전실적_원본!O238</f>
        <v>0</v>
      </c>
      <c r="AA238" s="10">
        <f>운전실적_원본!P238</f>
        <v>0</v>
      </c>
      <c r="AB238" s="10">
        <f>운전실적_원본!Q238</f>
        <v>0</v>
      </c>
      <c r="AC238" s="10">
        <f>운전실적_원본!R238</f>
        <v>0</v>
      </c>
      <c r="AD238" s="181">
        <f>운전실적_원본!S238</f>
        <v>11</v>
      </c>
      <c r="AE238" s="181">
        <f>운전실적_원본!T238</f>
        <v>0</v>
      </c>
      <c r="AF238" s="181">
        <f>운전실적_원본!U238</f>
        <v>0</v>
      </c>
      <c r="AG238" s="181">
        <f>운전실적_원본!V238</f>
        <v>0</v>
      </c>
      <c r="AH238" s="106">
        <f t="shared" si="1128"/>
        <v>9.4999999998835847</v>
      </c>
      <c r="AI238" s="107">
        <f t="shared" si="1136"/>
        <v>0</v>
      </c>
      <c r="AJ238" s="107">
        <f t="shared" si="1137"/>
        <v>0</v>
      </c>
      <c r="AK238" s="204">
        <f t="shared" si="1138"/>
        <v>0</v>
      </c>
      <c r="AL238" s="103">
        <v>45887.458333333336</v>
      </c>
      <c r="AM238" s="103">
        <v>45887.854166666664</v>
      </c>
      <c r="AN238" s="103"/>
      <c r="AO238" s="103"/>
      <c r="AP238" s="103"/>
      <c r="AQ238" s="105"/>
      <c r="AR238" s="103"/>
      <c r="AS238" s="103"/>
      <c r="AT238" s="101"/>
      <c r="AU238" s="101"/>
      <c r="AV238" s="101"/>
      <c r="AW238" s="101"/>
      <c r="AX238" s="32">
        <f>운전실적_원본!W238</f>
        <v>149</v>
      </c>
      <c r="AY238" s="198">
        <f>운전실적_원본!X238</f>
        <v>0</v>
      </c>
      <c r="AZ238" s="198">
        <f>운전실적_원본!Y238</f>
        <v>0</v>
      </c>
      <c r="BA238" s="198">
        <f>운전실적_원본!Z238</f>
        <v>0</v>
      </c>
      <c r="BB238" s="198">
        <f>운전실적_원본!AA238</f>
        <v>0</v>
      </c>
      <c r="BC238" s="198">
        <f>운전실적_원본!AB238</f>
        <v>149</v>
      </c>
      <c r="BD238" s="32">
        <f t="shared" si="1121"/>
        <v>13.545454545454545</v>
      </c>
      <c r="BE238" s="11">
        <f t="shared" si="1129"/>
        <v>0.26358152452723382</v>
      </c>
      <c r="BF238" s="11">
        <f>운전실적_원본!AE238</f>
        <v>0</v>
      </c>
      <c r="BG238" s="31">
        <f t="shared" si="1122"/>
        <v>0</v>
      </c>
    </row>
    <row r="239" spans="1:59">
      <c r="A239" s="6">
        <f t="shared" si="1130"/>
        <v>45891</v>
      </c>
      <c r="B239" s="15">
        <f>운전실적_원본!B239</f>
        <v>7663</v>
      </c>
      <c r="C239" s="16">
        <f t="shared" si="1299"/>
        <v>27</v>
      </c>
      <c r="D239" s="9">
        <f>운전실적_원본!C239</f>
        <v>239807</v>
      </c>
      <c r="E239" s="199">
        <f t="shared" si="1300"/>
        <v>170</v>
      </c>
      <c r="F239" s="9">
        <f>운전실적_원본!D239</f>
        <v>233501</v>
      </c>
      <c r="G239" s="16">
        <f t="shared" si="1301"/>
        <v>0</v>
      </c>
      <c r="H239" s="15">
        <f>운전실적_원본!E239</f>
        <v>15828.91</v>
      </c>
      <c r="I239" s="16">
        <f t="shared" si="1302"/>
        <v>22.329999999999927</v>
      </c>
      <c r="J239" s="15">
        <f>운전실적_원본!E239</f>
        <v>15828.91</v>
      </c>
      <c r="K239" s="16">
        <f t="shared" si="1302"/>
        <v>22.329999999999927</v>
      </c>
      <c r="L239" s="15">
        <f>운전실적_원본!G239</f>
        <v>3907.4</v>
      </c>
      <c r="M239" s="31">
        <f t="shared" ref="M239" si="1339">IF(OR(LEN(L239)=0,L239=0),"",L239-L238)</f>
        <v>0.5</v>
      </c>
      <c r="N239" s="15">
        <f>운전실적_원본!H239</f>
        <v>19178</v>
      </c>
      <c r="O239" s="16">
        <f t="shared" ref="O239" si="1340">IF(OR(LEN(N239)=0,N239=0),"",N239-N238)</f>
        <v>49</v>
      </c>
      <c r="P239" s="15">
        <f>운전실적_원본!I239</f>
        <v>283221</v>
      </c>
      <c r="Q239" s="16">
        <f t="shared" ref="Q239" si="1341">IF(OR(LEN(P239)=0,P239=0),"",P239-P238)</f>
        <v>217</v>
      </c>
      <c r="R239" s="18">
        <f>운전실적_원본!J239</f>
        <v>31.97</v>
      </c>
      <c r="S239" s="19">
        <f t="shared" ref="S239" si="1342">IF(OR(LEN(R239)=0,R239=0),"",R239-R238)</f>
        <v>5.9999999999998721E-2</v>
      </c>
      <c r="T239" s="18">
        <f>운전실적_원본!K239</f>
        <v>31.41</v>
      </c>
      <c r="U239" s="19">
        <f t="shared" si="1307"/>
        <v>-1.0000000000001563E-2</v>
      </c>
      <c r="V239" s="12">
        <f>운전실적_원본!L239</f>
        <v>8309</v>
      </c>
      <c r="W239" s="16">
        <f t="shared" ref="W239" si="1343">IF(OR(LEN(V239)=0,V239=0),"",V239-V238)</f>
        <v>-133</v>
      </c>
      <c r="X239" s="10">
        <f>운전실적_원본!M239</f>
        <v>21211.789999999106</v>
      </c>
      <c r="Y239" s="10">
        <f>운전실적_원본!N239</f>
        <v>0</v>
      </c>
      <c r="Z239" s="10">
        <f>운전실적_원본!O239</f>
        <v>0</v>
      </c>
      <c r="AA239" s="10">
        <f>운전실적_원본!P239</f>
        <v>0</v>
      </c>
      <c r="AB239" s="10">
        <f>운전실적_원본!Q239</f>
        <v>0</v>
      </c>
      <c r="AC239" s="10">
        <f>운전실적_원본!R239</f>
        <v>0</v>
      </c>
      <c r="AD239" s="181">
        <f>운전실적_원본!S239</f>
        <v>8</v>
      </c>
      <c r="AE239" s="181">
        <f>운전실적_원본!T239</f>
        <v>0</v>
      </c>
      <c r="AF239" s="181">
        <f>운전실적_원본!U239</f>
        <v>0</v>
      </c>
      <c r="AG239" s="181">
        <f>운전실적_원본!V239</f>
        <v>0</v>
      </c>
      <c r="AH239" s="106">
        <f t="shared" si="1128"/>
        <v>8.0833333333139308</v>
      </c>
      <c r="AI239" s="107">
        <f t="shared" si="1136"/>
        <v>0</v>
      </c>
      <c r="AJ239" s="107">
        <f t="shared" si="1137"/>
        <v>0</v>
      </c>
      <c r="AK239" s="204">
        <f t="shared" si="1138"/>
        <v>0</v>
      </c>
      <c r="AL239" s="103">
        <v>45887.538194444445</v>
      </c>
      <c r="AM239" s="103">
        <v>45887.875</v>
      </c>
      <c r="AN239" s="103"/>
      <c r="AO239" s="103"/>
      <c r="AP239" s="103"/>
      <c r="AQ239" s="105"/>
      <c r="AR239" s="103"/>
      <c r="AS239" s="103"/>
      <c r="AT239" s="101"/>
      <c r="AU239" s="101"/>
      <c r="AV239" s="101"/>
      <c r="AW239" s="101"/>
      <c r="AX239" s="32">
        <f>운전실적_원본!W239</f>
        <v>137</v>
      </c>
      <c r="AY239" s="198">
        <f>운전실적_원본!X239</f>
        <v>0</v>
      </c>
      <c r="AZ239" s="198">
        <f>운전실적_원본!Y239</f>
        <v>0</v>
      </c>
      <c r="BA239" s="198">
        <f>운전실적_원본!Z239</f>
        <v>0</v>
      </c>
      <c r="BB239" s="198">
        <f>운전실적_원본!AA239</f>
        <v>0</v>
      </c>
      <c r="BC239" s="198">
        <f>운전실적_원본!AB239</f>
        <v>137</v>
      </c>
      <c r="BD239" s="32">
        <f t="shared" si="1121"/>
        <v>17.125</v>
      </c>
      <c r="BE239" s="11">
        <f t="shared" si="1129"/>
        <v>0.33323603813971592</v>
      </c>
      <c r="BF239" s="11">
        <f>운전실적_원본!AE239</f>
        <v>0</v>
      </c>
      <c r="BG239" s="31">
        <f t="shared" si="1122"/>
        <v>0</v>
      </c>
    </row>
    <row r="240" spans="1:59">
      <c r="A240" s="6">
        <f t="shared" si="1130"/>
        <v>45892</v>
      </c>
      <c r="B240" s="15">
        <f>운전실적_원본!B240</f>
        <v>7692</v>
      </c>
      <c r="C240" s="16">
        <f t="shared" si="1299"/>
        <v>29</v>
      </c>
      <c r="D240" s="9">
        <f>운전실적_원본!C240</f>
        <v>239897</v>
      </c>
      <c r="E240" s="199">
        <f t="shared" si="1300"/>
        <v>90</v>
      </c>
      <c r="F240" s="9">
        <f>운전실적_원본!D240</f>
        <v>233587</v>
      </c>
      <c r="G240" s="16">
        <f t="shared" si="1301"/>
        <v>86</v>
      </c>
      <c r="H240" s="15">
        <f>운전실적_원본!E240</f>
        <v>15848.31</v>
      </c>
      <c r="I240" s="16">
        <f t="shared" si="1302"/>
        <v>19.399999999999636</v>
      </c>
      <c r="J240" s="15">
        <f>운전실적_원본!E240</f>
        <v>15848.31</v>
      </c>
      <c r="K240" s="16">
        <f t="shared" si="1302"/>
        <v>19.399999999999636</v>
      </c>
      <c r="L240" s="15">
        <f>운전실적_원본!G240</f>
        <v>3908.3</v>
      </c>
      <c r="M240" s="31">
        <f t="shared" ref="M240" si="1344">IF(OR(LEN(L240)=0,L240=0),"",L240-L239)</f>
        <v>0.90000000000009095</v>
      </c>
      <c r="N240" s="15">
        <f>운전실적_원본!H240</f>
        <v>19330</v>
      </c>
      <c r="O240" s="16">
        <f t="shared" ref="O240" si="1345">IF(OR(LEN(N240)=0,N240=0),"",N240-N239)</f>
        <v>152</v>
      </c>
      <c r="P240" s="15">
        <f>운전실적_원본!I240</f>
        <v>283479</v>
      </c>
      <c r="Q240" s="16">
        <f t="shared" ref="Q240" si="1346">IF(OR(LEN(P240)=0,P240=0),"",P240-P239)</f>
        <v>258</v>
      </c>
      <c r="R240" s="18">
        <f>운전실적_원본!J240</f>
        <v>31.72</v>
      </c>
      <c r="S240" s="19">
        <f t="shared" ref="S240" si="1347">IF(OR(LEN(R240)=0,R240=0),"",R240-R239)</f>
        <v>-0.25</v>
      </c>
      <c r="T240" s="18">
        <f>운전실적_원본!K240</f>
        <v>31.31</v>
      </c>
      <c r="U240" s="19">
        <f t="shared" si="1307"/>
        <v>-0.10000000000000142</v>
      </c>
      <c r="V240" s="12">
        <f>운전실적_원본!L240</f>
        <v>8000</v>
      </c>
      <c r="W240" s="16">
        <f t="shared" ref="W240" si="1348">IF(OR(LEN(V240)=0,V240=0),"",V240-V239)</f>
        <v>-309</v>
      </c>
      <c r="X240" s="10">
        <f>운전실적_원본!M240</f>
        <v>0</v>
      </c>
      <c r="Y240" s="10">
        <f>운전실적_원본!N240</f>
        <v>0</v>
      </c>
      <c r="Z240" s="10">
        <f>운전실적_원본!O240</f>
        <v>0</v>
      </c>
      <c r="AA240" s="10">
        <f>운전실적_원본!P240</f>
        <v>0</v>
      </c>
      <c r="AB240" s="10">
        <f>운전실적_원본!Q240</f>
        <v>0</v>
      </c>
      <c r="AC240" s="10">
        <f>운전실적_원본!R240</f>
        <v>0</v>
      </c>
      <c r="AD240" s="181">
        <f>운전실적_원본!S240</f>
        <v>0</v>
      </c>
      <c r="AE240" s="181">
        <f>운전실적_원본!T240</f>
        <v>0</v>
      </c>
      <c r="AF240" s="181">
        <f>운전실적_원본!U240</f>
        <v>0</v>
      </c>
      <c r="AG240" s="181">
        <f>운전실적_원본!V240</f>
        <v>0</v>
      </c>
      <c r="AH240" s="106">
        <f t="shared" si="1128"/>
        <v>0</v>
      </c>
      <c r="AI240" s="107">
        <f t="shared" si="1136"/>
        <v>0</v>
      </c>
      <c r="AJ240" s="107">
        <f t="shared" si="1137"/>
        <v>0</v>
      </c>
      <c r="AK240" s="204">
        <f t="shared" si="1138"/>
        <v>0</v>
      </c>
      <c r="AL240" s="103"/>
      <c r="AM240" s="103"/>
      <c r="AN240" s="103"/>
      <c r="AO240" s="103"/>
      <c r="AP240" s="103"/>
      <c r="AQ240" s="105"/>
      <c r="AR240" s="103"/>
      <c r="AS240" s="103"/>
      <c r="AT240" s="101"/>
      <c r="AU240" s="101"/>
      <c r="AV240" s="101"/>
      <c r="AW240" s="101"/>
      <c r="AX240" s="32">
        <f>운전실적_원본!W240</f>
        <v>0</v>
      </c>
      <c r="AY240" s="198">
        <f>운전실적_원본!X240</f>
        <v>0</v>
      </c>
      <c r="AZ240" s="198">
        <f>운전실적_원본!Y240</f>
        <v>0</v>
      </c>
      <c r="BA240" s="198">
        <f>운전실적_원본!Z240</f>
        <v>0</v>
      </c>
      <c r="BB240" s="198">
        <f>운전실적_원본!AA240</f>
        <v>0</v>
      </c>
      <c r="BC240" s="198">
        <f>운전실적_원본!AB240</f>
        <v>0</v>
      </c>
      <c r="BD240" s="32" t="str">
        <f t="shared" si="1121"/>
        <v>-</v>
      </c>
      <c r="BE240" s="11" t="str">
        <f t="shared" si="1129"/>
        <v>-</v>
      </c>
      <c r="BF240" s="11">
        <f>운전실적_원본!AE240</f>
        <v>0</v>
      </c>
      <c r="BG240" s="31">
        <f t="shared" si="1122"/>
        <v>0</v>
      </c>
    </row>
    <row r="241" spans="1:59">
      <c r="A241" s="6">
        <f t="shared" si="1130"/>
        <v>45893</v>
      </c>
      <c r="B241" s="15">
        <f>운전실적_원본!B241</f>
        <v>7717</v>
      </c>
      <c r="C241" s="16">
        <f t="shared" si="1299"/>
        <v>25</v>
      </c>
      <c r="D241" s="9">
        <f>운전실적_원본!C241</f>
        <v>239979</v>
      </c>
      <c r="E241" s="199">
        <f t="shared" si="1300"/>
        <v>82</v>
      </c>
      <c r="F241" s="9">
        <f>운전실적_원본!D241</f>
        <v>233676</v>
      </c>
      <c r="G241" s="16">
        <f t="shared" si="1301"/>
        <v>89</v>
      </c>
      <c r="H241" s="15">
        <f>운전실적_원본!E241</f>
        <v>15873.21</v>
      </c>
      <c r="I241" s="16">
        <f t="shared" si="1302"/>
        <v>24.899999999999636</v>
      </c>
      <c r="J241" s="15">
        <f>운전실적_원본!E241</f>
        <v>15873.21</v>
      </c>
      <c r="K241" s="16">
        <f t="shared" si="1302"/>
        <v>24.899999999999636</v>
      </c>
      <c r="L241" s="15">
        <f>운전실적_원본!G241</f>
        <v>3908.9</v>
      </c>
      <c r="M241" s="31">
        <f t="shared" ref="M241" si="1349">IF(OR(LEN(L241)=0,L241=0),"",L241-L240)</f>
        <v>0.59999999999990905</v>
      </c>
      <c r="N241" s="15">
        <f>운전실적_원본!H241</f>
        <v>19418</v>
      </c>
      <c r="O241" s="16">
        <f t="shared" ref="O241" si="1350">IF(OR(LEN(N241)=0,N241=0),"",N241-N240)</f>
        <v>88</v>
      </c>
      <c r="P241" s="15">
        <f>운전실적_원본!I241</f>
        <v>283688</v>
      </c>
      <c r="Q241" s="16">
        <f t="shared" ref="Q241" si="1351">IF(OR(LEN(P241)=0,P241=0),"",P241-P240)</f>
        <v>209</v>
      </c>
      <c r="R241" s="18">
        <f>운전실적_원본!J241</f>
        <v>31.7</v>
      </c>
      <c r="S241" s="19">
        <f t="shared" ref="S241" si="1352">IF(OR(LEN(R241)=0,R241=0),"",R241-R240)</f>
        <v>-1.9999999999999574E-2</v>
      </c>
      <c r="T241" s="18">
        <f>운전실적_원본!K241</f>
        <v>31.36</v>
      </c>
      <c r="U241" s="19">
        <f t="shared" si="1307"/>
        <v>5.0000000000000711E-2</v>
      </c>
      <c r="V241" s="12">
        <f>운전실적_원본!L241</f>
        <v>7470</v>
      </c>
      <c r="W241" s="16">
        <f t="shared" ref="W241" si="1353">IF(OR(LEN(V241)=0,V241=0),"",V241-V240)</f>
        <v>-530</v>
      </c>
      <c r="X241" s="10">
        <f>운전실적_원본!M241</f>
        <v>0</v>
      </c>
      <c r="Y241" s="10">
        <f>운전실적_원본!N241</f>
        <v>0</v>
      </c>
      <c r="Z241" s="10">
        <f>운전실적_원본!O241</f>
        <v>0</v>
      </c>
      <c r="AA241" s="10">
        <f>운전실적_원본!P241</f>
        <v>0</v>
      </c>
      <c r="AB241" s="10">
        <f>운전실적_원본!Q241</f>
        <v>0</v>
      </c>
      <c r="AC241" s="10">
        <f>운전실적_원본!R241</f>
        <v>0</v>
      </c>
      <c r="AD241" s="181">
        <f>운전실적_원본!S241</f>
        <v>0</v>
      </c>
      <c r="AE241" s="181">
        <f>운전실적_원본!T241</f>
        <v>0</v>
      </c>
      <c r="AF241" s="181">
        <f>운전실적_원본!U241</f>
        <v>0</v>
      </c>
      <c r="AG241" s="181">
        <f>운전실적_원본!V241</f>
        <v>0</v>
      </c>
      <c r="AH241" s="106">
        <f t="shared" si="1128"/>
        <v>0</v>
      </c>
      <c r="AI241" s="107">
        <f t="shared" si="1136"/>
        <v>0</v>
      </c>
      <c r="AJ241" s="107">
        <f t="shared" si="1137"/>
        <v>0</v>
      </c>
      <c r="AK241" s="204">
        <f t="shared" si="1138"/>
        <v>0</v>
      </c>
      <c r="AL241" s="103"/>
      <c r="AM241" s="103"/>
      <c r="AN241" s="103"/>
      <c r="AO241" s="103"/>
      <c r="AP241" s="103"/>
      <c r="AQ241" s="105"/>
      <c r="AR241" s="103"/>
      <c r="AS241" s="103"/>
      <c r="AT241" s="101"/>
      <c r="AU241" s="101"/>
      <c r="AV241" s="101"/>
      <c r="AW241" s="101"/>
      <c r="AX241" s="32">
        <f>운전실적_원본!W241</f>
        <v>0</v>
      </c>
      <c r="AY241" s="198">
        <f>운전실적_원본!X241</f>
        <v>0</v>
      </c>
      <c r="AZ241" s="198">
        <f>운전실적_원본!Y241</f>
        <v>0</v>
      </c>
      <c r="BA241" s="198">
        <f>운전실적_원본!Z241</f>
        <v>0</v>
      </c>
      <c r="BB241" s="198">
        <f>운전실적_원본!AA241</f>
        <v>0</v>
      </c>
      <c r="BC241" s="198">
        <f>운전실적_원본!AB241</f>
        <v>0</v>
      </c>
      <c r="BD241" s="32" t="str">
        <f t="shared" si="1121"/>
        <v>-</v>
      </c>
      <c r="BE241" s="11" t="str">
        <f t="shared" si="1129"/>
        <v>-</v>
      </c>
      <c r="BF241" s="11">
        <f>운전실적_원본!AE241</f>
        <v>0</v>
      </c>
      <c r="BG241" s="31">
        <f t="shared" si="1122"/>
        <v>0</v>
      </c>
    </row>
    <row r="242" spans="1:59">
      <c r="A242" s="6">
        <f t="shared" si="1130"/>
        <v>45894</v>
      </c>
      <c r="B242" s="15">
        <f>운전실적_원본!B242</f>
        <v>7721</v>
      </c>
      <c r="C242" s="16">
        <f t="shared" si="1299"/>
        <v>4</v>
      </c>
      <c r="D242" s="9">
        <f>운전실적_원본!C242</f>
        <v>240036</v>
      </c>
      <c r="E242" s="199">
        <f t="shared" si="1300"/>
        <v>57</v>
      </c>
      <c r="F242" s="9">
        <f>운전실적_원본!D242</f>
        <v>233676</v>
      </c>
      <c r="G242" s="16">
        <f t="shared" si="1301"/>
        <v>0</v>
      </c>
      <c r="H242" s="15">
        <f>운전실적_원본!E242</f>
        <v>15897.79</v>
      </c>
      <c r="I242" s="16">
        <f t="shared" si="1302"/>
        <v>24.580000000001746</v>
      </c>
      <c r="J242" s="15">
        <f>운전실적_원본!E242</f>
        <v>15897.79</v>
      </c>
      <c r="K242" s="16">
        <f t="shared" si="1302"/>
        <v>24.580000000001746</v>
      </c>
      <c r="L242" s="15">
        <f>운전실적_원본!G242</f>
        <v>3909.5</v>
      </c>
      <c r="M242" s="31">
        <f t="shared" ref="M242" si="1354">IF(OR(LEN(L242)=0,L242=0),"",L242-L241)</f>
        <v>0.59999999999990905</v>
      </c>
      <c r="N242" s="15">
        <f>운전실적_원본!H242</f>
        <v>19489</v>
      </c>
      <c r="O242" s="16">
        <f t="shared" ref="O242" si="1355">IF(OR(LEN(N242)=0,N242=0),"",N242-N241)</f>
        <v>71</v>
      </c>
      <c r="P242" s="15">
        <f>운전실적_원본!I242</f>
        <v>283813</v>
      </c>
      <c r="Q242" s="16">
        <f t="shared" ref="Q242" si="1356">IF(OR(LEN(P242)=0,P242=0),"",P242-P241)</f>
        <v>125</v>
      </c>
      <c r="R242" s="18">
        <f>운전실적_원본!J242</f>
        <v>31.69</v>
      </c>
      <c r="S242" s="19">
        <f t="shared" ref="S242" si="1357">IF(OR(LEN(R242)=0,R242=0),"",R242-R241)</f>
        <v>-9.9999999999980105E-3</v>
      </c>
      <c r="T242" s="18">
        <f>운전실적_원본!K242</f>
        <v>31.21</v>
      </c>
      <c r="U242" s="19">
        <f t="shared" si="1307"/>
        <v>-0.14999999999999858</v>
      </c>
      <c r="V242" s="12">
        <f>운전실적_원본!L242</f>
        <v>6672</v>
      </c>
      <c r="W242" s="16">
        <f t="shared" ref="W242" si="1358">IF(OR(LEN(V242)=0,V242=0),"",V242-V241)</f>
        <v>-798</v>
      </c>
      <c r="X242" s="10">
        <f>운전실적_원본!M242</f>
        <v>22622.929999999702</v>
      </c>
      <c r="Y242" s="10">
        <f>운전실적_원본!N242</f>
        <v>0</v>
      </c>
      <c r="Z242" s="10">
        <f>운전실적_원본!O242</f>
        <v>0</v>
      </c>
      <c r="AA242" s="10">
        <f>운전실적_원본!P242</f>
        <v>0</v>
      </c>
      <c r="AB242" s="10">
        <f>운전실적_원본!Q242</f>
        <v>0</v>
      </c>
      <c r="AC242" s="10">
        <f>운전실적_원본!R242</f>
        <v>0</v>
      </c>
      <c r="AD242" s="181">
        <f>운전실적_원본!S242</f>
        <v>10</v>
      </c>
      <c r="AE242" s="181">
        <f>운전실적_원본!T242</f>
        <v>0</v>
      </c>
      <c r="AF242" s="181">
        <f>운전실적_원본!U242</f>
        <v>0</v>
      </c>
      <c r="AG242" s="181">
        <f>운전실적_원본!V242</f>
        <v>0</v>
      </c>
      <c r="AH242" s="106">
        <f t="shared" si="1128"/>
        <v>10.166666666802485</v>
      </c>
      <c r="AI242" s="107">
        <f t="shared" si="1136"/>
        <v>0</v>
      </c>
      <c r="AJ242" s="107">
        <f t="shared" si="1137"/>
        <v>0</v>
      </c>
      <c r="AK242" s="204">
        <f t="shared" si="1138"/>
        <v>0</v>
      </c>
      <c r="AL242" s="103">
        <v>45894.416666666664</v>
      </c>
      <c r="AM242" s="103">
        <v>45894.840277777781</v>
      </c>
      <c r="AN242" s="103"/>
      <c r="AO242" s="103"/>
      <c r="AP242" s="103"/>
      <c r="AQ242" s="105"/>
      <c r="AR242" s="103"/>
      <c r="AS242" s="103"/>
      <c r="AT242" s="101"/>
      <c r="AU242" s="101"/>
      <c r="AV242" s="101"/>
      <c r="AW242" s="101"/>
      <c r="AX242" s="32">
        <f>운전실적_원본!W242</f>
        <v>139</v>
      </c>
      <c r="AY242" s="198">
        <f>운전실적_원본!X242</f>
        <v>0</v>
      </c>
      <c r="AZ242" s="198">
        <f>운전실적_원본!Y242</f>
        <v>0</v>
      </c>
      <c r="BA242" s="198">
        <f>운전실적_원본!Z242</f>
        <v>0</v>
      </c>
      <c r="BB242" s="198">
        <f>운전실적_원본!AA242</f>
        <v>0</v>
      </c>
      <c r="BC242" s="198">
        <f>운전실적_원본!AB242</f>
        <v>139</v>
      </c>
      <c r="BD242" s="32">
        <f t="shared" si="1121"/>
        <v>13.9</v>
      </c>
      <c r="BE242" s="11">
        <f t="shared" si="1129"/>
        <v>0.27048063825647012</v>
      </c>
      <c r="BF242" s="11">
        <f>운전실적_원본!AE242</f>
        <v>0</v>
      </c>
      <c r="BG242" s="31">
        <f t="shared" si="1122"/>
        <v>0</v>
      </c>
    </row>
    <row r="243" spans="1:59">
      <c r="A243" s="6">
        <f t="shared" si="1130"/>
        <v>45895</v>
      </c>
      <c r="B243" s="15">
        <f>운전실적_원본!B243</f>
        <v>7751</v>
      </c>
      <c r="C243" s="16">
        <f t="shared" si="1299"/>
        <v>30</v>
      </c>
      <c r="D243" s="9">
        <f>운전실적_원본!C243</f>
        <v>240162</v>
      </c>
      <c r="E243" s="199">
        <f t="shared" si="1300"/>
        <v>126</v>
      </c>
      <c r="F243" s="9">
        <f>운전실적_원본!D243</f>
        <v>233690</v>
      </c>
      <c r="G243" s="16">
        <f t="shared" si="1301"/>
        <v>14</v>
      </c>
      <c r="H243" s="15">
        <f>운전실적_원본!E243</f>
        <v>15925.45</v>
      </c>
      <c r="I243" s="16">
        <f t="shared" si="1302"/>
        <v>27.659999999999854</v>
      </c>
      <c r="J243" s="15">
        <f>운전실적_원본!E243</f>
        <v>15925.45</v>
      </c>
      <c r="K243" s="16">
        <f t="shared" si="1302"/>
        <v>27.659999999999854</v>
      </c>
      <c r="L243" s="15">
        <f>운전실적_원본!G243</f>
        <v>3910.2</v>
      </c>
      <c r="M243" s="31">
        <f t="shared" ref="M243" si="1359">IF(OR(LEN(L243)=0,L243=0),"",L243-L242)</f>
        <v>0.6999999999998181</v>
      </c>
      <c r="N243" s="15">
        <f>운전실적_원본!H243</f>
        <v>19563</v>
      </c>
      <c r="O243" s="16">
        <f t="shared" ref="O243" si="1360">IF(OR(LEN(N243)=0,N243=0),"",N243-N242)</f>
        <v>74</v>
      </c>
      <c r="P243" s="15">
        <f>운전실적_원본!I243</f>
        <v>284028</v>
      </c>
      <c r="Q243" s="16">
        <f t="shared" ref="Q243" si="1361">IF(OR(LEN(P243)=0,P243=0),"",P243-P242)</f>
        <v>215</v>
      </c>
      <c r="R243" s="18">
        <f>운전실적_원본!J243</f>
        <v>31.66</v>
      </c>
      <c r="S243" s="19">
        <f t="shared" ref="S243" si="1362">IF(OR(LEN(R243)=0,R243=0),"",R243-R242)</f>
        <v>-3.0000000000001137E-2</v>
      </c>
      <c r="T243" s="18">
        <f>운전실적_원본!K243</f>
        <v>31.1</v>
      </c>
      <c r="U243" s="19">
        <f t="shared" si="1307"/>
        <v>-0.10999999999999943</v>
      </c>
      <c r="V243" s="12">
        <f>운전실적_원본!L243</f>
        <v>6156</v>
      </c>
      <c r="W243" s="16">
        <f t="shared" ref="W243" si="1363">IF(OR(LEN(V243)=0,V243=0),"",V243-V242)</f>
        <v>-516</v>
      </c>
      <c r="X243" s="10">
        <f>운전실적_원본!M243</f>
        <v>33332.19999999553</v>
      </c>
      <c r="Y243" s="10">
        <f>운전실적_원본!N243</f>
        <v>0</v>
      </c>
      <c r="Z243" s="10">
        <f>운전실적_원본!O243</f>
        <v>0</v>
      </c>
      <c r="AA243" s="10">
        <f>운전실적_원본!P243</f>
        <v>0</v>
      </c>
      <c r="AB243" s="10">
        <f>운전실적_원본!Q243</f>
        <v>0</v>
      </c>
      <c r="AC243" s="10">
        <f>운전실적_원본!R243</f>
        <v>0</v>
      </c>
      <c r="AD243" s="181">
        <f>운전실적_원본!S243</f>
        <v>12</v>
      </c>
      <c r="AE243" s="181">
        <f>운전실적_원본!T243</f>
        <v>0</v>
      </c>
      <c r="AF243" s="181">
        <f>운전실적_원본!U243</f>
        <v>0</v>
      </c>
      <c r="AG243" s="181">
        <f>운전실적_원본!V243</f>
        <v>0</v>
      </c>
      <c r="AH243" s="106">
        <f t="shared" si="1128"/>
        <v>12</v>
      </c>
      <c r="AI243" s="107">
        <f t="shared" si="1136"/>
        <v>0</v>
      </c>
      <c r="AJ243" s="107">
        <f t="shared" si="1137"/>
        <v>0</v>
      </c>
      <c r="AK243" s="204">
        <f t="shared" si="1138"/>
        <v>0</v>
      </c>
      <c r="AL243" s="103">
        <v>45895.270833333336</v>
      </c>
      <c r="AM243" s="103">
        <v>45895.770833333336</v>
      </c>
      <c r="AN243" s="103"/>
      <c r="AO243" s="103"/>
      <c r="AP243" s="103"/>
      <c r="AQ243" s="105"/>
      <c r="AR243" s="103"/>
      <c r="AS243" s="103"/>
      <c r="AT243" s="101"/>
      <c r="AU243" s="101"/>
      <c r="AV243" s="101"/>
      <c r="AW243" s="101"/>
      <c r="AX243" s="32">
        <f>운전실적_원본!W243</f>
        <v>219</v>
      </c>
      <c r="AY243" s="198">
        <f>운전실적_원본!X243</f>
        <v>0</v>
      </c>
      <c r="AZ243" s="198">
        <f>운전실적_원본!Y243</f>
        <v>0</v>
      </c>
      <c r="BA243" s="198">
        <f>운전실적_원본!Z243</f>
        <v>0</v>
      </c>
      <c r="BB243" s="198">
        <f>운전실적_원본!AA243</f>
        <v>0</v>
      </c>
      <c r="BC243" s="198">
        <f>운전실적_원본!AB243</f>
        <v>219</v>
      </c>
      <c r="BD243" s="32">
        <f t="shared" si="1121"/>
        <v>18.25</v>
      </c>
      <c r="BE243" s="11">
        <f t="shared" si="1129"/>
        <v>0.35512745670363882</v>
      </c>
      <c r="BF243" s="11">
        <f>운전실적_원본!AE243</f>
        <v>0</v>
      </c>
      <c r="BG243" s="31">
        <f t="shared" si="1122"/>
        <v>0</v>
      </c>
    </row>
    <row r="244" spans="1:59">
      <c r="A244" s="6">
        <f t="shared" si="1130"/>
        <v>45896</v>
      </c>
      <c r="B244" s="15">
        <f>운전실적_원본!B244</f>
        <v>7776</v>
      </c>
      <c r="C244" s="16">
        <f t="shared" si="1299"/>
        <v>25</v>
      </c>
      <c r="D244" s="9">
        <f>운전실적_원본!C244</f>
        <v>240237</v>
      </c>
      <c r="E244" s="199">
        <f t="shared" si="1300"/>
        <v>75</v>
      </c>
      <c r="F244" s="9">
        <f>운전실적_원본!D244</f>
        <v>233810</v>
      </c>
      <c r="G244" s="16">
        <f t="shared" si="1301"/>
        <v>120</v>
      </c>
      <c r="H244" s="15">
        <f>운전실적_원본!E244</f>
        <v>15947.95</v>
      </c>
      <c r="I244" s="16">
        <f t="shared" si="1302"/>
        <v>22.5</v>
      </c>
      <c r="J244" s="15">
        <f>운전실적_원본!E244</f>
        <v>15947.95</v>
      </c>
      <c r="K244" s="16">
        <f t="shared" si="1302"/>
        <v>22.5</v>
      </c>
      <c r="L244" s="15">
        <f>운전실적_원본!G244</f>
        <v>3910.9</v>
      </c>
      <c r="M244" s="31">
        <f t="shared" ref="M244" si="1364">IF(OR(LEN(L244)=0,L244=0),"",L244-L243)</f>
        <v>0.70000000000027285</v>
      </c>
      <c r="N244" s="15">
        <f>운전실적_원본!H244</f>
        <v>19687</v>
      </c>
      <c r="O244" s="16">
        <f t="shared" ref="O244" si="1365">IF(OR(LEN(N244)=0,N244=0),"",N244-N243)</f>
        <v>124</v>
      </c>
      <c r="P244" s="15">
        <f>운전실적_원본!I244</f>
        <v>284284</v>
      </c>
      <c r="Q244" s="16">
        <f t="shared" ref="Q244" si="1366">IF(OR(LEN(P244)=0,P244=0),"",P244-P243)</f>
        <v>256</v>
      </c>
      <c r="R244" s="18">
        <f>운전실적_원본!J244</f>
        <v>31.44</v>
      </c>
      <c r="S244" s="19">
        <f t="shared" ref="S244" si="1367">IF(OR(LEN(R244)=0,R244=0),"",R244-R243)</f>
        <v>-0.21999999999999886</v>
      </c>
      <c r="T244" s="18">
        <f>운전실적_원본!K244</f>
        <v>31.08</v>
      </c>
      <c r="U244" s="19">
        <f t="shared" si="1307"/>
        <v>-2.0000000000003126E-2</v>
      </c>
      <c r="V244" s="12">
        <f>운전실적_원본!L244</f>
        <v>6410</v>
      </c>
      <c r="W244" s="16">
        <f t="shared" ref="W244" si="1368">IF(OR(LEN(V244)=0,V244=0),"",V244-V243)</f>
        <v>254</v>
      </c>
      <c r="X244" s="10">
        <f>운전실적_원본!M244</f>
        <v>0</v>
      </c>
      <c r="Y244" s="10">
        <f>운전실적_원본!N244</f>
        <v>0</v>
      </c>
      <c r="Z244" s="10">
        <f>운전실적_원본!O244</f>
        <v>0</v>
      </c>
      <c r="AA244" s="10">
        <f>운전실적_원본!P244</f>
        <v>0</v>
      </c>
      <c r="AB244" s="10">
        <f>운전실적_원본!Q244</f>
        <v>0</v>
      </c>
      <c r="AC244" s="10">
        <f>운전실적_원본!R244</f>
        <v>0</v>
      </c>
      <c r="AD244" s="181">
        <f>운전실적_원본!S244</f>
        <v>0</v>
      </c>
      <c r="AE244" s="181">
        <f>운전실적_원본!T244</f>
        <v>0</v>
      </c>
      <c r="AF244" s="181">
        <f>운전실적_원본!U244</f>
        <v>0</v>
      </c>
      <c r="AG244" s="181">
        <f>운전실적_원본!V244</f>
        <v>0</v>
      </c>
      <c r="AH244" s="106">
        <f t="shared" si="1128"/>
        <v>0</v>
      </c>
      <c r="AI244" s="107">
        <f t="shared" si="1136"/>
        <v>0</v>
      </c>
      <c r="AJ244" s="107">
        <f t="shared" si="1137"/>
        <v>0</v>
      </c>
      <c r="AK244" s="204">
        <f t="shared" si="1138"/>
        <v>0</v>
      </c>
      <c r="AL244" s="103"/>
      <c r="AM244" s="103"/>
      <c r="AN244" s="103"/>
      <c r="AO244" s="103"/>
      <c r="AP244" s="103"/>
      <c r="AQ244" s="105"/>
      <c r="AR244" s="103"/>
      <c r="AS244" s="103"/>
      <c r="AT244" s="101"/>
      <c r="AU244" s="101"/>
      <c r="AV244" s="101"/>
      <c r="AW244" s="101"/>
      <c r="AX244" s="32">
        <f>운전실적_원본!W244</f>
        <v>0</v>
      </c>
      <c r="AY244" s="198">
        <f>운전실적_원본!X244</f>
        <v>0</v>
      </c>
      <c r="AZ244" s="198">
        <f>운전실적_원본!Y244</f>
        <v>0</v>
      </c>
      <c r="BA244" s="198">
        <f>운전실적_원본!Z244</f>
        <v>0</v>
      </c>
      <c r="BB244" s="198">
        <f>운전실적_원본!AA244</f>
        <v>0</v>
      </c>
      <c r="BC244" s="198">
        <f>운전실적_원본!AB244</f>
        <v>0</v>
      </c>
      <c r="BD244" s="32" t="str">
        <f t="shared" si="1121"/>
        <v>-</v>
      </c>
      <c r="BE244" s="11" t="str">
        <f t="shared" si="1129"/>
        <v>-</v>
      </c>
      <c r="BF244" s="11">
        <f>운전실적_원본!AE244</f>
        <v>0</v>
      </c>
      <c r="BG244" s="31">
        <f t="shared" si="1122"/>
        <v>0</v>
      </c>
    </row>
    <row r="245" spans="1:59">
      <c r="A245" s="6">
        <f t="shared" si="1130"/>
        <v>45897</v>
      </c>
      <c r="B245" s="15">
        <f>운전실적_원본!B245</f>
        <v>7804</v>
      </c>
      <c r="C245" s="16">
        <f t="shared" si="1299"/>
        <v>28</v>
      </c>
      <c r="D245" s="9">
        <f>운전실적_원본!C245</f>
        <v>240409</v>
      </c>
      <c r="E245" s="199">
        <f t="shared" si="1300"/>
        <v>172</v>
      </c>
      <c r="F245" s="9">
        <f>운전실적_원본!D245</f>
        <v>233839</v>
      </c>
      <c r="G245" s="16">
        <f t="shared" si="1301"/>
        <v>29</v>
      </c>
      <c r="H245" s="15">
        <f>운전실적_원본!E245</f>
        <v>15971.54</v>
      </c>
      <c r="I245" s="16">
        <f t="shared" si="1302"/>
        <v>23.590000000000146</v>
      </c>
      <c r="J245" s="15">
        <f>운전실적_원본!E245</f>
        <v>15971.54</v>
      </c>
      <c r="K245" s="16">
        <f t="shared" si="1302"/>
        <v>23.590000000000146</v>
      </c>
      <c r="L245" s="15">
        <f>운전실적_원본!G245</f>
        <v>3911.5</v>
      </c>
      <c r="M245" s="31">
        <f t="shared" ref="M245" si="1369">IF(OR(LEN(L245)=0,L245=0),"",L245-L244)</f>
        <v>0.59999999999990905</v>
      </c>
      <c r="N245" s="15">
        <f>운전실적_원본!H245</f>
        <v>19745</v>
      </c>
      <c r="O245" s="16">
        <f t="shared" ref="O245" si="1370">IF(OR(LEN(N245)=0,N245=0),"",N245-N244)</f>
        <v>58</v>
      </c>
      <c r="P245" s="15">
        <f>운전실적_원본!I245</f>
        <v>284537</v>
      </c>
      <c r="Q245" s="16">
        <f t="shared" ref="Q245" si="1371">IF(OR(LEN(P245)=0,P245=0),"",P245-P244)</f>
        <v>253</v>
      </c>
      <c r="R245" s="18">
        <f>운전실적_원본!J245</f>
        <v>31.36</v>
      </c>
      <c r="S245" s="19">
        <f t="shared" ref="S245" si="1372">IF(OR(LEN(R245)=0,R245=0),"",R245-R244)</f>
        <v>-8.0000000000001847E-2</v>
      </c>
      <c r="T245" s="18">
        <f>운전실적_원본!K245</f>
        <v>31.06</v>
      </c>
      <c r="U245" s="19">
        <f t="shared" si="1307"/>
        <v>-1.9999999999999574E-2</v>
      </c>
      <c r="V245" s="12">
        <f>운전실적_원본!L245</f>
        <v>6947</v>
      </c>
      <c r="W245" s="16">
        <f t="shared" ref="W245" si="1373">IF(OR(LEN(V245)=0,V245=0),"",V245-V244)</f>
        <v>537</v>
      </c>
      <c r="X245" s="10">
        <f>운전실적_원본!M245</f>
        <v>0</v>
      </c>
      <c r="Y245" s="10">
        <f>운전실적_원본!N245</f>
        <v>0</v>
      </c>
      <c r="Z245" s="10">
        <f>운전실적_원본!O245</f>
        <v>0</v>
      </c>
      <c r="AA245" s="10">
        <f>운전실적_원본!P245</f>
        <v>0</v>
      </c>
      <c r="AB245" s="10">
        <f>운전실적_원본!Q245</f>
        <v>0</v>
      </c>
      <c r="AC245" s="10">
        <f>운전실적_원본!R245</f>
        <v>0</v>
      </c>
      <c r="AD245" s="181">
        <f>운전실적_원본!S245</f>
        <v>0</v>
      </c>
      <c r="AE245" s="181">
        <f>운전실적_원본!T245</f>
        <v>0</v>
      </c>
      <c r="AF245" s="181">
        <f>운전실적_원본!U245</f>
        <v>0</v>
      </c>
      <c r="AG245" s="181">
        <f>운전실적_원본!V245</f>
        <v>0</v>
      </c>
      <c r="AH245" s="106">
        <f t="shared" si="1128"/>
        <v>0</v>
      </c>
      <c r="AI245" s="107">
        <f t="shared" si="1136"/>
        <v>0</v>
      </c>
      <c r="AJ245" s="107">
        <f t="shared" si="1137"/>
        <v>0</v>
      </c>
      <c r="AK245" s="204">
        <f t="shared" si="1138"/>
        <v>0</v>
      </c>
      <c r="AL245" s="103"/>
      <c r="AM245" s="103"/>
      <c r="AN245" s="103"/>
      <c r="AO245" s="103"/>
      <c r="AP245" s="103"/>
      <c r="AQ245" s="105"/>
      <c r="AR245" s="103"/>
      <c r="AS245" s="103"/>
      <c r="AT245" s="101"/>
      <c r="AU245" s="101"/>
      <c r="AV245" s="101"/>
      <c r="AW245" s="101"/>
      <c r="AX245" s="32">
        <f>운전실적_원본!W245</f>
        <v>0</v>
      </c>
      <c r="AY245" s="198">
        <f>운전실적_원본!X245</f>
        <v>0</v>
      </c>
      <c r="AZ245" s="198">
        <f>운전실적_원본!Y245</f>
        <v>0</v>
      </c>
      <c r="BA245" s="198">
        <f>운전실적_원본!Z245</f>
        <v>0</v>
      </c>
      <c r="BB245" s="198">
        <f>운전실적_원본!AA245</f>
        <v>0</v>
      </c>
      <c r="BC245" s="198">
        <f>운전실적_원본!AB245</f>
        <v>0</v>
      </c>
      <c r="BD245" s="32" t="str">
        <f t="shared" si="1121"/>
        <v>-</v>
      </c>
      <c r="BE245" s="11" t="str">
        <f t="shared" si="1129"/>
        <v>-</v>
      </c>
      <c r="BF245" s="11">
        <f>운전실적_원본!AE245</f>
        <v>0</v>
      </c>
      <c r="BG245" s="31">
        <f t="shared" si="1122"/>
        <v>0</v>
      </c>
    </row>
    <row r="246" spans="1:59">
      <c r="A246" s="6">
        <f t="shared" si="1130"/>
        <v>45898</v>
      </c>
      <c r="B246" s="15">
        <f>운전실적_원본!B246</f>
        <v>7836</v>
      </c>
      <c r="C246" s="16">
        <f t="shared" si="1299"/>
        <v>32</v>
      </c>
      <c r="D246" s="9">
        <f>운전실적_원본!C246</f>
        <v>240574</v>
      </c>
      <c r="E246" s="199">
        <f t="shared" si="1300"/>
        <v>165</v>
      </c>
      <c r="F246" s="9">
        <f>운전실적_원본!D246</f>
        <v>233969</v>
      </c>
      <c r="G246" s="16">
        <f t="shared" si="1301"/>
        <v>130</v>
      </c>
      <c r="H246" s="15">
        <f>운전실적_원본!E246</f>
        <v>15993.91</v>
      </c>
      <c r="I246" s="16">
        <f t="shared" si="1302"/>
        <v>22.369999999998981</v>
      </c>
      <c r="J246" s="15">
        <f>운전실적_원본!E246</f>
        <v>15993.91</v>
      </c>
      <c r="K246" s="16">
        <f t="shared" si="1302"/>
        <v>22.369999999998981</v>
      </c>
      <c r="L246" s="15">
        <f>운전실적_원본!G246</f>
        <v>3912.4</v>
      </c>
      <c r="M246" s="31">
        <f t="shared" ref="M246" si="1374">IF(OR(LEN(L246)=0,L246=0),"",L246-L245)</f>
        <v>0.90000000000009095</v>
      </c>
      <c r="N246" s="15">
        <f>운전실적_원본!H246</f>
        <v>19849</v>
      </c>
      <c r="O246" s="16">
        <f t="shared" ref="O246" si="1375">IF(OR(LEN(N246)=0,N246=0),"",N246-N245)</f>
        <v>104</v>
      </c>
      <c r="P246" s="15">
        <f>운전실적_원본!I246</f>
        <v>284896</v>
      </c>
      <c r="Q246" s="16">
        <f t="shared" ref="Q246" si="1376">IF(OR(LEN(P246)=0,P246=0),"",P246-P245)</f>
        <v>359</v>
      </c>
      <c r="R246" s="18">
        <f>운전실적_원본!J246</f>
        <v>31.24</v>
      </c>
      <c r="S246" s="19">
        <f t="shared" ref="S246" si="1377">IF(OR(LEN(R246)=0,R246=0),"",R246-R245)</f>
        <v>-0.12000000000000099</v>
      </c>
      <c r="T246" s="18">
        <f>운전실적_원본!K246</f>
        <v>31.02</v>
      </c>
      <c r="U246" s="19">
        <f t="shared" si="1307"/>
        <v>-3.9999999999999147E-2</v>
      </c>
      <c r="V246" s="12">
        <f>운전실적_원본!L246</f>
        <v>6805</v>
      </c>
      <c r="W246" s="16">
        <f t="shared" ref="W246" si="1378">IF(OR(LEN(V246)=0,V246=0),"",V246-V245)</f>
        <v>-142</v>
      </c>
      <c r="X246" s="10">
        <f>운전실적_원본!M246</f>
        <v>0</v>
      </c>
      <c r="Y246" s="10">
        <f>운전실적_원본!N246</f>
        <v>0</v>
      </c>
      <c r="Z246" s="10">
        <f>운전실적_원본!O246</f>
        <v>0</v>
      </c>
      <c r="AA246" s="10">
        <f>운전실적_원본!P246</f>
        <v>0</v>
      </c>
      <c r="AB246" s="10">
        <f>운전실적_원본!Q246</f>
        <v>0</v>
      </c>
      <c r="AC246" s="10">
        <f>운전실적_원본!R246</f>
        <v>0</v>
      </c>
      <c r="AD246" s="181">
        <f>운전실적_원본!S246</f>
        <v>0</v>
      </c>
      <c r="AE246" s="181">
        <f>운전실적_원본!T246</f>
        <v>0</v>
      </c>
      <c r="AF246" s="181">
        <f>운전실적_원본!U246</f>
        <v>0</v>
      </c>
      <c r="AG246" s="181">
        <f>운전실적_원본!V246</f>
        <v>0</v>
      </c>
      <c r="AH246" s="106">
        <f t="shared" si="1128"/>
        <v>0</v>
      </c>
      <c r="AI246" s="107">
        <f t="shared" si="1136"/>
        <v>0</v>
      </c>
      <c r="AJ246" s="107">
        <f t="shared" si="1137"/>
        <v>0</v>
      </c>
      <c r="AK246" s="204">
        <f t="shared" si="1138"/>
        <v>0</v>
      </c>
      <c r="AL246" s="103"/>
      <c r="AM246" s="103"/>
      <c r="AN246" s="103"/>
      <c r="AO246" s="103"/>
      <c r="AP246" s="103"/>
      <c r="AQ246" s="105"/>
      <c r="AR246" s="103"/>
      <c r="AS246" s="103"/>
      <c r="AT246" s="101"/>
      <c r="AU246" s="101"/>
      <c r="AV246" s="101"/>
      <c r="AW246" s="101"/>
      <c r="AX246" s="32">
        <f>운전실적_원본!W246</f>
        <v>0</v>
      </c>
      <c r="AY246" s="198">
        <f>운전실적_원본!X246</f>
        <v>0</v>
      </c>
      <c r="AZ246" s="198">
        <f>운전실적_원본!Y246</f>
        <v>0</v>
      </c>
      <c r="BA246" s="198">
        <f>운전실적_원본!Z246</f>
        <v>0</v>
      </c>
      <c r="BB246" s="198">
        <f>운전실적_원본!AA246</f>
        <v>0</v>
      </c>
      <c r="BC246" s="198">
        <f>운전실적_원본!AB246</f>
        <v>0</v>
      </c>
      <c r="BD246" s="32" t="str">
        <f t="shared" si="1121"/>
        <v>-</v>
      </c>
      <c r="BE246" s="11" t="str">
        <f t="shared" si="1129"/>
        <v>-</v>
      </c>
      <c r="BF246" s="11">
        <f>운전실적_원본!AE246</f>
        <v>0</v>
      </c>
      <c r="BG246" s="31">
        <f t="shared" si="1122"/>
        <v>0</v>
      </c>
    </row>
    <row r="247" spans="1:59">
      <c r="A247" s="6">
        <f t="shared" si="1130"/>
        <v>45899</v>
      </c>
      <c r="B247" s="15">
        <f>운전실적_원본!B247</f>
        <v>7859</v>
      </c>
      <c r="C247" s="16">
        <f t="shared" si="1299"/>
        <v>23</v>
      </c>
      <c r="D247" s="9">
        <f>운전실적_원본!C247</f>
        <v>240683</v>
      </c>
      <c r="E247" s="199">
        <f t="shared" si="1300"/>
        <v>109</v>
      </c>
      <c r="F247" s="9">
        <f>운전실적_원본!D247</f>
        <v>234069</v>
      </c>
      <c r="G247" s="16">
        <f t="shared" si="1301"/>
        <v>100</v>
      </c>
      <c r="H247" s="15">
        <f>운전실적_원본!E247</f>
        <v>16010.97</v>
      </c>
      <c r="I247" s="16">
        <f t="shared" si="1302"/>
        <v>17.059999999999491</v>
      </c>
      <c r="J247" s="15">
        <f>운전실적_원본!E247</f>
        <v>16010.97</v>
      </c>
      <c r="K247" s="16">
        <f t="shared" si="1302"/>
        <v>17.059999999999491</v>
      </c>
      <c r="L247" s="15">
        <f>운전실적_원본!G247</f>
        <v>3913.7</v>
      </c>
      <c r="M247" s="31">
        <f t="shared" ref="M247" si="1379">IF(OR(LEN(L247)=0,L247=0),"",L247-L246)</f>
        <v>1.2999999999997272</v>
      </c>
      <c r="N247" s="15">
        <f>운전실적_원본!H247</f>
        <v>20040</v>
      </c>
      <c r="O247" s="16">
        <f t="shared" ref="O247" si="1380">IF(OR(LEN(N247)=0,N247=0),"",N247-N246)</f>
        <v>191</v>
      </c>
      <c r="P247" s="15">
        <f>운전실적_원본!I247</f>
        <v>285206</v>
      </c>
      <c r="Q247" s="16">
        <f t="shared" ref="Q247" si="1381">IF(OR(LEN(P247)=0,P247=0),"",P247-P246)</f>
        <v>310</v>
      </c>
      <c r="R247" s="18">
        <f>운전실적_원본!J247</f>
        <v>31.33</v>
      </c>
      <c r="S247" s="19">
        <f t="shared" ref="S247" si="1382">IF(OR(LEN(R247)=0,R247=0),"",R247-R246)</f>
        <v>8.9999999999999858E-2</v>
      </c>
      <c r="T247" s="18">
        <f>운전실적_원본!K247</f>
        <v>30.97</v>
      </c>
      <c r="U247" s="19">
        <f t="shared" si="1307"/>
        <v>-5.0000000000000711E-2</v>
      </c>
      <c r="V247" s="12">
        <f>운전실적_원본!L247</f>
        <v>4754</v>
      </c>
      <c r="W247" s="16">
        <f t="shared" ref="W247" si="1383">IF(OR(LEN(V247)=0,V247=0),"",V247-V246)</f>
        <v>-2051</v>
      </c>
      <c r="X247" s="10">
        <f>운전실적_원본!M247</f>
        <v>0</v>
      </c>
      <c r="Y247" s="10">
        <f>운전실적_원본!N247</f>
        <v>0</v>
      </c>
      <c r="Z247" s="10">
        <f>운전실적_원본!O247</f>
        <v>0</v>
      </c>
      <c r="AA247" s="10">
        <f>운전실적_원본!P247</f>
        <v>0</v>
      </c>
      <c r="AB247" s="10">
        <f>운전실적_원본!Q247</f>
        <v>0</v>
      </c>
      <c r="AC247" s="10">
        <f>운전실적_원본!R247</f>
        <v>0</v>
      </c>
      <c r="AD247" s="181">
        <f>운전실적_원본!S247</f>
        <v>0</v>
      </c>
      <c r="AE247" s="181">
        <f>운전실적_원본!T247</f>
        <v>0</v>
      </c>
      <c r="AF247" s="181">
        <f>운전실적_원본!U247</f>
        <v>0</v>
      </c>
      <c r="AG247" s="181">
        <f>운전실적_원본!V247</f>
        <v>0</v>
      </c>
      <c r="AH247" s="106">
        <f t="shared" si="1128"/>
        <v>0</v>
      </c>
      <c r="AI247" s="107">
        <f t="shared" si="1136"/>
        <v>0</v>
      </c>
      <c r="AJ247" s="107">
        <f t="shared" si="1137"/>
        <v>0</v>
      </c>
      <c r="AK247" s="204">
        <f t="shared" si="1138"/>
        <v>0</v>
      </c>
      <c r="AL247" s="103"/>
      <c r="AM247" s="103"/>
      <c r="AN247" s="103"/>
      <c r="AO247" s="103"/>
      <c r="AP247" s="103"/>
      <c r="AQ247" s="105"/>
      <c r="AR247" s="103"/>
      <c r="AS247" s="103"/>
      <c r="AT247" s="101"/>
      <c r="AU247" s="101"/>
      <c r="AV247" s="101"/>
      <c r="AW247" s="101"/>
      <c r="AX247" s="32">
        <f>운전실적_원본!W247</f>
        <v>0</v>
      </c>
      <c r="AY247" s="198">
        <f>운전실적_원본!X247</f>
        <v>0</v>
      </c>
      <c r="AZ247" s="198">
        <f>운전실적_원본!Y247</f>
        <v>0</v>
      </c>
      <c r="BA247" s="198">
        <f>운전실적_원본!Z247</f>
        <v>0</v>
      </c>
      <c r="BB247" s="198">
        <f>운전실적_원본!AA247</f>
        <v>0</v>
      </c>
      <c r="BC247" s="198">
        <f>운전실적_원본!AB247</f>
        <v>0</v>
      </c>
      <c r="BD247" s="32" t="str">
        <f t="shared" si="1121"/>
        <v>-</v>
      </c>
      <c r="BE247" s="11" t="str">
        <f t="shared" si="1129"/>
        <v>-</v>
      </c>
      <c r="BF247" s="11">
        <f>운전실적_원본!AE247</f>
        <v>0</v>
      </c>
      <c r="BG247" s="31">
        <f t="shared" si="1122"/>
        <v>0</v>
      </c>
    </row>
    <row r="248" spans="1:59" s="197" customFormat="1">
      <c r="A248" s="205">
        <f t="shared" si="1130"/>
        <v>45900</v>
      </c>
      <c r="B248" s="182">
        <f>운전실적_원본!B248</f>
        <v>7881</v>
      </c>
      <c r="C248" s="183">
        <f t="shared" si="1299"/>
        <v>22</v>
      </c>
      <c r="D248" s="184">
        <f>운전실적_원본!C248</f>
        <v>240791</v>
      </c>
      <c r="E248" s="202">
        <f t="shared" si="1300"/>
        <v>108</v>
      </c>
      <c r="F248" s="184">
        <f>운전실적_원본!D248</f>
        <v>234236</v>
      </c>
      <c r="G248" s="183">
        <f t="shared" si="1301"/>
        <v>167</v>
      </c>
      <c r="H248" s="182">
        <f>운전실적_원본!E248</f>
        <v>16037.92</v>
      </c>
      <c r="I248" s="183">
        <f t="shared" si="1302"/>
        <v>26.950000000000728</v>
      </c>
      <c r="J248" s="182">
        <f>운전실적_원본!E248</f>
        <v>16037.92</v>
      </c>
      <c r="K248" s="183">
        <f t="shared" si="1302"/>
        <v>26.950000000000728</v>
      </c>
      <c r="L248" s="182">
        <f>운전실적_원본!G248</f>
        <v>3915</v>
      </c>
      <c r="M248" s="185">
        <f t="shared" ref="M248" si="1384">IF(OR(LEN(L248)=0,L248=0),"",L248-L247)</f>
        <v>1.3000000000001819</v>
      </c>
      <c r="N248" s="182">
        <f>운전실적_원본!H248</f>
        <v>20114</v>
      </c>
      <c r="O248" s="183">
        <f t="shared" ref="O248" si="1385">IF(OR(LEN(N248)=0,N248=0),"",N248-N247)</f>
        <v>74</v>
      </c>
      <c r="P248" s="182">
        <f>운전실적_원본!I248</f>
        <v>285524</v>
      </c>
      <c r="Q248" s="183">
        <f t="shared" ref="Q248" si="1386">IF(OR(LEN(P248)=0,P248=0),"",P248-P247)</f>
        <v>318</v>
      </c>
      <c r="R248" s="186">
        <f>운전실적_원본!J248</f>
        <v>31.28</v>
      </c>
      <c r="S248" s="187">
        <f t="shared" ref="S248" si="1387">IF(OR(LEN(R248)=0,R248=0),"",R248-R247)</f>
        <v>-4.9999999999997158E-2</v>
      </c>
      <c r="T248" s="186">
        <f>운전실적_원본!K248</f>
        <v>30.94</v>
      </c>
      <c r="U248" s="187">
        <f t="shared" si="1307"/>
        <v>-2.9999999999997584E-2</v>
      </c>
      <c r="V248" s="184">
        <f>운전실적_원본!L248</f>
        <v>8065</v>
      </c>
      <c r="W248" s="183">
        <f t="shared" ref="W248" si="1388">IF(OR(LEN(V248)=0,V248=0),"",V248-V247)</f>
        <v>3311</v>
      </c>
      <c r="X248" s="188">
        <f>운전실적_원본!M248</f>
        <v>0</v>
      </c>
      <c r="Y248" s="188">
        <f>운전실적_원본!N248</f>
        <v>0</v>
      </c>
      <c r="Z248" s="188">
        <f>운전실적_원본!O248</f>
        <v>0</v>
      </c>
      <c r="AA248" s="188">
        <f>운전실적_원본!P248</f>
        <v>0</v>
      </c>
      <c r="AB248" s="188">
        <f>운전실적_원본!Q248</f>
        <v>0</v>
      </c>
      <c r="AC248" s="188">
        <f>운전실적_원본!R248</f>
        <v>0</v>
      </c>
      <c r="AD248" s="189">
        <f>운전실적_원본!S248</f>
        <v>0</v>
      </c>
      <c r="AE248" s="189">
        <f>운전실적_원본!T248</f>
        <v>0</v>
      </c>
      <c r="AF248" s="189">
        <f>운전실적_원본!U248</f>
        <v>0</v>
      </c>
      <c r="AG248" s="189">
        <f>운전실적_원본!V248</f>
        <v>0</v>
      </c>
      <c r="AH248" s="190">
        <f t="shared" si="1128"/>
        <v>0</v>
      </c>
      <c r="AI248" s="191">
        <f t="shared" si="1136"/>
        <v>0</v>
      </c>
      <c r="AJ248" s="191">
        <f t="shared" si="1137"/>
        <v>0</v>
      </c>
      <c r="AK248" s="206">
        <f t="shared" si="1138"/>
        <v>0</v>
      </c>
      <c r="AL248" s="192"/>
      <c r="AM248" s="192"/>
      <c r="AN248" s="192"/>
      <c r="AO248" s="192"/>
      <c r="AP248" s="192"/>
      <c r="AQ248" s="193"/>
      <c r="AR248" s="192"/>
      <c r="AS248" s="192"/>
      <c r="AT248" s="194"/>
      <c r="AU248" s="194"/>
      <c r="AV248" s="194"/>
      <c r="AW248" s="194"/>
      <c r="AX248" s="195">
        <f>운전실적_원본!W248</f>
        <v>0</v>
      </c>
      <c r="AY248" s="196">
        <f>운전실적_원본!X248</f>
        <v>0</v>
      </c>
      <c r="AZ248" s="196">
        <f>운전실적_원본!Y248</f>
        <v>0</v>
      </c>
      <c r="BA248" s="196">
        <f>운전실적_원본!Z248</f>
        <v>0</v>
      </c>
      <c r="BB248" s="196">
        <f>운전실적_원본!AA248</f>
        <v>0</v>
      </c>
      <c r="BC248" s="185">
        <f>운전실적_원본!AB248</f>
        <v>0</v>
      </c>
      <c r="BD248" s="195" t="str">
        <f t="shared" si="1121"/>
        <v>-</v>
      </c>
      <c r="BE248" s="196" t="str">
        <f t="shared" si="1129"/>
        <v>-</v>
      </c>
      <c r="BF248" s="196">
        <f>운전실적_원본!AE248</f>
        <v>0</v>
      </c>
      <c r="BG248" s="185">
        <f t="shared" si="1122"/>
        <v>0</v>
      </c>
    </row>
    <row r="249" spans="1:59">
      <c r="A249" s="6">
        <f t="shared" si="1130"/>
        <v>45901</v>
      </c>
      <c r="B249" s="15">
        <f>운전실적_원본!B249</f>
        <v>7908</v>
      </c>
      <c r="C249" s="16">
        <f t="shared" si="1299"/>
        <v>27</v>
      </c>
      <c r="D249" s="9">
        <f>운전실적_원본!C249</f>
        <v>240895</v>
      </c>
      <c r="E249" s="199">
        <f t="shared" si="1300"/>
        <v>104</v>
      </c>
      <c r="F249" s="9">
        <f>운전실적_원본!D249</f>
        <v>234333</v>
      </c>
      <c r="G249" s="16">
        <f t="shared" si="1301"/>
        <v>97</v>
      </c>
      <c r="H249" s="15">
        <f>운전실적_원본!E249</f>
        <v>16061.78</v>
      </c>
      <c r="I249" s="16">
        <f t="shared" si="1302"/>
        <v>23.860000000000582</v>
      </c>
      <c r="J249" s="15">
        <f>운전실적_원본!E249</f>
        <v>16061.78</v>
      </c>
      <c r="K249" s="16">
        <f t="shared" si="1302"/>
        <v>23.860000000000582</v>
      </c>
      <c r="L249" s="15">
        <f>운전실적_원본!G249</f>
        <v>3916.3</v>
      </c>
      <c r="M249" s="31">
        <f t="shared" ref="M249" si="1389">IF(OR(LEN(L249)=0,L249=0),"",L249-L248)</f>
        <v>1.3000000000001819</v>
      </c>
      <c r="N249" s="15">
        <f>운전실적_원본!H249</f>
        <v>20263</v>
      </c>
      <c r="O249" s="16">
        <f t="shared" ref="O249" si="1390">IF(OR(LEN(N249)=0,N249=0),"",N249-N248)</f>
        <v>149</v>
      </c>
      <c r="P249" s="15">
        <f>운전실적_원본!I249</f>
        <v>285827</v>
      </c>
      <c r="Q249" s="16">
        <f t="shared" ref="Q249" si="1391">IF(OR(LEN(P249)=0,P249=0),"",P249-P248)</f>
        <v>303</v>
      </c>
      <c r="R249" s="18">
        <f>운전실적_원본!J249</f>
        <v>31.5</v>
      </c>
      <c r="S249" s="19">
        <f t="shared" ref="S249" si="1392">IF(OR(LEN(R249)=0,R249=0),"",R249-R248)</f>
        <v>0.21999999999999886</v>
      </c>
      <c r="T249" s="18">
        <f>운전실적_원본!K249</f>
        <v>30.99</v>
      </c>
      <c r="U249" s="19">
        <f t="shared" si="1307"/>
        <v>4.9999999999997158E-2</v>
      </c>
      <c r="V249" s="12">
        <f>운전실적_원본!L249</f>
        <v>7212</v>
      </c>
      <c r="W249" s="16">
        <f t="shared" ref="W249" si="1393">IF(OR(LEN(V249)=0,V249=0),"",V249-V248)</f>
        <v>-853</v>
      </c>
      <c r="X249" s="10">
        <f>운전실적_원본!M249</f>
        <v>20142.370000004768</v>
      </c>
      <c r="Y249" s="10">
        <f>운전실적_원본!N249</f>
        <v>0</v>
      </c>
      <c r="Z249" s="10">
        <f>운전실적_원본!O249</f>
        <v>0</v>
      </c>
      <c r="AA249" s="10">
        <f>운전실적_원본!P249</f>
        <v>0</v>
      </c>
      <c r="AB249" s="10">
        <f>운전실적_원본!Q249</f>
        <v>0</v>
      </c>
      <c r="AC249" s="10">
        <f>운전실적_원본!R249</f>
        <v>0</v>
      </c>
      <c r="AD249" s="181">
        <f>운전실적_원본!S249</f>
        <v>11</v>
      </c>
      <c r="AE249" s="181">
        <f>운전실적_원본!T249</f>
        <v>0</v>
      </c>
      <c r="AF249" s="181">
        <f>운전실적_원본!U249</f>
        <v>0</v>
      </c>
      <c r="AG249" s="181">
        <f>운전실적_원본!V249</f>
        <v>0</v>
      </c>
      <c r="AH249" s="106">
        <f t="shared" si="1128"/>
        <v>11.25</v>
      </c>
      <c r="AI249" s="107">
        <f t="shared" si="1136"/>
        <v>0</v>
      </c>
      <c r="AJ249" s="107">
        <f t="shared" si="1137"/>
        <v>0</v>
      </c>
      <c r="AK249" s="204">
        <f t="shared" si="1138"/>
        <v>0</v>
      </c>
      <c r="AL249" s="103">
        <v>45901.371527777781</v>
      </c>
      <c r="AM249" s="103">
        <v>45901.840277777781</v>
      </c>
      <c r="AN249" s="103"/>
      <c r="AO249" s="103"/>
      <c r="AP249" s="103"/>
      <c r="AQ249" s="105"/>
      <c r="AR249" s="103"/>
      <c r="AS249" s="103"/>
      <c r="AT249" s="101"/>
      <c r="AU249" s="101"/>
      <c r="AV249" s="101"/>
      <c r="AW249" s="101"/>
      <c r="AX249" s="32">
        <f>운전실적_원본!W249</f>
        <v>115</v>
      </c>
      <c r="AY249" s="198">
        <f>운전실적_원본!X249</f>
        <v>0</v>
      </c>
      <c r="AZ249" s="198">
        <f>운전실적_원본!Y249</f>
        <v>0</v>
      </c>
      <c r="BA249" s="198">
        <f>운전실적_원본!Z249</f>
        <v>0</v>
      </c>
      <c r="BB249" s="198">
        <f>운전실적_원본!AA249</f>
        <v>0</v>
      </c>
      <c r="BC249" s="198">
        <f>운전실적_원본!AB249</f>
        <v>115</v>
      </c>
      <c r="BD249" s="32">
        <f t="shared" si="1121"/>
        <v>10.454545454545455</v>
      </c>
      <c r="BE249" s="11">
        <f t="shared" si="1129"/>
        <v>0.20343540483645564</v>
      </c>
      <c r="BF249" s="11">
        <f>운전실적_원본!AE249</f>
        <v>0</v>
      </c>
      <c r="BG249" s="31">
        <f t="shared" si="1122"/>
        <v>0</v>
      </c>
    </row>
    <row r="250" spans="1:59">
      <c r="A250" s="6">
        <f t="shared" si="1130"/>
        <v>45902</v>
      </c>
      <c r="B250" s="15">
        <f>운전실적_원본!B250</f>
        <v>7938</v>
      </c>
      <c r="C250" s="16">
        <f t="shared" si="1299"/>
        <v>30</v>
      </c>
      <c r="D250" s="9">
        <f>운전실적_원본!C250</f>
        <v>240994</v>
      </c>
      <c r="E250" s="199">
        <f t="shared" si="1300"/>
        <v>99</v>
      </c>
      <c r="F250" s="9">
        <f>운전실적_원본!D250</f>
        <v>234455</v>
      </c>
      <c r="G250" s="16">
        <f t="shared" si="1301"/>
        <v>122</v>
      </c>
      <c r="H250" s="15">
        <f>운전실적_원본!E250</f>
        <v>16081.16</v>
      </c>
      <c r="I250" s="16">
        <f t="shared" si="1302"/>
        <v>19.3799999999992</v>
      </c>
      <c r="J250" s="15">
        <f>운전실적_원본!E250</f>
        <v>16081.16</v>
      </c>
      <c r="K250" s="16">
        <f t="shared" si="1302"/>
        <v>19.3799999999992</v>
      </c>
      <c r="L250" s="15">
        <f>운전실적_원본!G250</f>
        <v>3917.7</v>
      </c>
      <c r="M250" s="31">
        <f t="shared" ref="M250" si="1394">IF(OR(LEN(L250)=0,L250=0),"",L250-L249)</f>
        <v>1.3999999999996362</v>
      </c>
      <c r="N250" s="15">
        <f>운전실적_원본!H250</f>
        <v>20356</v>
      </c>
      <c r="O250" s="16">
        <f t="shared" ref="O250" si="1395">IF(OR(LEN(N250)=0,N250=0),"",N250-N249)</f>
        <v>93</v>
      </c>
      <c r="P250" s="15">
        <f>운전실적_원본!I250</f>
        <v>286134</v>
      </c>
      <c r="Q250" s="16">
        <f t="shared" ref="Q250" si="1396">IF(OR(LEN(P250)=0,P250=0),"",P250-P249)</f>
        <v>307</v>
      </c>
      <c r="R250" s="18">
        <f>운전실적_원본!J250</f>
        <v>31.46</v>
      </c>
      <c r="S250" s="19">
        <f t="shared" ref="S250" si="1397">IF(OR(LEN(R250)=0,R250=0),"",R250-R249)</f>
        <v>-3.9999999999999147E-2</v>
      </c>
      <c r="T250" s="18">
        <f>운전실적_원본!K250</f>
        <v>31.04</v>
      </c>
      <c r="U250" s="19">
        <f t="shared" si="1307"/>
        <v>5.0000000000000711E-2</v>
      </c>
      <c r="V250" s="12">
        <f>운전실적_원본!L250</f>
        <v>6124</v>
      </c>
      <c r="W250" s="16">
        <f t="shared" ref="W250" si="1398">IF(OR(LEN(V250)=0,V250=0),"",V250-V249)</f>
        <v>-1088</v>
      </c>
      <c r="X250" s="10">
        <f>운전실적_원본!M250</f>
        <v>0</v>
      </c>
      <c r="Y250" s="10">
        <f>운전실적_원본!N250</f>
        <v>0</v>
      </c>
      <c r="Z250" s="10">
        <f>운전실적_원본!O250</f>
        <v>0</v>
      </c>
      <c r="AA250" s="10">
        <f>운전실적_원본!P250</f>
        <v>0</v>
      </c>
      <c r="AB250" s="10">
        <f>운전실적_원본!Q250</f>
        <v>0</v>
      </c>
      <c r="AC250" s="10">
        <f>운전실적_원본!R250</f>
        <v>0</v>
      </c>
      <c r="AD250" s="181">
        <f>운전실적_원본!S250</f>
        <v>0</v>
      </c>
      <c r="AE250" s="181">
        <f>운전실적_원본!T250</f>
        <v>0</v>
      </c>
      <c r="AF250" s="181">
        <f>운전실적_원본!U250</f>
        <v>0</v>
      </c>
      <c r="AG250" s="181">
        <f>운전실적_원본!V250</f>
        <v>0</v>
      </c>
      <c r="AH250" s="106">
        <f t="shared" si="1128"/>
        <v>0</v>
      </c>
      <c r="AI250" s="107">
        <f t="shared" si="1136"/>
        <v>0</v>
      </c>
      <c r="AJ250" s="107">
        <f t="shared" si="1137"/>
        <v>0</v>
      </c>
      <c r="AK250" s="204">
        <f t="shared" si="1138"/>
        <v>0</v>
      </c>
      <c r="AL250" s="103"/>
      <c r="AM250" s="103"/>
      <c r="AN250" s="103"/>
      <c r="AO250" s="103"/>
      <c r="AP250" s="103"/>
      <c r="AQ250" s="105"/>
      <c r="AR250" s="103"/>
      <c r="AS250" s="103"/>
      <c r="AT250" s="101"/>
      <c r="AU250" s="101"/>
      <c r="AV250" s="101"/>
      <c r="AW250" s="101"/>
      <c r="AX250" s="32">
        <f>운전실적_원본!W250</f>
        <v>0</v>
      </c>
      <c r="AY250" s="198">
        <f>운전실적_원본!X250</f>
        <v>0</v>
      </c>
      <c r="AZ250" s="198">
        <f>운전실적_원본!Y250</f>
        <v>0</v>
      </c>
      <c r="BA250" s="198">
        <f>운전실적_원본!Z250</f>
        <v>0</v>
      </c>
      <c r="BB250" s="198">
        <f>운전실적_원본!AA250</f>
        <v>0</v>
      </c>
      <c r="BC250" s="198">
        <f>운전실적_원본!AB250</f>
        <v>0</v>
      </c>
      <c r="BD250" s="32" t="str">
        <f t="shared" si="1121"/>
        <v>-</v>
      </c>
      <c r="BE250" s="11" t="str">
        <f t="shared" si="1129"/>
        <v>-</v>
      </c>
      <c r="BF250" s="11">
        <f>운전실적_원본!AE250</f>
        <v>0</v>
      </c>
      <c r="BG250" s="31">
        <f t="shared" si="1122"/>
        <v>0</v>
      </c>
    </row>
    <row r="251" spans="1:59">
      <c r="A251" s="6">
        <f t="shared" si="1130"/>
        <v>45903</v>
      </c>
      <c r="B251" s="15">
        <f>운전실적_원본!B251</f>
        <v>7961</v>
      </c>
      <c r="C251" s="16">
        <f t="shared" si="1299"/>
        <v>23</v>
      </c>
      <c r="D251" s="9">
        <f>운전실적_원본!C251</f>
        <v>241116</v>
      </c>
      <c r="E251" s="199">
        <f t="shared" si="1300"/>
        <v>122</v>
      </c>
      <c r="F251" s="9">
        <f>운전실적_원본!D251</f>
        <v>234552</v>
      </c>
      <c r="G251" s="16">
        <f t="shared" si="1301"/>
        <v>97</v>
      </c>
      <c r="H251" s="15">
        <f>운전실적_원본!E251</f>
        <v>16106.58</v>
      </c>
      <c r="I251" s="16">
        <f t="shared" si="1302"/>
        <v>25.420000000000073</v>
      </c>
      <c r="J251" s="15">
        <f>운전실적_원본!E251</f>
        <v>16106.58</v>
      </c>
      <c r="K251" s="16">
        <f t="shared" si="1302"/>
        <v>25.420000000000073</v>
      </c>
      <c r="L251" s="15">
        <f>운전실적_원본!G251</f>
        <v>3919</v>
      </c>
      <c r="M251" s="31">
        <f t="shared" ref="M251" si="1399">IF(OR(LEN(L251)=0,L251=0),"",L251-L250)</f>
        <v>1.3000000000001819</v>
      </c>
      <c r="N251" s="15">
        <f>운전실적_원본!H251</f>
        <v>20473</v>
      </c>
      <c r="O251" s="16">
        <f t="shared" ref="O251" si="1400">IF(OR(LEN(N251)=0,N251=0),"",N251-N250)</f>
        <v>117</v>
      </c>
      <c r="P251" s="15">
        <f>운전실적_원본!I251</f>
        <v>286402</v>
      </c>
      <c r="Q251" s="16">
        <f t="shared" ref="Q251" si="1401">IF(OR(LEN(P251)=0,P251=0),"",P251-P250)</f>
        <v>268</v>
      </c>
      <c r="R251" s="18">
        <f>운전실적_원본!J251</f>
        <v>31.37</v>
      </c>
      <c r="S251" s="19">
        <f t="shared" ref="S251" si="1402">IF(OR(LEN(R251)=0,R251=0),"",R251-R250)</f>
        <v>-8.9999999999999858E-2</v>
      </c>
      <c r="T251" s="18">
        <f>운전실적_원본!K251</f>
        <v>30.95</v>
      </c>
      <c r="U251" s="19">
        <f t="shared" si="1307"/>
        <v>-8.9999999999999858E-2</v>
      </c>
      <c r="V251" s="12">
        <f>운전실적_원본!L251</f>
        <v>7693</v>
      </c>
      <c r="W251" s="16">
        <f t="shared" ref="W251" si="1403">IF(OR(LEN(V251)=0,V251=0),"",V251-V250)</f>
        <v>1569</v>
      </c>
      <c r="X251" s="10">
        <f>운전실적_원본!M251</f>
        <v>0</v>
      </c>
      <c r="Y251" s="10">
        <f>운전실적_원본!N251</f>
        <v>0</v>
      </c>
      <c r="Z251" s="10">
        <f>운전실적_원본!O251</f>
        <v>0</v>
      </c>
      <c r="AA251" s="10">
        <f>운전실적_원본!P251</f>
        <v>0</v>
      </c>
      <c r="AB251" s="10">
        <f>운전실적_원본!Q251</f>
        <v>0</v>
      </c>
      <c r="AC251" s="10">
        <f>운전실적_원본!R251</f>
        <v>0</v>
      </c>
      <c r="AD251" s="181">
        <f>운전실적_원본!S251</f>
        <v>0</v>
      </c>
      <c r="AE251" s="181">
        <f>운전실적_원본!T251</f>
        <v>0</v>
      </c>
      <c r="AF251" s="181">
        <f>운전실적_원본!U251</f>
        <v>0</v>
      </c>
      <c r="AG251" s="181">
        <f>운전실적_원본!V251</f>
        <v>0</v>
      </c>
      <c r="AH251" s="106">
        <f t="shared" si="1128"/>
        <v>0</v>
      </c>
      <c r="AI251" s="107">
        <f t="shared" si="1136"/>
        <v>0</v>
      </c>
      <c r="AJ251" s="107">
        <f t="shared" si="1137"/>
        <v>0</v>
      </c>
      <c r="AK251" s="204">
        <f t="shared" si="1138"/>
        <v>0</v>
      </c>
      <c r="AL251" s="103"/>
      <c r="AM251" s="103"/>
      <c r="AN251" s="103"/>
      <c r="AO251" s="103"/>
      <c r="AP251" s="103"/>
      <c r="AQ251" s="105"/>
      <c r="AR251" s="103"/>
      <c r="AS251" s="103"/>
      <c r="AT251" s="101"/>
      <c r="AU251" s="101"/>
      <c r="AV251" s="101"/>
      <c r="AW251" s="101"/>
      <c r="AX251" s="32">
        <f>운전실적_원본!W251</f>
        <v>0</v>
      </c>
      <c r="AY251" s="198">
        <f>운전실적_원본!X251</f>
        <v>0</v>
      </c>
      <c r="AZ251" s="198">
        <f>운전실적_원본!Y251</f>
        <v>0</v>
      </c>
      <c r="BA251" s="198">
        <f>운전실적_원본!Z251</f>
        <v>0</v>
      </c>
      <c r="BB251" s="198">
        <f>운전실적_원본!AA251</f>
        <v>0</v>
      </c>
      <c r="BC251" s="198">
        <f>운전실적_원본!AB251</f>
        <v>0</v>
      </c>
      <c r="BD251" s="32" t="str">
        <f t="shared" si="1121"/>
        <v>-</v>
      </c>
      <c r="BE251" s="11" t="str">
        <f t="shared" si="1129"/>
        <v>-</v>
      </c>
      <c r="BF251" s="11">
        <f>운전실적_원본!AE251</f>
        <v>0</v>
      </c>
      <c r="BG251" s="31">
        <f t="shared" si="1122"/>
        <v>0</v>
      </c>
    </row>
    <row r="252" spans="1:59">
      <c r="A252" s="6">
        <f t="shared" si="1130"/>
        <v>45904</v>
      </c>
      <c r="B252" s="15">
        <f>운전실적_원본!B252</f>
        <v>7993</v>
      </c>
      <c r="C252" s="16">
        <f t="shared" si="1299"/>
        <v>32</v>
      </c>
      <c r="D252" s="9">
        <f>운전실적_원본!C252</f>
        <v>241166</v>
      </c>
      <c r="E252" s="199">
        <f t="shared" si="1300"/>
        <v>50</v>
      </c>
      <c r="F252" s="9">
        <f>운전실적_원본!D252</f>
        <v>234699</v>
      </c>
      <c r="G252" s="16">
        <f t="shared" si="1301"/>
        <v>147</v>
      </c>
      <c r="H252" s="15">
        <f>운전실적_원본!E252</f>
        <v>16126.67</v>
      </c>
      <c r="I252" s="16">
        <f t="shared" si="1302"/>
        <v>20.090000000000146</v>
      </c>
      <c r="J252" s="15">
        <f>운전실적_원본!E252</f>
        <v>16126.67</v>
      </c>
      <c r="K252" s="16">
        <f t="shared" si="1302"/>
        <v>20.090000000000146</v>
      </c>
      <c r="L252" s="15">
        <f>운전실적_원본!G252</f>
        <v>3920.4</v>
      </c>
      <c r="M252" s="31">
        <f t="shared" ref="M252" si="1404">IF(OR(LEN(L252)=0,L252=0),"",L252-L251)</f>
        <v>1.4000000000000909</v>
      </c>
      <c r="N252" s="15">
        <f>운전실적_원본!H252</f>
        <v>20656</v>
      </c>
      <c r="O252" s="16">
        <f t="shared" ref="O252" si="1405">IF(OR(LEN(N252)=0,N252=0),"",N252-N251)</f>
        <v>183</v>
      </c>
      <c r="P252" s="15">
        <f>운전실적_원본!I252</f>
        <v>286707</v>
      </c>
      <c r="Q252" s="16">
        <f t="shared" ref="Q252" si="1406">IF(OR(LEN(P252)=0,P252=0),"",P252-P251)</f>
        <v>305</v>
      </c>
      <c r="R252" s="18">
        <f>운전실적_원본!J252</f>
        <v>31.49</v>
      </c>
      <c r="S252" s="19">
        <f t="shared" ref="S252" si="1407">IF(OR(LEN(R252)=0,R252=0),"",R252-R251)</f>
        <v>0.11999999999999744</v>
      </c>
      <c r="T252" s="18">
        <f>운전실적_원본!K252</f>
        <v>31.03</v>
      </c>
      <c r="U252" s="19">
        <f t="shared" si="1307"/>
        <v>8.0000000000001847E-2</v>
      </c>
      <c r="V252" s="12">
        <f>운전실적_원본!L252</f>
        <v>7993</v>
      </c>
      <c r="W252" s="16">
        <f t="shared" ref="W252" si="1408">IF(OR(LEN(V252)=0,V252=0),"",V252-V251)</f>
        <v>300</v>
      </c>
      <c r="X252" s="10">
        <f>운전실적_원본!M252</f>
        <v>0</v>
      </c>
      <c r="Y252" s="10">
        <f>운전실적_원본!N252</f>
        <v>0</v>
      </c>
      <c r="Z252" s="10">
        <f>운전실적_원본!O252</f>
        <v>0</v>
      </c>
      <c r="AA252" s="10">
        <f>운전실적_원본!P252</f>
        <v>0</v>
      </c>
      <c r="AB252" s="10">
        <f>운전실적_원본!Q252</f>
        <v>0</v>
      </c>
      <c r="AC252" s="10">
        <f>운전실적_원본!R252</f>
        <v>0</v>
      </c>
      <c r="AD252" s="181">
        <f>운전실적_원본!S252</f>
        <v>0</v>
      </c>
      <c r="AE252" s="181">
        <f>운전실적_원본!T252</f>
        <v>0</v>
      </c>
      <c r="AF252" s="181">
        <f>운전실적_원본!U252</f>
        <v>0</v>
      </c>
      <c r="AG252" s="181">
        <f>운전실적_원본!V252</f>
        <v>0</v>
      </c>
      <c r="AH252" s="106">
        <f t="shared" si="1128"/>
        <v>0</v>
      </c>
      <c r="AI252" s="107">
        <f t="shared" si="1136"/>
        <v>0</v>
      </c>
      <c r="AJ252" s="107">
        <f t="shared" si="1137"/>
        <v>0</v>
      </c>
      <c r="AK252" s="204">
        <f t="shared" si="1138"/>
        <v>0</v>
      </c>
      <c r="AL252" s="103"/>
      <c r="AM252" s="103"/>
      <c r="AN252" s="103"/>
      <c r="AO252" s="103"/>
      <c r="AP252" s="103"/>
      <c r="AQ252" s="105"/>
      <c r="AR252" s="103"/>
      <c r="AS252" s="103"/>
      <c r="AT252" s="101"/>
      <c r="AU252" s="101"/>
      <c r="AV252" s="101"/>
      <c r="AW252" s="101"/>
      <c r="AX252" s="32">
        <f>운전실적_원본!W252</f>
        <v>0</v>
      </c>
      <c r="AY252" s="198">
        <f>운전실적_원본!X252</f>
        <v>0</v>
      </c>
      <c r="AZ252" s="198">
        <f>운전실적_원본!Y252</f>
        <v>0</v>
      </c>
      <c r="BA252" s="198">
        <f>운전실적_원본!Z252</f>
        <v>0</v>
      </c>
      <c r="BB252" s="198">
        <f>운전실적_원본!AA252</f>
        <v>0</v>
      </c>
      <c r="BC252" s="198">
        <f>운전실적_원본!AB252</f>
        <v>0</v>
      </c>
      <c r="BD252" s="32" t="str">
        <f t="shared" si="1121"/>
        <v>-</v>
      </c>
      <c r="BE252" s="11" t="str">
        <f t="shared" si="1129"/>
        <v>-</v>
      </c>
      <c r="BF252" s="11">
        <f>운전실적_원본!AE252</f>
        <v>0</v>
      </c>
      <c r="BG252" s="31">
        <f t="shared" si="1122"/>
        <v>0</v>
      </c>
    </row>
    <row r="253" spans="1:59">
      <c r="A253" s="6">
        <f t="shared" si="1130"/>
        <v>45905</v>
      </c>
      <c r="B253" s="15">
        <f>운전실적_원본!B253</f>
        <v>8021</v>
      </c>
      <c r="C253" s="16">
        <f t="shared" si="1299"/>
        <v>28</v>
      </c>
      <c r="D253" s="9">
        <f>운전실적_원본!C253</f>
        <v>241293</v>
      </c>
      <c r="E253" s="199">
        <f t="shared" si="1300"/>
        <v>127</v>
      </c>
      <c r="F253" s="9">
        <f>운전실적_원본!D253</f>
        <v>234759</v>
      </c>
      <c r="G253" s="16">
        <f t="shared" si="1301"/>
        <v>60</v>
      </c>
      <c r="H253" s="15">
        <f>운전실적_원본!E253</f>
        <v>16148.86</v>
      </c>
      <c r="I253" s="16">
        <f t="shared" si="1302"/>
        <v>22.190000000000509</v>
      </c>
      <c r="J253" s="15">
        <f>운전실적_원본!E253</f>
        <v>16148.86</v>
      </c>
      <c r="K253" s="16">
        <f t="shared" si="1302"/>
        <v>22.190000000000509</v>
      </c>
      <c r="L253" s="15">
        <f>운전실적_원본!G253</f>
        <v>3921.3</v>
      </c>
      <c r="M253" s="31">
        <f t="shared" ref="M253" si="1409">IF(OR(LEN(L253)=0,L253=0),"",L253-L252)</f>
        <v>0.90000000000009095</v>
      </c>
      <c r="N253" s="15">
        <f>운전실적_원본!H253</f>
        <v>20825</v>
      </c>
      <c r="O253" s="16">
        <f t="shared" ref="O253" si="1410">IF(OR(LEN(N253)=0,N253=0),"",N253-N252)</f>
        <v>169</v>
      </c>
      <c r="P253" s="15">
        <f>운전실적_원본!I253</f>
        <v>286936</v>
      </c>
      <c r="Q253" s="16">
        <f t="shared" ref="Q253" si="1411">IF(OR(LEN(P253)=0,P253=0),"",P253-P252)</f>
        <v>229</v>
      </c>
      <c r="R253" s="18">
        <f>운전실적_원본!J253</f>
        <v>31.61</v>
      </c>
      <c r="S253" s="19">
        <f t="shared" ref="S253" si="1412">IF(OR(LEN(R253)=0,R253=0),"",R253-R252)</f>
        <v>0.12000000000000099</v>
      </c>
      <c r="T253" s="18">
        <f>운전실적_원본!K253</f>
        <v>31.04</v>
      </c>
      <c r="U253" s="19">
        <f t="shared" si="1307"/>
        <v>9.9999999999980105E-3</v>
      </c>
      <c r="V253" s="12">
        <f>운전실적_원본!L253</f>
        <v>4537</v>
      </c>
      <c r="W253" s="16">
        <f t="shared" ref="W253" si="1413">IF(OR(LEN(V253)=0,V253=0),"",V253-V252)</f>
        <v>-3456</v>
      </c>
      <c r="X253" s="10">
        <f>운전실적_원본!M253</f>
        <v>0</v>
      </c>
      <c r="Y253" s="10">
        <f>운전실적_원본!N253</f>
        <v>0</v>
      </c>
      <c r="Z253" s="10">
        <f>운전실적_원본!O253</f>
        <v>0</v>
      </c>
      <c r="AA253" s="10">
        <f>운전실적_원본!P253</f>
        <v>0</v>
      </c>
      <c r="AB253" s="10">
        <f>운전실적_원본!Q253</f>
        <v>0</v>
      </c>
      <c r="AC253" s="10">
        <f>운전실적_원본!R253</f>
        <v>0</v>
      </c>
      <c r="AD253" s="181">
        <f>운전실적_원본!S253</f>
        <v>0</v>
      </c>
      <c r="AE253" s="181">
        <f>운전실적_원본!T253</f>
        <v>0</v>
      </c>
      <c r="AF253" s="181">
        <f>운전실적_원본!U253</f>
        <v>0</v>
      </c>
      <c r="AG253" s="181">
        <f>운전실적_원본!V253</f>
        <v>0</v>
      </c>
      <c r="AH253" s="106">
        <f t="shared" si="1128"/>
        <v>0</v>
      </c>
      <c r="AI253" s="107">
        <f t="shared" si="1136"/>
        <v>0</v>
      </c>
      <c r="AJ253" s="107">
        <f t="shared" si="1137"/>
        <v>0</v>
      </c>
      <c r="AK253" s="204">
        <f t="shared" si="1138"/>
        <v>0</v>
      </c>
      <c r="AL253" s="103"/>
      <c r="AM253" s="103"/>
      <c r="AN253" s="103"/>
      <c r="AO253" s="103"/>
      <c r="AP253" s="103"/>
      <c r="AQ253" s="105"/>
      <c r="AR253" s="103"/>
      <c r="AS253" s="103"/>
      <c r="AT253" s="101"/>
      <c r="AU253" s="101"/>
      <c r="AV253" s="101"/>
      <c r="AW253" s="101"/>
      <c r="AX253" s="32">
        <f>운전실적_원본!W253</f>
        <v>0</v>
      </c>
      <c r="AY253" s="198">
        <f>운전실적_원본!X253</f>
        <v>0</v>
      </c>
      <c r="AZ253" s="198">
        <f>운전실적_원본!Y253</f>
        <v>0</v>
      </c>
      <c r="BA253" s="198">
        <f>운전실적_원본!Z253</f>
        <v>0</v>
      </c>
      <c r="BB253" s="198">
        <f>운전실적_원본!AA253</f>
        <v>0</v>
      </c>
      <c r="BC253" s="198">
        <f>운전실적_원본!AB253</f>
        <v>0</v>
      </c>
      <c r="BD253" s="32" t="str">
        <f t="shared" si="1121"/>
        <v>-</v>
      </c>
      <c r="BE253" s="11" t="str">
        <f t="shared" si="1129"/>
        <v>-</v>
      </c>
      <c r="BF253" s="11">
        <f>운전실적_원본!AE253</f>
        <v>0</v>
      </c>
      <c r="BG253" s="31">
        <f t="shared" si="1122"/>
        <v>0</v>
      </c>
    </row>
    <row r="254" spans="1:59">
      <c r="A254" s="6">
        <f t="shared" si="1130"/>
        <v>45906</v>
      </c>
      <c r="B254" s="15">
        <f>운전실적_원본!B254</f>
        <v>8054</v>
      </c>
      <c r="C254" s="16">
        <f t="shared" si="1299"/>
        <v>33</v>
      </c>
      <c r="D254" s="9">
        <f>운전실적_원본!C254</f>
        <v>241401</v>
      </c>
      <c r="E254" s="199">
        <f t="shared" si="1300"/>
        <v>108</v>
      </c>
      <c r="F254" s="9">
        <f>운전실적_원본!D254</f>
        <v>234862</v>
      </c>
      <c r="G254" s="16">
        <f t="shared" si="1301"/>
        <v>103</v>
      </c>
      <c r="H254" s="15">
        <f>운전실적_원본!E254</f>
        <v>16160.14</v>
      </c>
      <c r="I254" s="16">
        <f t="shared" si="1302"/>
        <v>11.279999999998836</v>
      </c>
      <c r="J254" s="15">
        <f>운전실적_원본!E254</f>
        <v>16160.14</v>
      </c>
      <c r="K254" s="16">
        <f t="shared" si="1302"/>
        <v>11.279999999998836</v>
      </c>
      <c r="L254" s="15">
        <f>운전실적_원본!G254</f>
        <v>3922.3</v>
      </c>
      <c r="M254" s="31">
        <f t="shared" ref="M254" si="1414">IF(OR(LEN(L254)=0,L254=0),"",L254-L253)</f>
        <v>1</v>
      </c>
      <c r="N254" s="15">
        <f>운전실적_원본!H254</f>
        <v>20954</v>
      </c>
      <c r="O254" s="16">
        <f t="shared" ref="O254" si="1415">IF(OR(LEN(N254)=0,N254=0),"",N254-N253)</f>
        <v>129</v>
      </c>
      <c r="P254" s="15">
        <f>운전실적_원본!I254</f>
        <v>287201</v>
      </c>
      <c r="Q254" s="16">
        <f t="shared" ref="Q254" si="1416">IF(OR(LEN(P254)=0,P254=0),"",P254-P253)</f>
        <v>265</v>
      </c>
      <c r="R254" s="18">
        <f>운전실적_원본!J254</f>
        <v>31.28</v>
      </c>
      <c r="S254" s="19">
        <f t="shared" ref="S254" si="1417">IF(OR(LEN(R254)=0,R254=0),"",R254-R253)</f>
        <v>-0.32999999999999829</v>
      </c>
      <c r="T254" s="18">
        <f>운전실적_원본!K254</f>
        <v>30.98</v>
      </c>
      <c r="U254" s="19">
        <f t="shared" si="1307"/>
        <v>-5.9999999999998721E-2</v>
      </c>
      <c r="V254" s="12">
        <f>운전실적_원본!L254</f>
        <v>6340</v>
      </c>
      <c r="W254" s="16">
        <f t="shared" ref="W254" si="1418">IF(OR(LEN(V254)=0,V254=0),"",V254-V253)</f>
        <v>1803</v>
      </c>
      <c r="X254" s="10">
        <f>운전실적_원본!M254</f>
        <v>0</v>
      </c>
      <c r="Y254" s="10">
        <f>운전실적_원본!N254</f>
        <v>0</v>
      </c>
      <c r="Z254" s="10">
        <f>운전실적_원본!O254</f>
        <v>0</v>
      </c>
      <c r="AA254" s="10">
        <f>운전실적_원본!P254</f>
        <v>0</v>
      </c>
      <c r="AB254" s="10">
        <f>운전실적_원본!Q254</f>
        <v>0</v>
      </c>
      <c r="AC254" s="10">
        <f>운전실적_원본!R254</f>
        <v>0</v>
      </c>
      <c r="AD254" s="181">
        <f>운전실적_원본!S254</f>
        <v>0</v>
      </c>
      <c r="AE254" s="181">
        <f>운전실적_원본!T254</f>
        <v>0</v>
      </c>
      <c r="AF254" s="181">
        <f>운전실적_원본!U254</f>
        <v>0</v>
      </c>
      <c r="AG254" s="181">
        <f>운전실적_원본!V254</f>
        <v>0</v>
      </c>
      <c r="AH254" s="106">
        <f t="shared" si="1128"/>
        <v>0</v>
      </c>
      <c r="AI254" s="107">
        <f t="shared" si="1136"/>
        <v>0</v>
      </c>
      <c r="AJ254" s="107">
        <f t="shared" si="1137"/>
        <v>0</v>
      </c>
      <c r="AK254" s="204">
        <f t="shared" si="1138"/>
        <v>0</v>
      </c>
      <c r="AL254" s="103"/>
      <c r="AM254" s="103"/>
      <c r="AN254" s="103"/>
      <c r="AO254" s="103"/>
      <c r="AP254" s="103"/>
      <c r="AQ254" s="105"/>
      <c r="AR254" s="103"/>
      <c r="AS254" s="103"/>
      <c r="AT254" s="101"/>
      <c r="AU254" s="101"/>
      <c r="AV254" s="101"/>
      <c r="AW254" s="101"/>
      <c r="AX254" s="32">
        <f>운전실적_원본!W254</f>
        <v>0</v>
      </c>
      <c r="AY254" s="198">
        <f>운전실적_원본!X254</f>
        <v>0</v>
      </c>
      <c r="AZ254" s="198">
        <f>운전실적_원본!Y254</f>
        <v>0</v>
      </c>
      <c r="BA254" s="198">
        <f>운전실적_원본!Z254</f>
        <v>0</v>
      </c>
      <c r="BB254" s="198">
        <f>운전실적_원본!AA254</f>
        <v>0</v>
      </c>
      <c r="BC254" s="198">
        <f>운전실적_원본!AB254</f>
        <v>0</v>
      </c>
      <c r="BD254" s="32" t="str">
        <f t="shared" si="1121"/>
        <v>-</v>
      </c>
      <c r="BE254" s="11" t="str">
        <f t="shared" si="1129"/>
        <v>-</v>
      </c>
      <c r="BF254" s="11">
        <f>운전실적_원본!AE254</f>
        <v>0</v>
      </c>
      <c r="BG254" s="31">
        <f t="shared" si="1122"/>
        <v>0</v>
      </c>
    </row>
    <row r="255" spans="1:59">
      <c r="A255" s="6">
        <f t="shared" si="1130"/>
        <v>45907</v>
      </c>
      <c r="B255" s="15">
        <f>운전실적_원본!B255</f>
        <v>8089</v>
      </c>
      <c r="C255" s="16">
        <f t="shared" si="1299"/>
        <v>35</v>
      </c>
      <c r="D255" s="9">
        <f>운전실적_원본!C255</f>
        <v>241490</v>
      </c>
      <c r="E255" s="199">
        <f t="shared" si="1300"/>
        <v>89</v>
      </c>
      <c r="F255" s="9">
        <f>운전실적_원본!D255</f>
        <v>234978</v>
      </c>
      <c r="G255" s="16">
        <f t="shared" si="1301"/>
        <v>116</v>
      </c>
      <c r="H255" s="15">
        <f>운전실적_원본!E255</f>
        <v>16170.31</v>
      </c>
      <c r="I255" s="16">
        <f t="shared" si="1302"/>
        <v>10.170000000000073</v>
      </c>
      <c r="J255" s="15">
        <f>운전실적_원본!E255</f>
        <v>16170.31</v>
      </c>
      <c r="K255" s="16">
        <f t="shared" si="1302"/>
        <v>10.170000000000073</v>
      </c>
      <c r="L255" s="15">
        <f>운전실적_원본!G255</f>
        <v>3923.6</v>
      </c>
      <c r="M255" s="31">
        <f t="shared" ref="M255" si="1419">IF(OR(LEN(L255)=0,L255=0),"",L255-L254)</f>
        <v>1.2999999999997272</v>
      </c>
      <c r="N255" s="15">
        <f>운전실적_원본!H255</f>
        <v>21028</v>
      </c>
      <c r="O255" s="16">
        <f t="shared" ref="O255" si="1420">IF(OR(LEN(N255)=0,N255=0),"",N255-N254)</f>
        <v>74</v>
      </c>
      <c r="P255" s="15">
        <f>운전실적_원본!I255</f>
        <v>287477</v>
      </c>
      <c r="Q255" s="16">
        <f t="shared" ref="Q255" si="1421">IF(OR(LEN(P255)=0,P255=0),"",P255-P254)</f>
        <v>276</v>
      </c>
      <c r="R255" s="18">
        <f>운전실적_원본!J255</f>
        <v>31.31</v>
      </c>
      <c r="S255" s="19">
        <f t="shared" ref="S255" si="1422">IF(OR(LEN(R255)=0,R255=0),"",R255-R254)</f>
        <v>2.9999999999997584E-2</v>
      </c>
      <c r="T255" s="18">
        <f>운전실적_원본!K255</f>
        <v>31.05</v>
      </c>
      <c r="U255" s="19">
        <f t="shared" si="1307"/>
        <v>7.0000000000000284E-2</v>
      </c>
      <c r="V255" s="12">
        <f>운전실적_원본!L255</f>
        <v>6515</v>
      </c>
      <c r="W255" s="16">
        <f t="shared" ref="W255" si="1423">IF(OR(LEN(V255)=0,V255=0),"",V255-V254)</f>
        <v>175</v>
      </c>
      <c r="X255" s="10">
        <f>운전실적_원본!M255</f>
        <v>0</v>
      </c>
      <c r="Y255" s="10">
        <f>운전실적_원본!N255</f>
        <v>0</v>
      </c>
      <c r="Z255" s="10">
        <f>운전실적_원본!O255</f>
        <v>0</v>
      </c>
      <c r="AA255" s="10">
        <f>운전실적_원본!P255</f>
        <v>0</v>
      </c>
      <c r="AB255" s="10">
        <f>운전실적_원본!Q255</f>
        <v>0</v>
      </c>
      <c r="AC255" s="10">
        <f>운전실적_원본!R255</f>
        <v>0</v>
      </c>
      <c r="AD255" s="181">
        <f>운전실적_원본!S255</f>
        <v>0</v>
      </c>
      <c r="AE255" s="181">
        <f>운전실적_원본!T255</f>
        <v>0</v>
      </c>
      <c r="AF255" s="181">
        <f>운전실적_원본!U255</f>
        <v>0</v>
      </c>
      <c r="AG255" s="181">
        <f>운전실적_원본!V255</f>
        <v>0</v>
      </c>
      <c r="AH255" s="106">
        <f t="shared" si="1128"/>
        <v>0</v>
      </c>
      <c r="AI255" s="107">
        <f t="shared" si="1136"/>
        <v>0</v>
      </c>
      <c r="AJ255" s="107">
        <f t="shared" si="1137"/>
        <v>0</v>
      </c>
      <c r="AK255" s="204">
        <f t="shared" si="1138"/>
        <v>0</v>
      </c>
      <c r="AL255" s="103"/>
      <c r="AM255" s="103"/>
      <c r="AN255" s="103"/>
      <c r="AO255" s="103"/>
      <c r="AP255" s="103"/>
      <c r="AQ255" s="105"/>
      <c r="AR255" s="103"/>
      <c r="AS255" s="103"/>
      <c r="AT255" s="101"/>
      <c r="AU255" s="101"/>
      <c r="AV255" s="101"/>
      <c r="AW255" s="101"/>
      <c r="AX255" s="32">
        <f>운전실적_원본!W255</f>
        <v>0</v>
      </c>
      <c r="AY255" s="198">
        <f>운전실적_원본!X255</f>
        <v>0</v>
      </c>
      <c r="AZ255" s="198">
        <f>운전실적_원본!Y255</f>
        <v>0</v>
      </c>
      <c r="BA255" s="198">
        <f>운전실적_원본!Z255</f>
        <v>0</v>
      </c>
      <c r="BB255" s="198">
        <f>운전실적_원본!AA255</f>
        <v>0</v>
      </c>
      <c r="BC255" s="198">
        <f>운전실적_원본!AB255</f>
        <v>0</v>
      </c>
      <c r="BD255" s="32" t="str">
        <f t="shared" si="1121"/>
        <v>-</v>
      </c>
      <c r="BE255" s="11" t="str">
        <f t="shared" si="1129"/>
        <v>-</v>
      </c>
      <c r="BF255" s="11">
        <f>운전실적_원본!AE255</f>
        <v>0</v>
      </c>
      <c r="BG255" s="31">
        <f t="shared" si="1122"/>
        <v>0</v>
      </c>
    </row>
    <row r="256" spans="1:59">
      <c r="A256" s="6">
        <f t="shared" si="1130"/>
        <v>45908</v>
      </c>
      <c r="B256" s="15">
        <f>운전실적_원본!B256</f>
        <v>8159</v>
      </c>
      <c r="C256" s="16">
        <f t="shared" si="1299"/>
        <v>70</v>
      </c>
      <c r="D256" s="9">
        <f>운전실적_원본!C256</f>
        <v>241644</v>
      </c>
      <c r="E256" s="199">
        <f t="shared" si="1300"/>
        <v>154</v>
      </c>
      <c r="F256" s="9">
        <f>운전실적_원본!D256</f>
        <v>235132</v>
      </c>
      <c r="G256" s="16">
        <f t="shared" si="1301"/>
        <v>154</v>
      </c>
      <c r="H256" s="15">
        <f>운전실적_원본!E256</f>
        <v>16197.89</v>
      </c>
      <c r="I256" s="16">
        <f t="shared" si="1302"/>
        <v>27.579999999999927</v>
      </c>
      <c r="J256" s="15">
        <f>운전실적_원본!E256</f>
        <v>16197.89</v>
      </c>
      <c r="K256" s="16">
        <f t="shared" si="1302"/>
        <v>27.579999999999927</v>
      </c>
      <c r="L256" s="15">
        <f>운전실적_원본!G256</f>
        <v>3924.5</v>
      </c>
      <c r="M256" s="31">
        <f t="shared" ref="M256" si="1424">IF(OR(LEN(L256)=0,L256=0),"",L256-L255)</f>
        <v>0.90000000000009095</v>
      </c>
      <c r="N256" s="15">
        <f>운전실적_원본!H256</f>
        <v>21159</v>
      </c>
      <c r="O256" s="16">
        <f t="shared" ref="O256" si="1425">IF(OR(LEN(N256)=0,N256=0),"",N256-N255)</f>
        <v>131</v>
      </c>
      <c r="P256" s="15">
        <f>운전실적_원본!I256</f>
        <v>287861</v>
      </c>
      <c r="Q256" s="16">
        <f t="shared" ref="Q256" si="1426">IF(OR(LEN(P256)=0,P256=0),"",P256-P255)</f>
        <v>384</v>
      </c>
      <c r="R256" s="18">
        <f>운전실적_원본!J256</f>
        <v>32</v>
      </c>
      <c r="S256" s="19">
        <f t="shared" ref="S256" si="1427">IF(OR(LEN(R256)=0,R256=0),"",R256-R255)</f>
        <v>0.69000000000000128</v>
      </c>
      <c r="T256" s="18">
        <f>운전실적_원본!K256</f>
        <v>31.55</v>
      </c>
      <c r="U256" s="19">
        <f t="shared" si="1307"/>
        <v>0.5</v>
      </c>
      <c r="V256" s="12">
        <f>운전실적_원본!L256</f>
        <v>6225</v>
      </c>
      <c r="W256" s="16">
        <f t="shared" ref="W256" si="1428">IF(OR(LEN(V256)=0,V256=0),"",V256-V255)</f>
        <v>-290</v>
      </c>
      <c r="X256" s="10">
        <f>운전실적_원본!M256</f>
        <v>0</v>
      </c>
      <c r="Y256" s="10">
        <f>운전실적_원본!N256</f>
        <v>0</v>
      </c>
      <c r="Z256" s="10">
        <f>운전실적_원본!O256</f>
        <v>0</v>
      </c>
      <c r="AA256" s="10">
        <f>운전실적_원본!P256</f>
        <v>0</v>
      </c>
      <c r="AB256" s="10">
        <f>운전실적_원본!Q256</f>
        <v>0</v>
      </c>
      <c r="AC256" s="10">
        <f>운전실적_원본!R256</f>
        <v>0</v>
      </c>
      <c r="AD256" s="181">
        <f>운전실적_원본!S256</f>
        <v>0</v>
      </c>
      <c r="AE256" s="181">
        <f>운전실적_원본!T256</f>
        <v>0</v>
      </c>
      <c r="AF256" s="181">
        <f>운전실적_원본!U256</f>
        <v>0</v>
      </c>
      <c r="AG256" s="181">
        <f>운전실적_원본!V256</f>
        <v>0</v>
      </c>
      <c r="AH256" s="106">
        <f t="shared" si="1128"/>
        <v>0</v>
      </c>
      <c r="AI256" s="107">
        <f t="shared" si="1136"/>
        <v>0</v>
      </c>
      <c r="AJ256" s="107">
        <f t="shared" si="1137"/>
        <v>0</v>
      </c>
      <c r="AK256" s="204">
        <f t="shared" si="1138"/>
        <v>0</v>
      </c>
      <c r="AL256" s="103"/>
      <c r="AM256" s="103"/>
      <c r="AN256" s="103"/>
      <c r="AO256" s="103"/>
      <c r="AP256" s="103"/>
      <c r="AQ256" s="105"/>
      <c r="AR256" s="103"/>
      <c r="AS256" s="103"/>
      <c r="AT256" s="101"/>
      <c r="AU256" s="101"/>
      <c r="AV256" s="101"/>
      <c r="AW256" s="101"/>
      <c r="AX256" s="32">
        <f>운전실적_원본!W256</f>
        <v>0</v>
      </c>
      <c r="AY256" s="198">
        <f>운전실적_원본!X256</f>
        <v>0</v>
      </c>
      <c r="AZ256" s="198">
        <f>운전실적_원본!Y256</f>
        <v>0</v>
      </c>
      <c r="BA256" s="198">
        <f>운전실적_원본!Z256</f>
        <v>0</v>
      </c>
      <c r="BB256" s="198">
        <f>운전실적_원본!AA256</f>
        <v>0</v>
      </c>
      <c r="BC256" s="198">
        <f>운전실적_원본!AB256</f>
        <v>0</v>
      </c>
      <c r="BD256" s="32" t="str">
        <f t="shared" si="1121"/>
        <v>-</v>
      </c>
      <c r="BE256" s="11" t="str">
        <f t="shared" si="1129"/>
        <v>-</v>
      </c>
      <c r="BF256" s="11">
        <f>운전실적_원본!AE256</f>
        <v>0</v>
      </c>
      <c r="BG256" s="31">
        <f t="shared" si="1122"/>
        <v>0</v>
      </c>
    </row>
    <row r="257" spans="1:59">
      <c r="A257" s="6">
        <f t="shared" si="1130"/>
        <v>45909</v>
      </c>
      <c r="B257" s="15">
        <f>운전실적_원본!B257</f>
        <v>8211</v>
      </c>
      <c r="C257" s="16">
        <f t="shared" si="1299"/>
        <v>52</v>
      </c>
      <c r="D257" s="9">
        <f>운전실적_원본!C257</f>
        <v>241739</v>
      </c>
      <c r="E257" s="199">
        <f t="shared" si="1300"/>
        <v>95</v>
      </c>
      <c r="F257" s="9">
        <f>운전실적_원본!D257</f>
        <v>235274</v>
      </c>
      <c r="G257" s="16">
        <f t="shared" si="1301"/>
        <v>142</v>
      </c>
      <c r="H257" s="15">
        <f>운전실적_원본!E257</f>
        <v>16223.75</v>
      </c>
      <c r="I257" s="16">
        <f t="shared" si="1302"/>
        <v>25.860000000000582</v>
      </c>
      <c r="J257" s="15">
        <f>운전실적_원본!E257</f>
        <v>16223.75</v>
      </c>
      <c r="K257" s="16">
        <f t="shared" si="1302"/>
        <v>25.860000000000582</v>
      </c>
      <c r="L257" s="15">
        <f>운전실적_원본!G257</f>
        <v>3925.4</v>
      </c>
      <c r="M257" s="31">
        <f t="shared" ref="M257" si="1429">IF(OR(LEN(L257)=0,L257=0),"",L257-L256)</f>
        <v>0.90000000000009095</v>
      </c>
      <c r="N257" s="15">
        <f>운전실적_원본!H257</f>
        <v>21204</v>
      </c>
      <c r="O257" s="16">
        <f t="shared" ref="O257" si="1430">IF(OR(LEN(N257)=0,N257=0),"",N257-N256)</f>
        <v>45</v>
      </c>
      <c r="P257" s="15">
        <f>운전실적_원본!I257</f>
        <v>288174</v>
      </c>
      <c r="Q257" s="16">
        <f t="shared" ref="Q257" si="1431">IF(OR(LEN(P257)=0,P257=0),"",P257-P256)</f>
        <v>313</v>
      </c>
      <c r="R257" s="18">
        <f>운전실적_원본!J257</f>
        <v>32.200000000000003</v>
      </c>
      <c r="S257" s="19">
        <f t="shared" ref="S257" si="1432">IF(OR(LEN(R257)=0,R257=0),"",R257-R256)</f>
        <v>0.20000000000000284</v>
      </c>
      <c r="T257" s="18">
        <f>운전실적_원본!K257</f>
        <v>31.76</v>
      </c>
      <c r="U257" s="19">
        <f t="shared" si="1307"/>
        <v>0.21000000000000085</v>
      </c>
      <c r="V257" s="12">
        <f>운전실적_원본!L257</f>
        <v>4278</v>
      </c>
      <c r="W257" s="16">
        <f t="shared" ref="W257" si="1433">IF(OR(LEN(V257)=0,V257=0),"",V257-V256)</f>
        <v>-1947</v>
      </c>
      <c r="X257" s="10">
        <f>운전실적_원본!M257</f>
        <v>0</v>
      </c>
      <c r="Y257" s="10">
        <f>운전실적_원본!N257</f>
        <v>0</v>
      </c>
      <c r="Z257" s="10">
        <f>운전실적_원본!O257</f>
        <v>0</v>
      </c>
      <c r="AA257" s="10">
        <f>운전실적_원본!P257</f>
        <v>0</v>
      </c>
      <c r="AB257" s="10">
        <f>운전실적_원본!Q257</f>
        <v>0</v>
      </c>
      <c r="AC257" s="10">
        <f>운전실적_원본!R257</f>
        <v>0</v>
      </c>
      <c r="AD257" s="181">
        <f>운전실적_원본!S257</f>
        <v>0</v>
      </c>
      <c r="AE257" s="181">
        <f>운전실적_원본!T257</f>
        <v>0</v>
      </c>
      <c r="AF257" s="181">
        <f>운전실적_원본!U257</f>
        <v>0</v>
      </c>
      <c r="AG257" s="181">
        <f>운전실적_원본!V257</f>
        <v>0</v>
      </c>
      <c r="AH257" s="106">
        <f t="shared" si="1128"/>
        <v>0</v>
      </c>
      <c r="AI257" s="107">
        <f t="shared" si="1136"/>
        <v>0</v>
      </c>
      <c r="AJ257" s="107">
        <f t="shared" si="1137"/>
        <v>0</v>
      </c>
      <c r="AK257" s="204">
        <f t="shared" si="1138"/>
        <v>0</v>
      </c>
      <c r="AL257" s="103"/>
      <c r="AM257" s="103"/>
      <c r="AN257" s="103"/>
      <c r="AO257" s="103"/>
      <c r="AP257" s="103"/>
      <c r="AQ257" s="105"/>
      <c r="AR257" s="103"/>
      <c r="AS257" s="103"/>
      <c r="AT257" s="101"/>
      <c r="AU257" s="101"/>
      <c r="AV257" s="101"/>
      <c r="AW257" s="101"/>
      <c r="AX257" s="32">
        <f>운전실적_원본!W257</f>
        <v>0</v>
      </c>
      <c r="AY257" s="198">
        <f>운전실적_원본!X257</f>
        <v>0</v>
      </c>
      <c r="AZ257" s="198">
        <f>운전실적_원본!Y257</f>
        <v>0</v>
      </c>
      <c r="BA257" s="198">
        <f>운전실적_원본!Z257</f>
        <v>0</v>
      </c>
      <c r="BB257" s="198">
        <f>운전실적_원본!AA257</f>
        <v>0</v>
      </c>
      <c r="BC257" s="198">
        <f>운전실적_원본!AB257</f>
        <v>0</v>
      </c>
      <c r="BD257" s="32" t="str">
        <f t="shared" si="1121"/>
        <v>-</v>
      </c>
      <c r="BE257" s="11" t="str">
        <f t="shared" si="1129"/>
        <v>-</v>
      </c>
      <c r="BF257" s="11">
        <f>운전실적_원본!AE257</f>
        <v>0</v>
      </c>
      <c r="BG257" s="31">
        <f t="shared" si="1122"/>
        <v>0</v>
      </c>
    </row>
    <row r="258" spans="1:59">
      <c r="A258" s="6">
        <f t="shared" si="1130"/>
        <v>45910</v>
      </c>
      <c r="B258" s="15">
        <f>운전실적_원본!B258</f>
        <v>8226</v>
      </c>
      <c r="C258" s="16">
        <f t="shared" si="1299"/>
        <v>15</v>
      </c>
      <c r="D258" s="9">
        <f>운전실적_원본!C258</f>
        <v>241875</v>
      </c>
      <c r="E258" s="199">
        <f t="shared" si="1300"/>
        <v>136</v>
      </c>
      <c r="F258" s="9">
        <f>운전실적_원본!D258</f>
        <v>235427</v>
      </c>
      <c r="G258" s="16">
        <f t="shared" si="1301"/>
        <v>153</v>
      </c>
      <c r="H258" s="15">
        <f>운전실적_원본!E258</f>
        <v>16249.85</v>
      </c>
      <c r="I258" s="16">
        <f t="shared" si="1302"/>
        <v>26.100000000000364</v>
      </c>
      <c r="J258" s="15">
        <f>운전실적_원본!E258</f>
        <v>16249.85</v>
      </c>
      <c r="K258" s="16">
        <f t="shared" si="1302"/>
        <v>26.100000000000364</v>
      </c>
      <c r="L258" s="15">
        <f>운전실적_원본!G258</f>
        <v>3926.8</v>
      </c>
      <c r="M258" s="31">
        <f t="shared" ref="M258" si="1434">IF(OR(LEN(L258)=0,L258=0),"",L258-L257)</f>
        <v>1.4000000000000909</v>
      </c>
      <c r="N258" s="15">
        <f>운전실적_원본!H258</f>
        <v>21325</v>
      </c>
      <c r="O258" s="16">
        <f t="shared" ref="O258" si="1435">IF(OR(LEN(N258)=0,N258=0),"",N258-N257)</f>
        <v>121</v>
      </c>
      <c r="P258" s="15">
        <f>운전실적_원본!I258</f>
        <v>288500</v>
      </c>
      <c r="Q258" s="16">
        <f t="shared" ref="Q258" si="1436">IF(OR(LEN(P258)=0,P258=0),"",P258-P257)</f>
        <v>326</v>
      </c>
      <c r="R258" s="18">
        <f>운전실적_원본!J258</f>
        <v>32.020000000000003</v>
      </c>
      <c r="S258" s="19">
        <f t="shared" ref="S258" si="1437">IF(OR(LEN(R258)=0,R258=0),"",R258-R257)</f>
        <v>-0.17999999999999972</v>
      </c>
      <c r="T258" s="18">
        <f>운전실적_원본!K258</f>
        <v>31.84</v>
      </c>
      <c r="U258" s="19">
        <f t="shared" si="1307"/>
        <v>7.9999999999998295E-2</v>
      </c>
      <c r="V258" s="12">
        <f>운전실적_원본!L258</f>
        <v>7599</v>
      </c>
      <c r="W258" s="16">
        <f t="shared" ref="W258" si="1438">IF(OR(LEN(V258)=0,V258=0),"",V258-V257)</f>
        <v>3321</v>
      </c>
      <c r="X258" s="10">
        <f>운전실적_원본!M258</f>
        <v>0</v>
      </c>
      <c r="Y258" s="10">
        <f>운전실적_원본!N258</f>
        <v>0</v>
      </c>
      <c r="Z258" s="10">
        <f>운전실적_원본!O258</f>
        <v>0</v>
      </c>
      <c r="AA258" s="10">
        <f>운전실적_원본!P258</f>
        <v>0</v>
      </c>
      <c r="AB258" s="10">
        <f>운전실적_원본!Q258</f>
        <v>0</v>
      </c>
      <c r="AC258" s="10">
        <f>운전실적_원본!R258</f>
        <v>0</v>
      </c>
      <c r="AD258" s="181">
        <f>운전실적_원본!S258</f>
        <v>0</v>
      </c>
      <c r="AE258" s="181">
        <f>운전실적_원본!T258</f>
        <v>0</v>
      </c>
      <c r="AF258" s="181">
        <f>운전실적_원본!U258</f>
        <v>0</v>
      </c>
      <c r="AG258" s="181">
        <f>운전실적_원본!V258</f>
        <v>0</v>
      </c>
      <c r="AH258" s="106">
        <f t="shared" si="1128"/>
        <v>0</v>
      </c>
      <c r="AI258" s="107">
        <f t="shared" si="1136"/>
        <v>0</v>
      </c>
      <c r="AJ258" s="107">
        <f t="shared" si="1137"/>
        <v>0</v>
      </c>
      <c r="AK258" s="204">
        <f t="shared" si="1138"/>
        <v>0</v>
      </c>
      <c r="AL258" s="103"/>
      <c r="AM258" s="103"/>
      <c r="AN258" s="103"/>
      <c r="AO258" s="103"/>
      <c r="AP258" s="103"/>
      <c r="AQ258" s="105"/>
      <c r="AR258" s="103"/>
      <c r="AS258" s="103"/>
      <c r="AT258" s="101"/>
      <c r="AU258" s="101"/>
      <c r="AV258" s="101"/>
      <c r="AW258" s="101"/>
      <c r="AX258" s="32">
        <f>운전실적_원본!W258</f>
        <v>0</v>
      </c>
      <c r="AY258" s="198">
        <f>운전실적_원본!X258</f>
        <v>0</v>
      </c>
      <c r="AZ258" s="198">
        <f>운전실적_원본!Y258</f>
        <v>0</v>
      </c>
      <c r="BA258" s="198">
        <f>운전실적_원본!Z258</f>
        <v>0</v>
      </c>
      <c r="BB258" s="198">
        <f>운전실적_원본!AA258</f>
        <v>0</v>
      </c>
      <c r="BC258" s="198">
        <f>운전실적_원본!AB258</f>
        <v>0</v>
      </c>
      <c r="BD258" s="32" t="str">
        <f t="shared" si="1121"/>
        <v>-</v>
      </c>
      <c r="BE258" s="11" t="str">
        <f t="shared" si="1129"/>
        <v>-</v>
      </c>
      <c r="BF258" s="11">
        <f>운전실적_원본!AE258</f>
        <v>0</v>
      </c>
      <c r="BG258" s="31">
        <f t="shared" si="1122"/>
        <v>0</v>
      </c>
    </row>
    <row r="259" spans="1:59">
      <c r="A259" s="6">
        <f t="shared" si="1130"/>
        <v>45911</v>
      </c>
      <c r="B259" s="15">
        <f>운전실적_원본!B259</f>
        <v>8239</v>
      </c>
      <c r="C259" s="16">
        <f t="shared" si="1299"/>
        <v>13</v>
      </c>
      <c r="D259" s="9">
        <f>운전실적_원본!C259</f>
        <v>241952</v>
      </c>
      <c r="E259" s="199">
        <f t="shared" si="1300"/>
        <v>77</v>
      </c>
      <c r="F259" s="9">
        <f>운전실적_원본!D259</f>
        <v>235512</v>
      </c>
      <c r="G259" s="16">
        <f t="shared" si="1301"/>
        <v>85</v>
      </c>
      <c r="H259" s="15">
        <f>운전실적_원본!E259</f>
        <v>16277.18</v>
      </c>
      <c r="I259" s="16">
        <f t="shared" si="1302"/>
        <v>27.329999999999927</v>
      </c>
      <c r="J259" s="15">
        <f>운전실적_원본!E259</f>
        <v>16277.18</v>
      </c>
      <c r="K259" s="16">
        <f t="shared" si="1302"/>
        <v>27.329999999999927</v>
      </c>
      <c r="L259" s="15">
        <f>운전실적_원본!G259</f>
        <v>3928</v>
      </c>
      <c r="M259" s="31">
        <f t="shared" ref="M259" si="1439">IF(OR(LEN(L259)=0,L259=0),"",L259-L258)</f>
        <v>1.1999999999998181</v>
      </c>
      <c r="N259" s="15">
        <f>운전실적_원본!H259</f>
        <v>21487</v>
      </c>
      <c r="O259" s="16">
        <f t="shared" ref="O259" si="1440">IF(OR(LEN(N259)=0,N259=0),"",N259-N258)</f>
        <v>162</v>
      </c>
      <c r="P259" s="15">
        <f>운전실적_원본!I259</f>
        <v>288743</v>
      </c>
      <c r="Q259" s="16">
        <f t="shared" ref="Q259" si="1441">IF(OR(LEN(P259)=0,P259=0),"",P259-P258)</f>
        <v>243</v>
      </c>
      <c r="R259" s="18">
        <f>운전실적_원본!J259</f>
        <v>32.299999999999997</v>
      </c>
      <c r="S259" s="19">
        <f t="shared" ref="S259" si="1442">IF(OR(LEN(R259)=0,R259=0),"",R259-R258)</f>
        <v>0.27999999999999403</v>
      </c>
      <c r="T259" s="18">
        <f>운전실적_원본!K259</f>
        <v>32</v>
      </c>
      <c r="U259" s="19">
        <f t="shared" si="1307"/>
        <v>0.16000000000000014</v>
      </c>
      <c r="V259" s="12">
        <f>운전실적_원본!L259</f>
        <v>7087</v>
      </c>
      <c r="W259" s="16">
        <f t="shared" ref="W259" si="1443">IF(OR(LEN(V259)=0,V259=0),"",V259-V258)</f>
        <v>-512</v>
      </c>
      <c r="X259" s="10">
        <f>운전실적_원본!M259</f>
        <v>0</v>
      </c>
      <c r="Y259" s="10">
        <f>운전실적_원본!N259</f>
        <v>0</v>
      </c>
      <c r="Z259" s="10">
        <f>운전실적_원본!O259</f>
        <v>0</v>
      </c>
      <c r="AA259" s="10">
        <f>운전실적_원본!P259</f>
        <v>0</v>
      </c>
      <c r="AB259" s="10">
        <f>운전실적_원본!Q259</f>
        <v>0</v>
      </c>
      <c r="AC259" s="10">
        <f>운전실적_원본!R259</f>
        <v>0</v>
      </c>
      <c r="AD259" s="181">
        <f>운전실적_원본!S259</f>
        <v>0</v>
      </c>
      <c r="AE259" s="181">
        <f>운전실적_원본!T259</f>
        <v>0</v>
      </c>
      <c r="AF259" s="181">
        <f>운전실적_원본!U259</f>
        <v>0</v>
      </c>
      <c r="AG259" s="181">
        <f>운전실적_원본!V259</f>
        <v>0</v>
      </c>
      <c r="AH259" s="106">
        <f t="shared" si="1128"/>
        <v>0</v>
      </c>
      <c r="AI259" s="107">
        <f t="shared" si="1136"/>
        <v>0</v>
      </c>
      <c r="AJ259" s="107">
        <f t="shared" si="1137"/>
        <v>0</v>
      </c>
      <c r="AK259" s="204">
        <f t="shared" si="1138"/>
        <v>0</v>
      </c>
      <c r="AL259" s="103"/>
      <c r="AM259" s="103"/>
      <c r="AN259" s="103"/>
      <c r="AO259" s="103"/>
      <c r="AP259" s="103"/>
      <c r="AQ259" s="105"/>
      <c r="AR259" s="103"/>
      <c r="AS259" s="103"/>
      <c r="AT259" s="101"/>
      <c r="AU259" s="101"/>
      <c r="AV259" s="101"/>
      <c r="AW259" s="101"/>
      <c r="AX259" s="32">
        <f>운전실적_원본!W259</f>
        <v>0</v>
      </c>
      <c r="AY259" s="198">
        <f>운전실적_원본!X259</f>
        <v>0</v>
      </c>
      <c r="AZ259" s="198">
        <f>운전실적_원본!Y259</f>
        <v>0</v>
      </c>
      <c r="BA259" s="198">
        <f>운전실적_원본!Z259</f>
        <v>0</v>
      </c>
      <c r="BB259" s="198">
        <f>운전실적_원본!AA259</f>
        <v>0</v>
      </c>
      <c r="BC259" s="198">
        <f>운전실적_원본!AB259</f>
        <v>0</v>
      </c>
      <c r="BD259" s="32" t="str">
        <f t="shared" si="1121"/>
        <v>-</v>
      </c>
      <c r="BE259" s="11" t="str">
        <f t="shared" si="1129"/>
        <v>-</v>
      </c>
      <c r="BF259" s="11">
        <f>운전실적_원본!AE259</f>
        <v>0</v>
      </c>
      <c r="BG259" s="31">
        <f t="shared" si="1122"/>
        <v>0</v>
      </c>
    </row>
    <row r="260" spans="1:59">
      <c r="A260" s="6">
        <f t="shared" si="1130"/>
        <v>45912</v>
      </c>
      <c r="B260" s="15">
        <f>운전실적_원본!B260</f>
        <v>8239</v>
      </c>
      <c r="C260" s="16">
        <f t="shared" si="1299"/>
        <v>0</v>
      </c>
      <c r="D260" s="9">
        <f>운전실적_원본!C260</f>
        <v>242047</v>
      </c>
      <c r="E260" s="199">
        <f t="shared" si="1300"/>
        <v>95</v>
      </c>
      <c r="F260" s="9">
        <f>운전실적_원본!D260</f>
        <v>235573</v>
      </c>
      <c r="G260" s="16">
        <f t="shared" si="1301"/>
        <v>61</v>
      </c>
      <c r="H260" s="15">
        <f>운전실적_원본!E260</f>
        <v>16304.29</v>
      </c>
      <c r="I260" s="16">
        <f t="shared" si="1302"/>
        <v>27.110000000000582</v>
      </c>
      <c r="J260" s="15">
        <f>운전실적_원본!E260</f>
        <v>16304.29</v>
      </c>
      <c r="K260" s="16">
        <f t="shared" si="1302"/>
        <v>27.110000000000582</v>
      </c>
      <c r="L260" s="15">
        <f>운전실적_원본!G260</f>
        <v>3929.4</v>
      </c>
      <c r="M260" s="31">
        <f t="shared" ref="M260" si="1444">IF(OR(LEN(L260)=0,L260=0),"",L260-L259)</f>
        <v>1.4000000000000909</v>
      </c>
      <c r="N260" s="15">
        <f>운전실적_원본!H260</f>
        <v>21588</v>
      </c>
      <c r="O260" s="16">
        <f t="shared" ref="O260" si="1445">IF(OR(LEN(N260)=0,N260=0),"",N260-N259)</f>
        <v>101</v>
      </c>
      <c r="P260" s="15">
        <f>운전실적_원본!I260</f>
        <v>288931</v>
      </c>
      <c r="Q260" s="16">
        <f t="shared" ref="Q260" si="1446">IF(OR(LEN(P260)=0,P260=0),"",P260-P259)</f>
        <v>188</v>
      </c>
      <c r="R260" s="18">
        <f>운전실적_원본!J260</f>
        <v>32.32</v>
      </c>
      <c r="S260" s="19">
        <f t="shared" ref="S260" si="1447">IF(OR(LEN(R260)=0,R260=0),"",R260-R259)</f>
        <v>2.0000000000003126E-2</v>
      </c>
      <c r="T260" s="18">
        <f>운전실적_원본!K260</f>
        <v>31.99</v>
      </c>
      <c r="U260" s="19">
        <f t="shared" si="1307"/>
        <v>-1.0000000000001563E-2</v>
      </c>
      <c r="V260" s="12">
        <f>운전실적_원본!L260</f>
        <v>8747</v>
      </c>
      <c r="W260" s="16">
        <f t="shared" ref="W260" si="1448">IF(OR(LEN(V260)=0,V260=0),"",V260-V259)</f>
        <v>1660</v>
      </c>
      <c r="X260" s="10">
        <f>운전실적_원본!M260</f>
        <v>0</v>
      </c>
      <c r="Y260" s="10">
        <f>운전실적_원본!N260</f>
        <v>0</v>
      </c>
      <c r="Z260" s="10">
        <f>운전실적_원본!O260</f>
        <v>0</v>
      </c>
      <c r="AA260" s="10">
        <f>운전실적_원본!P260</f>
        <v>0</v>
      </c>
      <c r="AB260" s="10">
        <f>운전실적_원본!Q260</f>
        <v>0</v>
      </c>
      <c r="AC260" s="10">
        <f>운전실적_원본!R260</f>
        <v>0</v>
      </c>
      <c r="AD260" s="181">
        <f>운전실적_원본!S260</f>
        <v>0</v>
      </c>
      <c r="AE260" s="181">
        <f>운전실적_원본!T260</f>
        <v>0</v>
      </c>
      <c r="AF260" s="181">
        <f>운전실적_원본!U260</f>
        <v>0</v>
      </c>
      <c r="AG260" s="181">
        <f>운전실적_원본!V260</f>
        <v>0</v>
      </c>
      <c r="AH260" s="106">
        <f t="shared" si="1128"/>
        <v>0</v>
      </c>
      <c r="AI260" s="107">
        <f t="shared" si="1136"/>
        <v>0</v>
      </c>
      <c r="AJ260" s="107">
        <f t="shared" si="1137"/>
        <v>0</v>
      </c>
      <c r="AK260" s="204">
        <f t="shared" si="1138"/>
        <v>0</v>
      </c>
      <c r="AL260" s="103"/>
      <c r="AM260" s="103"/>
      <c r="AN260" s="103"/>
      <c r="AO260" s="103"/>
      <c r="AP260" s="103"/>
      <c r="AQ260" s="105"/>
      <c r="AR260" s="103"/>
      <c r="AS260" s="103"/>
      <c r="AT260" s="101"/>
      <c r="AU260" s="101"/>
      <c r="AV260" s="101"/>
      <c r="AW260" s="101"/>
      <c r="AX260" s="32">
        <f>운전실적_원본!W260</f>
        <v>0</v>
      </c>
      <c r="AY260" s="198">
        <f>운전실적_원본!X260</f>
        <v>0</v>
      </c>
      <c r="AZ260" s="198">
        <f>운전실적_원본!Y260</f>
        <v>0</v>
      </c>
      <c r="BA260" s="198">
        <f>운전실적_원본!Z260</f>
        <v>0</v>
      </c>
      <c r="BB260" s="198">
        <f>운전실적_원본!AA260</f>
        <v>0</v>
      </c>
      <c r="BC260" s="198">
        <f>운전실적_원본!AB260</f>
        <v>0</v>
      </c>
      <c r="BD260" s="32" t="str">
        <f t="shared" si="1121"/>
        <v>-</v>
      </c>
      <c r="BE260" s="11" t="str">
        <f t="shared" si="1129"/>
        <v>-</v>
      </c>
      <c r="BF260" s="11">
        <f>운전실적_원본!AE260</f>
        <v>0</v>
      </c>
      <c r="BG260" s="31">
        <f t="shared" si="1122"/>
        <v>0</v>
      </c>
    </row>
    <row r="261" spans="1:59">
      <c r="A261" s="6">
        <f t="shared" si="1130"/>
        <v>45913</v>
      </c>
      <c r="B261" s="15">
        <f>운전실적_원본!B261</f>
        <v>8239</v>
      </c>
      <c r="C261" s="16">
        <f t="shared" si="1299"/>
        <v>0</v>
      </c>
      <c r="D261" s="9">
        <f>운전실적_원본!C261</f>
        <v>242124</v>
      </c>
      <c r="E261" s="199">
        <f t="shared" si="1300"/>
        <v>77</v>
      </c>
      <c r="F261" s="9">
        <f>운전실적_원본!D261</f>
        <v>235597</v>
      </c>
      <c r="G261" s="16">
        <f t="shared" si="1301"/>
        <v>24</v>
      </c>
      <c r="H261" s="15">
        <f>운전실적_원본!E261</f>
        <v>16324.87</v>
      </c>
      <c r="I261" s="16">
        <f t="shared" si="1302"/>
        <v>20.579999999999927</v>
      </c>
      <c r="J261" s="15">
        <f>운전실적_원본!E261</f>
        <v>16324.87</v>
      </c>
      <c r="K261" s="16">
        <f t="shared" si="1302"/>
        <v>20.579999999999927</v>
      </c>
      <c r="L261" s="15">
        <f>운전실적_원본!G261</f>
        <v>3930.7</v>
      </c>
      <c r="M261" s="31">
        <f t="shared" ref="M261" si="1449">IF(OR(LEN(L261)=0,L261=0),"",L261-L260)</f>
        <v>1.2999999999997272</v>
      </c>
      <c r="N261" s="15">
        <f>운전실적_원본!H261</f>
        <v>21731</v>
      </c>
      <c r="O261" s="16">
        <f t="shared" ref="O261" si="1450">IF(OR(LEN(N261)=0,N261=0),"",N261-N260)</f>
        <v>143</v>
      </c>
      <c r="P261" s="15">
        <f>운전실적_원본!I261</f>
        <v>289094</v>
      </c>
      <c r="Q261" s="16">
        <f t="shared" ref="Q261" si="1451">IF(OR(LEN(P261)=0,P261=0),"",P261-P260)</f>
        <v>163</v>
      </c>
      <c r="R261" s="18">
        <f>운전실적_원본!J261</f>
        <v>32.39</v>
      </c>
      <c r="S261" s="19">
        <f t="shared" ref="S261" si="1452">IF(OR(LEN(R261)=0,R261=0),"",R261-R260)</f>
        <v>7.0000000000000284E-2</v>
      </c>
      <c r="T261" s="18">
        <f>운전실적_원본!K261</f>
        <v>31.94</v>
      </c>
      <c r="U261" s="19">
        <f t="shared" si="1307"/>
        <v>-4.9999999999997158E-2</v>
      </c>
      <c r="V261" s="12">
        <f>운전실적_원본!L261</f>
        <v>8669</v>
      </c>
      <c r="W261" s="16">
        <f t="shared" ref="W261" si="1453">IF(OR(LEN(V261)=0,V261=0),"",V261-V260)</f>
        <v>-78</v>
      </c>
      <c r="X261" s="10">
        <f>운전실적_원본!M261</f>
        <v>0</v>
      </c>
      <c r="Y261" s="10">
        <f>운전실적_원본!N261</f>
        <v>0</v>
      </c>
      <c r="Z261" s="10">
        <f>운전실적_원본!O261</f>
        <v>0</v>
      </c>
      <c r="AA261" s="10">
        <f>운전실적_원본!P261</f>
        <v>0</v>
      </c>
      <c r="AB261" s="10">
        <f>운전실적_원본!Q261</f>
        <v>0</v>
      </c>
      <c r="AC261" s="10">
        <f>운전실적_원본!R261</f>
        <v>0</v>
      </c>
      <c r="AD261" s="181">
        <f>운전실적_원본!S261</f>
        <v>0</v>
      </c>
      <c r="AE261" s="181">
        <f>운전실적_원본!T261</f>
        <v>0</v>
      </c>
      <c r="AF261" s="181">
        <f>운전실적_원본!U261</f>
        <v>0</v>
      </c>
      <c r="AG261" s="181">
        <f>운전실적_원본!V261</f>
        <v>0</v>
      </c>
      <c r="AH261" s="106">
        <f t="shared" si="1128"/>
        <v>0</v>
      </c>
      <c r="AI261" s="107">
        <f t="shared" si="1136"/>
        <v>0</v>
      </c>
      <c r="AJ261" s="107">
        <f t="shared" si="1137"/>
        <v>0</v>
      </c>
      <c r="AK261" s="204">
        <f t="shared" si="1138"/>
        <v>0</v>
      </c>
      <c r="AL261" s="103"/>
      <c r="AM261" s="103"/>
      <c r="AN261" s="103"/>
      <c r="AO261" s="103"/>
      <c r="AP261" s="103"/>
      <c r="AQ261" s="105"/>
      <c r="AR261" s="103"/>
      <c r="AS261" s="103"/>
      <c r="AT261" s="101"/>
      <c r="AU261" s="101"/>
      <c r="AV261" s="101"/>
      <c r="AW261" s="101"/>
      <c r="AX261" s="32">
        <f>운전실적_원본!W261</f>
        <v>0</v>
      </c>
      <c r="AY261" s="198">
        <f>운전실적_원본!X261</f>
        <v>0</v>
      </c>
      <c r="AZ261" s="198">
        <f>운전실적_원본!Y261</f>
        <v>0</v>
      </c>
      <c r="BA261" s="198">
        <f>운전실적_원본!Z261</f>
        <v>0</v>
      </c>
      <c r="BB261" s="198">
        <f>운전실적_원본!AA261</f>
        <v>0</v>
      </c>
      <c r="BC261" s="198">
        <f>운전실적_원본!AB261</f>
        <v>0</v>
      </c>
      <c r="BD261" s="32" t="str">
        <f t="shared" ref="BD261:BD324" si="1454">IFERROR(AX261/AD261,"-")</f>
        <v>-</v>
      </c>
      <c r="BE261" s="11" t="str">
        <f t="shared" si="1129"/>
        <v>-</v>
      </c>
      <c r="BF261" s="11">
        <f>운전실적_원본!AE261</f>
        <v>0</v>
      </c>
      <c r="BG261" s="31">
        <f t="shared" ref="BG261:BG324" si="1455">IFERROR(BF261/$BG$4,"-")</f>
        <v>0</v>
      </c>
    </row>
    <row r="262" spans="1:59">
      <c r="A262" s="6">
        <f t="shared" si="1130"/>
        <v>45914</v>
      </c>
      <c r="B262" s="15">
        <f>운전실적_원본!B262</f>
        <v>8239</v>
      </c>
      <c r="C262" s="16">
        <f t="shared" si="1299"/>
        <v>0</v>
      </c>
      <c r="D262" s="9">
        <f>운전실적_원본!C262</f>
        <v>242124</v>
      </c>
      <c r="E262" s="199">
        <f t="shared" si="1300"/>
        <v>0</v>
      </c>
      <c r="F262" s="9">
        <f>운전실적_원본!D262</f>
        <v>235597</v>
      </c>
      <c r="G262" s="16">
        <f t="shared" si="1301"/>
        <v>0</v>
      </c>
      <c r="H262" s="15">
        <f>운전실적_원본!E262</f>
        <v>16348.94</v>
      </c>
      <c r="I262" s="16">
        <f t="shared" si="1302"/>
        <v>24.069999999999709</v>
      </c>
      <c r="J262" s="15">
        <f>운전실적_원본!E262</f>
        <v>16348.94</v>
      </c>
      <c r="K262" s="16">
        <f t="shared" si="1302"/>
        <v>24.069999999999709</v>
      </c>
      <c r="L262" s="15">
        <f>운전실적_원본!G262</f>
        <v>3931.9</v>
      </c>
      <c r="M262" s="31">
        <f t="shared" ref="M262" si="1456">IF(OR(LEN(L262)=0,L262=0),"",L262-L261)</f>
        <v>1.2000000000002728</v>
      </c>
      <c r="N262" s="15">
        <f>운전실적_원본!H262</f>
        <v>21777</v>
      </c>
      <c r="O262" s="16">
        <f t="shared" ref="O262" si="1457">IF(OR(LEN(N262)=0,N262=0),"",N262-N261)</f>
        <v>46</v>
      </c>
      <c r="P262" s="15">
        <f>운전실적_원본!I262</f>
        <v>108</v>
      </c>
      <c r="Q262" s="16">
        <f t="shared" ref="Q262" si="1458">IF(OR(LEN(P262)=0,P262=0),"",P262-P261)</f>
        <v>-288986</v>
      </c>
      <c r="R262" s="18">
        <f>운전실적_원본!J262</f>
        <v>32.33</v>
      </c>
      <c r="S262" s="19">
        <f t="shared" ref="S262" si="1459">IF(OR(LEN(R262)=0,R262=0),"",R262-R261)</f>
        <v>-6.0000000000002274E-2</v>
      </c>
      <c r="T262" s="18">
        <f>운전실적_원본!K262</f>
        <v>31.89</v>
      </c>
      <c r="U262" s="19">
        <f t="shared" si="1307"/>
        <v>-5.0000000000000711E-2</v>
      </c>
      <c r="V262" s="12">
        <f>운전실적_원본!L262</f>
        <v>8310</v>
      </c>
      <c r="W262" s="16">
        <f t="shared" ref="W262" si="1460">IF(OR(LEN(V262)=0,V262=0),"",V262-V261)</f>
        <v>-359</v>
      </c>
      <c r="X262" s="10">
        <f>운전실적_원본!M262</f>
        <v>0</v>
      </c>
      <c r="Y262" s="10">
        <f>운전실적_원본!N262</f>
        <v>0</v>
      </c>
      <c r="Z262" s="10">
        <f>운전실적_원본!O262</f>
        <v>0</v>
      </c>
      <c r="AA262" s="10">
        <f>운전실적_원본!P262</f>
        <v>0</v>
      </c>
      <c r="AB262" s="10">
        <f>운전실적_원본!Q262</f>
        <v>0</v>
      </c>
      <c r="AC262" s="10">
        <f>운전실적_원본!R262</f>
        <v>0</v>
      </c>
      <c r="AD262" s="181">
        <f>운전실적_원본!S262</f>
        <v>0</v>
      </c>
      <c r="AE262" s="181">
        <f>운전실적_원본!T262</f>
        <v>0</v>
      </c>
      <c r="AF262" s="181">
        <f>운전실적_원본!U262</f>
        <v>0</v>
      </c>
      <c r="AG262" s="181">
        <f>운전실적_원본!V262</f>
        <v>0</v>
      </c>
      <c r="AH262" s="106">
        <f t="shared" ref="AH262:AH325" si="1461">((AM262-AL262)+(AO262-AN262)+(AQ262-AP262))*24</f>
        <v>0</v>
      </c>
      <c r="AI262" s="107">
        <f t="shared" si="1136"/>
        <v>0</v>
      </c>
      <c r="AJ262" s="107">
        <f t="shared" si="1137"/>
        <v>0</v>
      </c>
      <c r="AK262" s="204">
        <f t="shared" si="1138"/>
        <v>0</v>
      </c>
      <c r="AL262" s="103"/>
      <c r="AM262" s="103"/>
      <c r="AN262" s="103"/>
      <c r="AO262" s="103"/>
      <c r="AP262" s="103"/>
      <c r="AQ262" s="105"/>
      <c r="AR262" s="103"/>
      <c r="AS262" s="103"/>
      <c r="AT262" s="101"/>
      <c r="AU262" s="101"/>
      <c r="AV262" s="101"/>
      <c r="AW262" s="101"/>
      <c r="AX262" s="32">
        <f>운전실적_원본!W262</f>
        <v>0</v>
      </c>
      <c r="AY262" s="198">
        <f>운전실적_원본!X262</f>
        <v>0</v>
      </c>
      <c r="AZ262" s="198">
        <f>운전실적_원본!Y262</f>
        <v>0</v>
      </c>
      <c r="BA262" s="198">
        <f>운전실적_원본!Z262</f>
        <v>0</v>
      </c>
      <c r="BB262" s="198">
        <f>운전실적_원본!AA262</f>
        <v>0</v>
      </c>
      <c r="BC262" s="198">
        <f>운전실적_원본!AB262</f>
        <v>0</v>
      </c>
      <c r="BD262" s="32" t="str">
        <f t="shared" si="1454"/>
        <v>-</v>
      </c>
      <c r="BE262" s="11" t="str">
        <f t="shared" ref="BE262:BE325" si="1462">IFERROR(BD262/$BE$4,"-")</f>
        <v>-</v>
      </c>
      <c r="BF262" s="11">
        <f>운전실적_원본!AE262</f>
        <v>0</v>
      </c>
      <c r="BG262" s="31">
        <f t="shared" si="1455"/>
        <v>0</v>
      </c>
    </row>
    <row r="263" spans="1:59">
      <c r="A263" s="6">
        <f t="shared" ref="A263:A326" si="1463">A262+1</f>
        <v>45915</v>
      </c>
      <c r="B263" s="15">
        <f>운전실적_원본!B263</f>
        <v>8258</v>
      </c>
      <c r="C263" s="16">
        <f t="shared" si="1299"/>
        <v>19</v>
      </c>
      <c r="D263" s="9">
        <f>운전실적_원본!C263</f>
        <v>242218</v>
      </c>
      <c r="E263" s="199">
        <f t="shared" si="1300"/>
        <v>94</v>
      </c>
      <c r="F263" s="9">
        <f>운전실적_원본!D263</f>
        <v>235664</v>
      </c>
      <c r="G263" s="16">
        <f t="shared" si="1301"/>
        <v>67</v>
      </c>
      <c r="H263" s="15">
        <f>운전실적_원본!E263</f>
        <v>16391.439999999999</v>
      </c>
      <c r="I263" s="16">
        <f t="shared" si="1302"/>
        <v>42.499999999998181</v>
      </c>
      <c r="J263" s="15">
        <f>운전실적_원본!E263</f>
        <v>16391.439999999999</v>
      </c>
      <c r="K263" s="16">
        <f t="shared" si="1302"/>
        <v>42.499999999998181</v>
      </c>
      <c r="L263" s="15">
        <f>운전실적_원본!G263</f>
        <v>3932.9</v>
      </c>
      <c r="M263" s="31">
        <f t="shared" ref="M263" si="1464">IF(OR(LEN(L263)=0,L263=0),"",L263-L262)</f>
        <v>1</v>
      </c>
      <c r="N263" s="15">
        <f>운전실적_원본!H263</f>
        <v>21923</v>
      </c>
      <c r="O263" s="16">
        <f t="shared" ref="O263" si="1465">IF(OR(LEN(N263)=0,N263=0),"",N263-N262)</f>
        <v>146</v>
      </c>
      <c r="P263" s="15">
        <f>운전실적_원본!I263</f>
        <v>302</v>
      </c>
      <c r="Q263" s="16">
        <f t="shared" ref="Q263" si="1466">IF(OR(LEN(P263)=0,P263=0),"",P263-P262)</f>
        <v>194</v>
      </c>
      <c r="R263" s="18">
        <f>운전실적_원본!J263</f>
        <v>32.54</v>
      </c>
      <c r="S263" s="19">
        <f t="shared" ref="S263" si="1467">IF(OR(LEN(R263)=0,R263=0),"",R263-R262)</f>
        <v>0.21000000000000085</v>
      </c>
      <c r="T263" s="18">
        <f>운전실적_원본!K263</f>
        <v>32.14</v>
      </c>
      <c r="U263" s="19">
        <f t="shared" si="1307"/>
        <v>0.25</v>
      </c>
      <c r="V263" s="12">
        <f>운전실적_원본!L263</f>
        <v>7871</v>
      </c>
      <c r="W263" s="16">
        <f t="shared" ref="W263" si="1468">IF(OR(LEN(V263)=0,V263=0),"",V263-V262)</f>
        <v>-439</v>
      </c>
      <c r="X263" s="10">
        <f>운전실적_원본!M263</f>
        <v>0</v>
      </c>
      <c r="Y263" s="10">
        <f>운전실적_원본!N263</f>
        <v>0</v>
      </c>
      <c r="Z263" s="10">
        <f>운전실적_원본!O263</f>
        <v>0</v>
      </c>
      <c r="AA263" s="10">
        <f>운전실적_원본!P263</f>
        <v>0</v>
      </c>
      <c r="AB263" s="10">
        <f>운전실적_원본!Q263</f>
        <v>0</v>
      </c>
      <c r="AC263" s="10">
        <f>운전실적_원본!R263</f>
        <v>0</v>
      </c>
      <c r="AD263" s="181">
        <f>운전실적_원본!S263</f>
        <v>0</v>
      </c>
      <c r="AE263" s="181">
        <f>운전실적_원본!T263</f>
        <v>0</v>
      </c>
      <c r="AF263" s="181">
        <f>운전실적_원본!U263</f>
        <v>0</v>
      </c>
      <c r="AG263" s="181">
        <f>운전실적_원본!V263</f>
        <v>0</v>
      </c>
      <c r="AH263" s="106">
        <f t="shared" si="1461"/>
        <v>0</v>
      </c>
      <c r="AI263" s="107">
        <f t="shared" ref="AI263:AI326" si="1469">(AS263-AR263)*24</f>
        <v>0</v>
      </c>
      <c r="AJ263" s="107">
        <f t="shared" ref="AJ263:AJ326" si="1470">(AU263-AT263)*24</f>
        <v>0</v>
      </c>
      <c r="AK263" s="204">
        <f t="shared" ref="AK263:AK326" si="1471">(AW263-AV263)*24</f>
        <v>0</v>
      </c>
      <c r="AL263" s="103"/>
      <c r="AM263" s="103"/>
      <c r="AN263" s="103"/>
      <c r="AO263" s="103"/>
      <c r="AP263" s="103"/>
      <c r="AQ263" s="105"/>
      <c r="AR263" s="103"/>
      <c r="AS263" s="103"/>
      <c r="AT263" s="101"/>
      <c r="AU263" s="101"/>
      <c r="AV263" s="101"/>
      <c r="AW263" s="101"/>
      <c r="AX263" s="32">
        <f>운전실적_원본!W263</f>
        <v>0</v>
      </c>
      <c r="AY263" s="198">
        <f>운전실적_원본!X263</f>
        <v>0</v>
      </c>
      <c r="AZ263" s="198">
        <f>운전실적_원본!Y263</f>
        <v>0</v>
      </c>
      <c r="BA263" s="198">
        <f>운전실적_원본!Z263</f>
        <v>0</v>
      </c>
      <c r="BB263" s="198">
        <f>운전실적_원본!AA263</f>
        <v>0</v>
      </c>
      <c r="BC263" s="198">
        <f>운전실적_원본!AB263</f>
        <v>0</v>
      </c>
      <c r="BD263" s="32" t="str">
        <f t="shared" si="1454"/>
        <v>-</v>
      </c>
      <c r="BE263" s="11" t="str">
        <f t="shared" si="1462"/>
        <v>-</v>
      </c>
      <c r="BF263" s="11">
        <f>운전실적_원본!AE263</f>
        <v>0</v>
      </c>
      <c r="BG263" s="31">
        <f t="shared" si="1455"/>
        <v>0</v>
      </c>
    </row>
    <row r="264" spans="1:59">
      <c r="A264" s="6">
        <f t="shared" si="1463"/>
        <v>45916</v>
      </c>
      <c r="B264" s="15">
        <f>운전실적_원본!B264</f>
        <v>8293</v>
      </c>
      <c r="C264" s="16">
        <f t="shared" si="1299"/>
        <v>35</v>
      </c>
      <c r="D264" s="9">
        <f>운전실적_원본!C264</f>
        <v>242287</v>
      </c>
      <c r="E264" s="199">
        <f t="shared" si="1300"/>
        <v>69</v>
      </c>
      <c r="F264" s="9">
        <f>운전실적_원본!D264</f>
        <v>235764</v>
      </c>
      <c r="G264" s="16">
        <f t="shared" si="1301"/>
        <v>100</v>
      </c>
      <c r="H264" s="15">
        <f>운전실적_원본!E264</f>
        <v>16426.25</v>
      </c>
      <c r="I264" s="16">
        <f t="shared" si="1302"/>
        <v>34.81000000000131</v>
      </c>
      <c r="J264" s="15">
        <f>운전실적_원본!E264</f>
        <v>16426.25</v>
      </c>
      <c r="K264" s="16">
        <f t="shared" si="1302"/>
        <v>34.81000000000131</v>
      </c>
      <c r="L264" s="15">
        <f>운전실적_원본!G264</f>
        <v>3933.7</v>
      </c>
      <c r="M264" s="31">
        <f t="shared" ref="M264" si="1472">IF(OR(LEN(L264)=0,L264=0),"",L264-L263)</f>
        <v>0.79999999999972715</v>
      </c>
      <c r="N264" s="15">
        <f>운전실적_원본!H264</f>
        <v>22039</v>
      </c>
      <c r="O264" s="16">
        <f t="shared" ref="O264" si="1473">IF(OR(LEN(N264)=0,N264=0),"",N264-N263)</f>
        <v>116</v>
      </c>
      <c r="P264" s="15">
        <f>운전실적_원본!I264</f>
        <v>562</v>
      </c>
      <c r="Q264" s="16">
        <f t="shared" ref="Q264" si="1474">IF(OR(LEN(P264)=0,P264=0),"",P264-P263)</f>
        <v>260</v>
      </c>
      <c r="R264" s="18">
        <f>운전실적_원본!J264</f>
        <v>32.83</v>
      </c>
      <c r="S264" s="19">
        <f t="shared" ref="S264" si="1475">IF(OR(LEN(R264)=0,R264=0),"",R264-R263)</f>
        <v>0.28999999999999915</v>
      </c>
      <c r="T264" s="18">
        <f>운전실적_원본!K264</f>
        <v>32.32</v>
      </c>
      <c r="U264" s="19">
        <f t="shared" si="1307"/>
        <v>0.17999999999999972</v>
      </c>
      <c r="V264" s="12">
        <f>운전실적_원본!L264</f>
        <v>6852</v>
      </c>
      <c r="W264" s="16">
        <f t="shared" ref="W264" si="1476">IF(OR(LEN(V264)=0,V264=0),"",V264-V263)</f>
        <v>-1019</v>
      </c>
      <c r="X264" s="10">
        <f>운전실적_원본!M264</f>
        <v>0</v>
      </c>
      <c r="Y264" s="10">
        <f>운전실적_원본!N264</f>
        <v>0</v>
      </c>
      <c r="Z264" s="10">
        <f>운전실적_원본!O264</f>
        <v>0</v>
      </c>
      <c r="AA264" s="10">
        <f>운전실적_원본!P264</f>
        <v>0</v>
      </c>
      <c r="AB264" s="10">
        <f>운전실적_원본!Q264</f>
        <v>0</v>
      </c>
      <c r="AC264" s="10">
        <f>운전실적_원본!R264</f>
        <v>0</v>
      </c>
      <c r="AD264" s="181">
        <f>운전실적_원본!S264</f>
        <v>0</v>
      </c>
      <c r="AE264" s="181">
        <f>운전실적_원본!T264</f>
        <v>0</v>
      </c>
      <c r="AF264" s="181">
        <f>운전실적_원본!U264</f>
        <v>0</v>
      </c>
      <c r="AG264" s="181">
        <f>운전실적_원본!V264</f>
        <v>0</v>
      </c>
      <c r="AH264" s="106">
        <f t="shared" si="1461"/>
        <v>0</v>
      </c>
      <c r="AI264" s="107">
        <f t="shared" si="1469"/>
        <v>0</v>
      </c>
      <c r="AJ264" s="107">
        <f t="shared" si="1470"/>
        <v>0</v>
      </c>
      <c r="AK264" s="204">
        <f t="shared" si="1471"/>
        <v>0</v>
      </c>
      <c r="AL264" s="103"/>
      <c r="AM264" s="103"/>
      <c r="AN264" s="103"/>
      <c r="AO264" s="103"/>
      <c r="AP264" s="103"/>
      <c r="AQ264" s="105"/>
      <c r="AR264" s="103"/>
      <c r="AS264" s="103"/>
      <c r="AT264" s="101"/>
      <c r="AU264" s="101"/>
      <c r="AV264" s="101"/>
      <c r="AW264" s="101"/>
      <c r="AX264" s="32">
        <f>운전실적_원본!W264</f>
        <v>0</v>
      </c>
      <c r="AY264" s="198">
        <f>운전실적_원본!X264</f>
        <v>0</v>
      </c>
      <c r="AZ264" s="198">
        <f>운전실적_원본!Y264</f>
        <v>0</v>
      </c>
      <c r="BA264" s="198">
        <f>운전실적_원본!Z264</f>
        <v>0</v>
      </c>
      <c r="BB264" s="198">
        <f>운전실적_원본!AA264</f>
        <v>0</v>
      </c>
      <c r="BC264" s="198">
        <f>운전실적_원본!AB264</f>
        <v>0</v>
      </c>
      <c r="BD264" s="32" t="str">
        <f t="shared" si="1454"/>
        <v>-</v>
      </c>
      <c r="BE264" s="11" t="str">
        <f t="shared" si="1462"/>
        <v>-</v>
      </c>
      <c r="BF264" s="11">
        <f>운전실적_원본!AE264</f>
        <v>0</v>
      </c>
      <c r="BG264" s="31">
        <f t="shared" si="1455"/>
        <v>0</v>
      </c>
    </row>
    <row r="265" spans="1:59">
      <c r="A265" s="6">
        <f t="shared" si="1463"/>
        <v>45917</v>
      </c>
      <c r="B265" s="15">
        <f>운전실적_원본!B265</f>
        <v>8328</v>
      </c>
      <c r="C265" s="16">
        <f t="shared" si="1299"/>
        <v>35</v>
      </c>
      <c r="D265" s="9">
        <f>운전실적_원본!C265</f>
        <v>242430</v>
      </c>
      <c r="E265" s="199">
        <f t="shared" si="1300"/>
        <v>143</v>
      </c>
      <c r="F265" s="9">
        <f>운전실적_원본!D265</f>
        <v>235846</v>
      </c>
      <c r="G265" s="16">
        <f t="shared" si="1301"/>
        <v>82</v>
      </c>
      <c r="H265" s="15">
        <f>운전실적_원본!E265</f>
        <v>16441.599999999999</v>
      </c>
      <c r="I265" s="16">
        <f t="shared" si="1302"/>
        <v>15.349999999998545</v>
      </c>
      <c r="J265" s="15">
        <f>운전실적_원본!E265</f>
        <v>16441.599999999999</v>
      </c>
      <c r="K265" s="16">
        <f t="shared" si="1302"/>
        <v>15.349999999998545</v>
      </c>
      <c r="L265" s="15">
        <f>운전실적_원본!G265</f>
        <v>3934.6</v>
      </c>
      <c r="M265" s="31">
        <f t="shared" ref="M265" si="1477">IF(OR(LEN(L265)=0,L265=0),"",L265-L264)</f>
        <v>0.90000000000009095</v>
      </c>
      <c r="N265" s="15">
        <f>운전실적_원본!H265</f>
        <v>22084</v>
      </c>
      <c r="O265" s="16">
        <f t="shared" ref="O265" si="1478">IF(OR(LEN(N265)=0,N265=0),"",N265-N264)</f>
        <v>45</v>
      </c>
      <c r="P265" s="15">
        <f>운전실적_원본!I265</f>
        <v>814</v>
      </c>
      <c r="Q265" s="16">
        <f t="shared" ref="Q265" si="1479">IF(OR(LEN(P265)=0,P265=0),"",P265-P264)</f>
        <v>252</v>
      </c>
      <c r="R265" s="18">
        <f>운전실적_원본!J265</f>
        <v>32.82</v>
      </c>
      <c r="S265" s="19">
        <f t="shared" ref="S265" si="1480">IF(OR(LEN(R265)=0,R265=0),"",R265-R264)</f>
        <v>-9.9999999999980105E-3</v>
      </c>
      <c r="T265" s="18">
        <f>운전실적_원본!K265</f>
        <v>32.479999999999997</v>
      </c>
      <c r="U265" s="19">
        <f t="shared" si="1307"/>
        <v>0.15999999999999659</v>
      </c>
      <c r="V265" s="12">
        <f>운전실적_원본!L265</f>
        <v>5057</v>
      </c>
      <c r="W265" s="16">
        <f t="shared" ref="W265" si="1481">IF(OR(LEN(V265)=0,V265=0),"",V265-V264)</f>
        <v>-1795</v>
      </c>
      <c r="X265" s="10">
        <f>운전실적_원본!M265</f>
        <v>0</v>
      </c>
      <c r="Y265" s="10">
        <f>운전실적_원본!N265</f>
        <v>0</v>
      </c>
      <c r="Z265" s="10">
        <f>운전실적_원본!O265</f>
        <v>0</v>
      </c>
      <c r="AA265" s="10">
        <f>운전실적_원본!P265</f>
        <v>0</v>
      </c>
      <c r="AB265" s="10">
        <f>운전실적_원본!Q265</f>
        <v>0</v>
      </c>
      <c r="AC265" s="10">
        <f>운전실적_원본!R265</f>
        <v>0</v>
      </c>
      <c r="AD265" s="181">
        <f>운전실적_원본!S265</f>
        <v>0</v>
      </c>
      <c r="AE265" s="181">
        <f>운전실적_원본!T265</f>
        <v>0</v>
      </c>
      <c r="AF265" s="181">
        <f>운전실적_원본!U265</f>
        <v>0</v>
      </c>
      <c r="AG265" s="181">
        <f>운전실적_원본!V265</f>
        <v>0</v>
      </c>
      <c r="AH265" s="106">
        <f t="shared" si="1461"/>
        <v>0</v>
      </c>
      <c r="AI265" s="107">
        <f t="shared" si="1469"/>
        <v>0</v>
      </c>
      <c r="AJ265" s="107">
        <f t="shared" si="1470"/>
        <v>0</v>
      </c>
      <c r="AK265" s="204">
        <f t="shared" si="1471"/>
        <v>0</v>
      </c>
      <c r="AL265" s="103"/>
      <c r="AM265" s="103"/>
      <c r="AN265" s="103"/>
      <c r="AO265" s="103"/>
      <c r="AP265" s="103"/>
      <c r="AQ265" s="105"/>
      <c r="AR265" s="103"/>
      <c r="AS265" s="103"/>
      <c r="AT265" s="101"/>
      <c r="AU265" s="101"/>
      <c r="AV265" s="101"/>
      <c r="AW265" s="101"/>
      <c r="AX265" s="32">
        <f>운전실적_원본!W265</f>
        <v>0</v>
      </c>
      <c r="AY265" s="198">
        <f>운전실적_원본!X265</f>
        <v>0</v>
      </c>
      <c r="AZ265" s="198">
        <f>운전실적_원본!Y265</f>
        <v>0</v>
      </c>
      <c r="BA265" s="198">
        <f>운전실적_원본!Z265</f>
        <v>0</v>
      </c>
      <c r="BB265" s="198">
        <f>운전실적_원본!AA265</f>
        <v>0</v>
      </c>
      <c r="BC265" s="198">
        <f>운전실적_원본!AB265</f>
        <v>0</v>
      </c>
      <c r="BD265" s="32" t="str">
        <f t="shared" si="1454"/>
        <v>-</v>
      </c>
      <c r="BE265" s="11" t="str">
        <f t="shared" si="1462"/>
        <v>-</v>
      </c>
      <c r="BF265" s="11">
        <f>운전실적_원본!AE265</f>
        <v>0</v>
      </c>
      <c r="BG265" s="31">
        <f t="shared" si="1455"/>
        <v>0</v>
      </c>
    </row>
    <row r="266" spans="1:59">
      <c r="A266" s="6">
        <f t="shared" si="1463"/>
        <v>45918</v>
      </c>
      <c r="B266" s="15">
        <f>운전실적_원본!B266</f>
        <v>8362</v>
      </c>
      <c r="C266" s="16">
        <f t="shared" si="1299"/>
        <v>34</v>
      </c>
      <c r="D266" s="9">
        <f>운전실적_원본!C266</f>
        <v>242480</v>
      </c>
      <c r="E266" s="199">
        <f t="shared" si="1300"/>
        <v>50</v>
      </c>
      <c r="F266" s="9">
        <f>운전실적_원본!D266</f>
        <v>236008</v>
      </c>
      <c r="G266" s="16">
        <f t="shared" si="1301"/>
        <v>162</v>
      </c>
      <c r="H266" s="15">
        <f>운전실적_원본!E266</f>
        <v>16458.07</v>
      </c>
      <c r="I266" s="16">
        <f t="shared" si="1302"/>
        <v>16.470000000001164</v>
      </c>
      <c r="J266" s="15">
        <f>운전실적_원본!E266</f>
        <v>16458.07</v>
      </c>
      <c r="K266" s="16">
        <f t="shared" si="1302"/>
        <v>16.470000000001164</v>
      </c>
      <c r="L266" s="15">
        <f>운전실적_원본!G266</f>
        <v>3935.8</v>
      </c>
      <c r="M266" s="31">
        <f t="shared" ref="M266" si="1482">IF(OR(LEN(L266)=0,L266=0),"",L266-L265)</f>
        <v>1.2000000000002728</v>
      </c>
      <c r="N266" s="15">
        <f>운전실적_원본!H266</f>
        <v>22304</v>
      </c>
      <c r="O266" s="16">
        <f t="shared" ref="O266" si="1483">IF(OR(LEN(N266)=0,N266=0),"",N266-N265)</f>
        <v>220</v>
      </c>
      <c r="P266" s="15">
        <f>운전실적_원본!I266</f>
        <v>1081</v>
      </c>
      <c r="Q266" s="16">
        <f t="shared" ref="Q266" si="1484">IF(OR(LEN(P266)=0,P266=0),"",P266-P265)</f>
        <v>267</v>
      </c>
      <c r="R266" s="18">
        <f>운전실적_원본!J266</f>
        <v>33.090000000000003</v>
      </c>
      <c r="S266" s="19">
        <f t="shared" ref="S266" si="1485">IF(OR(LEN(R266)=0,R266=0),"",R266-R265)</f>
        <v>0.27000000000000313</v>
      </c>
      <c r="T266" s="18">
        <f>운전실적_원본!K266</f>
        <v>32.67</v>
      </c>
      <c r="U266" s="19">
        <f t="shared" si="1307"/>
        <v>0.19000000000000483</v>
      </c>
      <c r="V266" s="12">
        <f>운전실적_원본!L266</f>
        <v>5321</v>
      </c>
      <c r="W266" s="16">
        <f t="shared" ref="W266" si="1486">IF(OR(LEN(V266)=0,V266=0),"",V266-V265)</f>
        <v>264</v>
      </c>
      <c r="X266" s="10">
        <f>운전실적_원본!M266</f>
        <v>0</v>
      </c>
      <c r="Y266" s="10">
        <f>운전실적_원본!N266</f>
        <v>0</v>
      </c>
      <c r="Z266" s="10">
        <f>운전실적_원본!O266</f>
        <v>0</v>
      </c>
      <c r="AA266" s="10">
        <f>운전실적_원본!P266</f>
        <v>0</v>
      </c>
      <c r="AB266" s="10">
        <f>운전실적_원본!Q266</f>
        <v>0</v>
      </c>
      <c r="AC266" s="10">
        <f>운전실적_원본!R266</f>
        <v>0</v>
      </c>
      <c r="AD266" s="181">
        <f>운전실적_원본!S266</f>
        <v>0</v>
      </c>
      <c r="AE266" s="181">
        <f>운전실적_원본!T266</f>
        <v>0</v>
      </c>
      <c r="AF266" s="181">
        <f>운전실적_원본!U266</f>
        <v>0</v>
      </c>
      <c r="AG266" s="181">
        <f>운전실적_원본!V266</f>
        <v>0</v>
      </c>
      <c r="AH266" s="106">
        <f t="shared" si="1461"/>
        <v>0</v>
      </c>
      <c r="AI266" s="107">
        <f t="shared" si="1469"/>
        <v>0</v>
      </c>
      <c r="AJ266" s="107">
        <f t="shared" si="1470"/>
        <v>0</v>
      </c>
      <c r="AK266" s="204">
        <f t="shared" si="1471"/>
        <v>0</v>
      </c>
      <c r="AL266" s="103"/>
      <c r="AM266" s="103"/>
      <c r="AN266" s="103"/>
      <c r="AO266" s="103"/>
      <c r="AP266" s="103"/>
      <c r="AQ266" s="105"/>
      <c r="AR266" s="103"/>
      <c r="AS266" s="103"/>
      <c r="AT266" s="101"/>
      <c r="AU266" s="101"/>
      <c r="AV266" s="101"/>
      <c r="AW266" s="101"/>
      <c r="AX266" s="32">
        <f>운전실적_원본!W266</f>
        <v>0</v>
      </c>
      <c r="AY266" s="198">
        <f>운전실적_원본!X266</f>
        <v>0</v>
      </c>
      <c r="AZ266" s="198">
        <f>운전실적_원본!Y266</f>
        <v>0</v>
      </c>
      <c r="BA266" s="198">
        <f>운전실적_원본!Z266</f>
        <v>0</v>
      </c>
      <c r="BB266" s="198">
        <f>운전실적_원본!AA266</f>
        <v>0</v>
      </c>
      <c r="BC266" s="198">
        <f>운전실적_원본!AB266</f>
        <v>0</v>
      </c>
      <c r="BD266" s="32" t="str">
        <f t="shared" si="1454"/>
        <v>-</v>
      </c>
      <c r="BE266" s="11" t="str">
        <f t="shared" si="1462"/>
        <v>-</v>
      </c>
      <c r="BF266" s="11">
        <f>운전실적_원본!AE266</f>
        <v>0</v>
      </c>
      <c r="BG266" s="31">
        <f t="shared" si="1455"/>
        <v>0</v>
      </c>
    </row>
    <row r="267" spans="1:59">
      <c r="A267" s="6">
        <f t="shared" si="1463"/>
        <v>45919</v>
      </c>
      <c r="B267" s="15">
        <f>운전실적_원본!B267</f>
        <v>8398</v>
      </c>
      <c r="C267" s="16">
        <f t="shared" si="1299"/>
        <v>36</v>
      </c>
      <c r="D267" s="9">
        <f>운전실적_원본!C267</f>
        <v>242674</v>
      </c>
      <c r="E267" s="199">
        <f t="shared" si="1300"/>
        <v>194</v>
      </c>
      <c r="F267" s="9">
        <f>운전실적_원본!D267</f>
        <v>236008</v>
      </c>
      <c r="G267" s="16">
        <f t="shared" si="1301"/>
        <v>0</v>
      </c>
      <c r="H267" s="15">
        <f>운전실적_원본!E267</f>
        <v>16472.099999999999</v>
      </c>
      <c r="I267" s="16">
        <f t="shared" si="1302"/>
        <v>14.029999999998836</v>
      </c>
      <c r="J267" s="15">
        <f>운전실적_원본!E267</f>
        <v>16472.099999999999</v>
      </c>
      <c r="K267" s="16">
        <f t="shared" si="1302"/>
        <v>14.029999999998836</v>
      </c>
      <c r="L267" s="15">
        <f>운전실적_원본!G267</f>
        <v>3936.7</v>
      </c>
      <c r="M267" s="31">
        <f t="shared" ref="M267" si="1487">IF(OR(LEN(L267)=0,L267=0),"",L267-L266)</f>
        <v>0.8999999999996362</v>
      </c>
      <c r="N267" s="15">
        <f>운전실적_원본!H267</f>
        <v>22470</v>
      </c>
      <c r="O267" s="16">
        <f t="shared" ref="O267" si="1488">IF(OR(LEN(N267)=0,N267=0),"",N267-N266)</f>
        <v>166</v>
      </c>
      <c r="P267" s="15">
        <f>운전실적_원본!I267</f>
        <v>1336</v>
      </c>
      <c r="Q267" s="16">
        <f t="shared" ref="Q267" si="1489">IF(OR(LEN(P267)=0,P267=0),"",P267-P266)</f>
        <v>255</v>
      </c>
      <c r="R267" s="18">
        <f>운전실적_원본!J267</f>
        <v>33.46</v>
      </c>
      <c r="S267" s="19">
        <f t="shared" ref="S267" si="1490">IF(OR(LEN(R267)=0,R267=0),"",R267-R266)</f>
        <v>0.36999999999999744</v>
      </c>
      <c r="T267" s="18">
        <f>운전실적_원본!K267</f>
        <v>32.840000000000003</v>
      </c>
      <c r="U267" s="19">
        <f t="shared" si="1307"/>
        <v>0.17000000000000171</v>
      </c>
      <c r="V267" s="12">
        <f>운전실적_원본!L267</f>
        <v>4496</v>
      </c>
      <c r="W267" s="16">
        <f t="shared" ref="W267" si="1491">IF(OR(LEN(V267)=0,V267=0),"",V267-V266)</f>
        <v>-825</v>
      </c>
      <c r="X267" s="10">
        <f>운전실적_원본!M267</f>
        <v>0</v>
      </c>
      <c r="Y267" s="10">
        <f>운전실적_원본!N267</f>
        <v>0</v>
      </c>
      <c r="Z267" s="10">
        <f>운전실적_원본!O267</f>
        <v>0</v>
      </c>
      <c r="AA267" s="10">
        <f>운전실적_원본!P267</f>
        <v>0</v>
      </c>
      <c r="AB267" s="10">
        <f>운전실적_원본!Q267</f>
        <v>0</v>
      </c>
      <c r="AC267" s="10">
        <f>운전실적_원본!R267</f>
        <v>0</v>
      </c>
      <c r="AD267" s="181">
        <f>운전실적_원본!S267</f>
        <v>0</v>
      </c>
      <c r="AE267" s="181">
        <f>운전실적_원본!T267</f>
        <v>0</v>
      </c>
      <c r="AF267" s="181">
        <f>운전실적_원본!U267</f>
        <v>0</v>
      </c>
      <c r="AG267" s="181">
        <f>운전실적_원본!V267</f>
        <v>0</v>
      </c>
      <c r="AH267" s="106">
        <f t="shared" si="1461"/>
        <v>0</v>
      </c>
      <c r="AI267" s="107">
        <f t="shared" si="1469"/>
        <v>0</v>
      </c>
      <c r="AJ267" s="107">
        <f t="shared" si="1470"/>
        <v>0</v>
      </c>
      <c r="AK267" s="204">
        <f t="shared" si="1471"/>
        <v>0</v>
      </c>
      <c r="AL267" s="103"/>
      <c r="AM267" s="103"/>
      <c r="AN267" s="103"/>
      <c r="AO267" s="103"/>
      <c r="AP267" s="103"/>
      <c r="AQ267" s="105"/>
      <c r="AR267" s="103"/>
      <c r="AS267" s="103"/>
      <c r="AT267" s="101"/>
      <c r="AU267" s="101"/>
      <c r="AV267" s="101"/>
      <c r="AW267" s="101"/>
      <c r="AX267" s="32">
        <f>운전실적_원본!W267</f>
        <v>0</v>
      </c>
      <c r="AY267" s="198">
        <f>운전실적_원본!X267</f>
        <v>0</v>
      </c>
      <c r="AZ267" s="198">
        <f>운전실적_원본!Y267</f>
        <v>0</v>
      </c>
      <c r="BA267" s="198">
        <f>운전실적_원본!Z267</f>
        <v>0</v>
      </c>
      <c r="BB267" s="198">
        <f>운전실적_원본!AA267</f>
        <v>0</v>
      </c>
      <c r="BC267" s="198">
        <f>운전실적_원본!AB267</f>
        <v>0</v>
      </c>
      <c r="BD267" s="32" t="str">
        <f t="shared" si="1454"/>
        <v>-</v>
      </c>
      <c r="BE267" s="11" t="str">
        <f t="shared" si="1462"/>
        <v>-</v>
      </c>
      <c r="BF267" s="11">
        <f>운전실적_원본!AE267</f>
        <v>0</v>
      </c>
      <c r="BG267" s="31">
        <f t="shared" si="1455"/>
        <v>0</v>
      </c>
    </row>
    <row r="268" spans="1:59">
      <c r="A268" s="6">
        <f t="shared" si="1463"/>
        <v>45920</v>
      </c>
      <c r="B268" s="15">
        <f>운전실적_원본!B268</f>
        <v>8433</v>
      </c>
      <c r="C268" s="16">
        <f t="shared" si="1299"/>
        <v>35</v>
      </c>
      <c r="D268" s="9">
        <f>운전실적_원본!C268</f>
        <v>242706</v>
      </c>
      <c r="E268" s="199">
        <f t="shared" si="1300"/>
        <v>32</v>
      </c>
      <c r="F268" s="9">
        <f>운전실적_원본!D268</f>
        <v>236191</v>
      </c>
      <c r="G268" s="16">
        <f t="shared" si="1301"/>
        <v>183</v>
      </c>
      <c r="H268" s="15">
        <f>운전실적_원본!E268</f>
        <v>16479.099999999999</v>
      </c>
      <c r="I268" s="16">
        <f t="shared" si="1302"/>
        <v>7</v>
      </c>
      <c r="J268" s="15">
        <f>운전실적_원본!E268</f>
        <v>16479.099999999999</v>
      </c>
      <c r="K268" s="16">
        <f t="shared" si="1302"/>
        <v>7</v>
      </c>
      <c r="L268" s="15">
        <f>운전실적_원본!G268</f>
        <v>3937.5</v>
      </c>
      <c r="M268" s="31">
        <f t="shared" ref="M268" si="1492">IF(OR(LEN(L268)=0,L268=0),"",L268-L267)</f>
        <v>0.8000000000001819</v>
      </c>
      <c r="N268" s="15">
        <f>운전실적_원본!H268</f>
        <v>22574</v>
      </c>
      <c r="O268" s="16">
        <f t="shared" ref="O268" si="1493">IF(OR(LEN(N268)=0,N268=0),"",N268-N267)</f>
        <v>104</v>
      </c>
      <c r="P268" s="15">
        <f>운전실적_원본!I268</f>
        <v>1604</v>
      </c>
      <c r="Q268" s="16">
        <f t="shared" ref="Q268" si="1494">IF(OR(LEN(P268)=0,P268=0),"",P268-P267)</f>
        <v>268</v>
      </c>
      <c r="R268" s="18">
        <f>운전실적_원본!J268</f>
        <v>33.57</v>
      </c>
      <c r="S268" s="19">
        <f t="shared" ref="S268" si="1495">IF(OR(LEN(R268)=0,R268=0),"",R268-R267)</f>
        <v>0.10999999999999943</v>
      </c>
      <c r="T268" s="18">
        <f>운전실적_원본!K268</f>
        <v>32.92</v>
      </c>
      <c r="U268" s="19">
        <f t="shared" si="1307"/>
        <v>7.9999999999998295E-2</v>
      </c>
      <c r="V268" s="12">
        <f>운전실적_원본!L268</f>
        <v>8007</v>
      </c>
      <c r="W268" s="16">
        <f t="shared" ref="W268" si="1496">IF(OR(LEN(V268)=0,V268=0),"",V268-V267)</f>
        <v>3511</v>
      </c>
      <c r="X268" s="10">
        <f>운전실적_원본!M268</f>
        <v>0</v>
      </c>
      <c r="Y268" s="10">
        <f>운전실적_원본!N268</f>
        <v>0</v>
      </c>
      <c r="Z268" s="10">
        <f>운전실적_원본!O268</f>
        <v>0</v>
      </c>
      <c r="AA268" s="10">
        <f>운전실적_원본!P268</f>
        <v>0</v>
      </c>
      <c r="AB268" s="10">
        <f>운전실적_원본!Q268</f>
        <v>0</v>
      </c>
      <c r="AC268" s="10">
        <f>운전실적_원본!R268</f>
        <v>0</v>
      </c>
      <c r="AD268" s="181">
        <f>운전실적_원본!S268</f>
        <v>0</v>
      </c>
      <c r="AE268" s="181">
        <f>운전실적_원본!T268</f>
        <v>0</v>
      </c>
      <c r="AF268" s="181">
        <f>운전실적_원본!U268</f>
        <v>0</v>
      </c>
      <c r="AG268" s="181">
        <f>운전실적_원본!V268</f>
        <v>0</v>
      </c>
      <c r="AH268" s="106">
        <f t="shared" si="1461"/>
        <v>0</v>
      </c>
      <c r="AI268" s="107">
        <f t="shared" si="1469"/>
        <v>0</v>
      </c>
      <c r="AJ268" s="107">
        <f t="shared" si="1470"/>
        <v>0</v>
      </c>
      <c r="AK268" s="204">
        <f t="shared" si="1471"/>
        <v>0</v>
      </c>
      <c r="AL268" s="103"/>
      <c r="AM268" s="103"/>
      <c r="AN268" s="103"/>
      <c r="AO268" s="103"/>
      <c r="AP268" s="103"/>
      <c r="AQ268" s="105"/>
      <c r="AR268" s="103"/>
      <c r="AS268" s="103"/>
      <c r="AT268" s="101"/>
      <c r="AU268" s="101"/>
      <c r="AV268" s="101"/>
      <c r="AW268" s="101"/>
      <c r="AX268" s="32">
        <f>운전실적_원본!W268</f>
        <v>0</v>
      </c>
      <c r="AY268" s="198">
        <f>운전실적_원본!X268</f>
        <v>0</v>
      </c>
      <c r="AZ268" s="198">
        <f>운전실적_원본!Y268</f>
        <v>0</v>
      </c>
      <c r="BA268" s="198">
        <f>운전실적_원본!Z268</f>
        <v>0</v>
      </c>
      <c r="BB268" s="198">
        <f>운전실적_원본!AA268</f>
        <v>0</v>
      </c>
      <c r="BC268" s="198">
        <f>운전실적_원본!AB268</f>
        <v>0</v>
      </c>
      <c r="BD268" s="32" t="str">
        <f t="shared" si="1454"/>
        <v>-</v>
      </c>
      <c r="BE268" s="11" t="str">
        <f t="shared" si="1462"/>
        <v>-</v>
      </c>
      <c r="BF268" s="11">
        <f>운전실적_원본!AE268</f>
        <v>0</v>
      </c>
      <c r="BG268" s="31">
        <f t="shared" si="1455"/>
        <v>0</v>
      </c>
    </row>
    <row r="269" spans="1:59">
      <c r="A269" s="6">
        <f t="shared" si="1463"/>
        <v>45921</v>
      </c>
      <c r="B269" s="15">
        <f>운전실적_원본!B269</f>
        <v>8448</v>
      </c>
      <c r="C269" s="16">
        <f t="shared" si="1299"/>
        <v>15</v>
      </c>
      <c r="D269" s="9">
        <f>운전실적_원본!C269</f>
        <v>242769</v>
      </c>
      <c r="E269" s="199">
        <f t="shared" si="1300"/>
        <v>63</v>
      </c>
      <c r="F269" s="9">
        <f>운전실적_원본!D269</f>
        <v>236191</v>
      </c>
      <c r="G269" s="16">
        <f t="shared" si="1301"/>
        <v>0</v>
      </c>
      <c r="H269" s="15">
        <f>운전실적_원본!E269</f>
        <v>16487.939999999999</v>
      </c>
      <c r="I269" s="16">
        <f t="shared" si="1302"/>
        <v>8.8400000000001455</v>
      </c>
      <c r="J269" s="15">
        <f>운전실적_원본!E269</f>
        <v>16487.939999999999</v>
      </c>
      <c r="K269" s="16">
        <f t="shared" si="1302"/>
        <v>8.8400000000001455</v>
      </c>
      <c r="L269" s="15">
        <f>운전실적_원본!G269</f>
        <v>3938.3</v>
      </c>
      <c r="M269" s="31">
        <f t="shared" ref="M269" si="1497">IF(OR(LEN(L269)=0,L269=0),"",L269-L268)</f>
        <v>0.8000000000001819</v>
      </c>
      <c r="N269" s="15">
        <f>운전실적_원본!H269</f>
        <v>22614</v>
      </c>
      <c r="O269" s="16">
        <f t="shared" ref="O269" si="1498">IF(OR(LEN(N269)=0,N269=0),"",N269-N268)</f>
        <v>40</v>
      </c>
      <c r="P269" s="15">
        <f>운전실적_원본!I269</f>
        <v>1668</v>
      </c>
      <c r="Q269" s="16">
        <f t="shared" ref="Q269" si="1499">IF(OR(LEN(P269)=0,P269=0),"",P269-P268)</f>
        <v>64</v>
      </c>
      <c r="R269" s="18">
        <f>운전실적_원본!J269</f>
        <v>33.549999999999997</v>
      </c>
      <c r="S269" s="19">
        <f t="shared" ref="S269" si="1500">IF(OR(LEN(R269)=0,R269=0),"",R269-R268)</f>
        <v>-2.0000000000003126E-2</v>
      </c>
      <c r="T269" s="18">
        <f>운전실적_원본!K269</f>
        <v>33.020000000000003</v>
      </c>
      <c r="U269" s="19">
        <f t="shared" si="1307"/>
        <v>0.10000000000000142</v>
      </c>
      <c r="V269" s="12">
        <f>운전실적_원본!L269</f>
        <v>8479</v>
      </c>
      <c r="W269" s="16">
        <f t="shared" ref="W269" si="1501">IF(OR(LEN(V269)=0,V269=0),"",V269-V268)</f>
        <v>472</v>
      </c>
      <c r="X269" s="10">
        <f>운전실적_원본!M269</f>
        <v>0</v>
      </c>
      <c r="Y269" s="10">
        <f>운전실적_원본!N269</f>
        <v>0</v>
      </c>
      <c r="Z269" s="10">
        <f>운전실적_원본!O269</f>
        <v>0</v>
      </c>
      <c r="AA269" s="10">
        <f>운전실적_원본!P269</f>
        <v>0</v>
      </c>
      <c r="AB269" s="10">
        <f>운전실적_원본!Q269</f>
        <v>0</v>
      </c>
      <c r="AC269" s="10">
        <f>운전실적_원본!R269</f>
        <v>0</v>
      </c>
      <c r="AD269" s="181">
        <f>운전실적_원본!S269</f>
        <v>0</v>
      </c>
      <c r="AE269" s="181">
        <f>운전실적_원본!T269</f>
        <v>0</v>
      </c>
      <c r="AF269" s="181">
        <f>운전실적_원본!U269</f>
        <v>0</v>
      </c>
      <c r="AG269" s="181">
        <f>운전실적_원본!V269</f>
        <v>0</v>
      </c>
      <c r="AH269" s="106">
        <f t="shared" si="1461"/>
        <v>0</v>
      </c>
      <c r="AI269" s="107">
        <f t="shared" si="1469"/>
        <v>0</v>
      </c>
      <c r="AJ269" s="107">
        <f t="shared" si="1470"/>
        <v>0</v>
      </c>
      <c r="AK269" s="204">
        <f t="shared" si="1471"/>
        <v>0</v>
      </c>
      <c r="AL269" s="103"/>
      <c r="AM269" s="103"/>
      <c r="AN269" s="103"/>
      <c r="AO269" s="103"/>
      <c r="AP269" s="103"/>
      <c r="AQ269" s="105"/>
      <c r="AR269" s="103"/>
      <c r="AS269" s="103"/>
      <c r="AT269" s="101"/>
      <c r="AU269" s="101"/>
      <c r="AV269" s="101"/>
      <c r="AW269" s="101"/>
      <c r="AX269" s="32">
        <f>운전실적_원본!W269</f>
        <v>0</v>
      </c>
      <c r="AY269" s="198">
        <f>운전실적_원본!X269</f>
        <v>0</v>
      </c>
      <c r="AZ269" s="198">
        <f>운전실적_원본!Y269</f>
        <v>0</v>
      </c>
      <c r="BA269" s="198">
        <f>운전실적_원본!Z269</f>
        <v>0</v>
      </c>
      <c r="BB269" s="198">
        <f>운전실적_원본!AA269</f>
        <v>0</v>
      </c>
      <c r="BC269" s="198">
        <f>운전실적_원본!AB269</f>
        <v>0</v>
      </c>
      <c r="BD269" s="32" t="str">
        <f t="shared" si="1454"/>
        <v>-</v>
      </c>
      <c r="BE269" s="11" t="str">
        <f t="shared" si="1462"/>
        <v>-</v>
      </c>
      <c r="BF269" s="11">
        <f>운전실적_원본!AE269</f>
        <v>0</v>
      </c>
      <c r="BG269" s="31">
        <f t="shared" si="1455"/>
        <v>0</v>
      </c>
    </row>
    <row r="270" spans="1:59">
      <c r="A270" s="6">
        <f t="shared" si="1463"/>
        <v>45922</v>
      </c>
      <c r="B270" s="15">
        <f>운전실적_원본!B270</f>
        <v>8448</v>
      </c>
      <c r="C270" s="16">
        <f t="shared" si="1299"/>
        <v>0</v>
      </c>
      <c r="D270" s="9">
        <f>운전실적_원본!C270</f>
        <v>242836</v>
      </c>
      <c r="E270" s="199">
        <f t="shared" si="1300"/>
        <v>67</v>
      </c>
      <c r="F270" s="9">
        <f>운전실적_원본!D270</f>
        <v>236191</v>
      </c>
      <c r="G270" s="16">
        <f t="shared" si="1301"/>
        <v>0</v>
      </c>
      <c r="H270" s="15">
        <f>운전실적_원본!E270</f>
        <v>16499.86</v>
      </c>
      <c r="I270" s="16">
        <f t="shared" si="1302"/>
        <v>11.920000000001892</v>
      </c>
      <c r="J270" s="15">
        <f>운전실적_원본!E270</f>
        <v>16499.86</v>
      </c>
      <c r="K270" s="16">
        <f t="shared" si="1302"/>
        <v>11.920000000001892</v>
      </c>
      <c r="L270" s="15">
        <f>운전실적_원본!G270</f>
        <v>3939.1</v>
      </c>
      <c r="M270" s="31">
        <f t="shared" ref="M270" si="1502">IF(OR(LEN(L270)=0,L270=0),"",L270-L269)</f>
        <v>0.79999999999972715</v>
      </c>
      <c r="N270" s="15">
        <f>운전실적_원본!H270</f>
        <v>22703</v>
      </c>
      <c r="O270" s="16">
        <f t="shared" ref="O270" si="1503">IF(OR(LEN(N270)=0,N270=0),"",N270-N269)</f>
        <v>89</v>
      </c>
      <c r="P270" s="15">
        <f>운전실적_원본!I270</f>
        <v>1818</v>
      </c>
      <c r="Q270" s="16">
        <f t="shared" ref="Q270" si="1504">IF(OR(LEN(P270)=0,P270=0),"",P270-P269)</f>
        <v>150</v>
      </c>
      <c r="R270" s="18">
        <f>운전실적_원본!J270</f>
        <v>33.340000000000003</v>
      </c>
      <c r="S270" s="19">
        <f t="shared" ref="S270" si="1505">IF(OR(LEN(R270)=0,R270=0),"",R270-R269)</f>
        <v>-0.20999999999999375</v>
      </c>
      <c r="T270" s="18">
        <f>운전실적_원본!K270</f>
        <v>33.08</v>
      </c>
      <c r="U270" s="19">
        <f t="shared" si="1307"/>
        <v>5.9999999999995168E-2</v>
      </c>
      <c r="V270" s="12">
        <f>운전실적_원본!L270</f>
        <v>8621</v>
      </c>
      <c r="W270" s="16">
        <f t="shared" ref="W270" si="1506">IF(OR(LEN(V270)=0,V270=0),"",V270-V269)</f>
        <v>142</v>
      </c>
      <c r="X270" s="10">
        <f>운전실적_원본!M270</f>
        <v>0</v>
      </c>
      <c r="Y270" s="10">
        <f>운전실적_원본!N270</f>
        <v>0</v>
      </c>
      <c r="Z270" s="10">
        <f>운전실적_원본!O270</f>
        <v>0</v>
      </c>
      <c r="AA270" s="10">
        <f>운전실적_원본!P270</f>
        <v>0</v>
      </c>
      <c r="AB270" s="10">
        <f>운전실적_원본!Q270</f>
        <v>0</v>
      </c>
      <c r="AC270" s="10">
        <f>운전실적_원본!R270</f>
        <v>0</v>
      </c>
      <c r="AD270" s="181">
        <f>운전실적_원본!S270</f>
        <v>0</v>
      </c>
      <c r="AE270" s="181">
        <f>운전실적_원본!T270</f>
        <v>0</v>
      </c>
      <c r="AF270" s="181">
        <f>운전실적_원본!U270</f>
        <v>0</v>
      </c>
      <c r="AG270" s="181">
        <f>운전실적_원본!V270</f>
        <v>0</v>
      </c>
      <c r="AH270" s="106">
        <f t="shared" si="1461"/>
        <v>0</v>
      </c>
      <c r="AI270" s="107">
        <f t="shared" si="1469"/>
        <v>0</v>
      </c>
      <c r="AJ270" s="107">
        <f t="shared" si="1470"/>
        <v>0</v>
      </c>
      <c r="AK270" s="204">
        <f t="shared" si="1471"/>
        <v>0</v>
      </c>
      <c r="AL270" s="103"/>
      <c r="AM270" s="103"/>
      <c r="AN270" s="103"/>
      <c r="AO270" s="103"/>
      <c r="AP270" s="103"/>
      <c r="AQ270" s="105"/>
      <c r="AR270" s="103"/>
      <c r="AS270" s="103"/>
      <c r="AT270" s="101"/>
      <c r="AU270" s="101"/>
      <c r="AV270" s="101"/>
      <c r="AW270" s="101"/>
      <c r="AX270" s="32">
        <f>운전실적_원본!W270</f>
        <v>0</v>
      </c>
      <c r="AY270" s="198">
        <f>운전실적_원본!X270</f>
        <v>0</v>
      </c>
      <c r="AZ270" s="198">
        <f>운전실적_원본!Y270</f>
        <v>0</v>
      </c>
      <c r="BA270" s="198">
        <f>운전실적_원본!Z270</f>
        <v>0</v>
      </c>
      <c r="BB270" s="198">
        <f>운전실적_원본!AA270</f>
        <v>0</v>
      </c>
      <c r="BC270" s="198">
        <f>운전실적_원본!AB270</f>
        <v>0</v>
      </c>
      <c r="BD270" s="32" t="str">
        <f t="shared" si="1454"/>
        <v>-</v>
      </c>
      <c r="BE270" s="11" t="str">
        <f t="shared" si="1462"/>
        <v>-</v>
      </c>
      <c r="BF270" s="11">
        <f>운전실적_원본!AE270</f>
        <v>0</v>
      </c>
      <c r="BG270" s="31">
        <f t="shared" si="1455"/>
        <v>0</v>
      </c>
    </row>
    <row r="271" spans="1:59">
      <c r="A271" s="6">
        <f t="shared" si="1463"/>
        <v>45923</v>
      </c>
      <c r="B271" s="15">
        <f>운전실적_원본!B271</f>
        <v>8448</v>
      </c>
      <c r="C271" s="16">
        <f t="shared" si="1299"/>
        <v>0</v>
      </c>
      <c r="D271" s="9">
        <f>운전실적_원본!C271</f>
        <v>242836</v>
      </c>
      <c r="E271" s="199">
        <f t="shared" si="1300"/>
        <v>0</v>
      </c>
      <c r="F271" s="9">
        <f>운전실적_원본!D271</f>
        <v>236279</v>
      </c>
      <c r="G271" s="16">
        <f t="shared" si="1301"/>
        <v>88</v>
      </c>
      <c r="H271" s="15">
        <f>운전실적_원본!E271</f>
        <v>16511.23</v>
      </c>
      <c r="I271" s="16">
        <f t="shared" si="1302"/>
        <v>11.369999999998981</v>
      </c>
      <c r="J271" s="15">
        <f>운전실적_원본!E271</f>
        <v>16511.23</v>
      </c>
      <c r="K271" s="16">
        <f t="shared" si="1302"/>
        <v>11.369999999998981</v>
      </c>
      <c r="L271" s="15">
        <f>운전실적_원본!G271</f>
        <v>3939.9</v>
      </c>
      <c r="M271" s="31">
        <f t="shared" ref="M271" si="1507">IF(OR(LEN(L271)=0,L271=0),"",L271-L270)</f>
        <v>0.8000000000001819</v>
      </c>
      <c r="N271" s="15">
        <f>운전실적_원본!H271</f>
        <v>22790</v>
      </c>
      <c r="O271" s="16">
        <f t="shared" ref="O271" si="1508">IF(OR(LEN(N271)=0,N271=0),"",N271-N270)</f>
        <v>87</v>
      </c>
      <c r="P271" s="15">
        <f>운전실적_원본!I271</f>
        <v>1932</v>
      </c>
      <c r="Q271" s="16">
        <f t="shared" ref="Q271" si="1509">IF(OR(LEN(P271)=0,P271=0),"",P271-P270)</f>
        <v>114</v>
      </c>
      <c r="R271" s="18">
        <f>운전실적_원본!J271</f>
        <v>33.520000000000003</v>
      </c>
      <c r="S271" s="19">
        <f t="shared" ref="S271" si="1510">IF(OR(LEN(R271)=0,R271=0),"",R271-R270)</f>
        <v>0.17999999999999972</v>
      </c>
      <c r="T271" s="18">
        <f>운전실적_원본!K271</f>
        <v>33.14</v>
      </c>
      <c r="U271" s="19">
        <f t="shared" si="1307"/>
        <v>6.0000000000002274E-2</v>
      </c>
      <c r="V271" s="12">
        <f>운전실적_원본!L271</f>
        <v>8650</v>
      </c>
      <c r="W271" s="16">
        <f t="shared" ref="W271" si="1511">IF(OR(LEN(V271)=0,V271=0),"",V271-V270)</f>
        <v>29</v>
      </c>
      <c r="X271" s="10">
        <f>운전실적_원본!M271</f>
        <v>0</v>
      </c>
      <c r="Y271" s="10">
        <f>운전실적_원본!N271</f>
        <v>0</v>
      </c>
      <c r="Z271" s="10">
        <f>운전실적_원본!O271</f>
        <v>0</v>
      </c>
      <c r="AA271" s="10">
        <f>운전실적_원본!P271</f>
        <v>0</v>
      </c>
      <c r="AB271" s="10">
        <f>운전실적_원본!Q271</f>
        <v>0</v>
      </c>
      <c r="AC271" s="10">
        <f>운전실적_원본!R271</f>
        <v>0</v>
      </c>
      <c r="AD271" s="181">
        <f>운전실적_원본!S271</f>
        <v>0</v>
      </c>
      <c r="AE271" s="181">
        <f>운전실적_원본!T271</f>
        <v>0</v>
      </c>
      <c r="AF271" s="181">
        <f>운전실적_원본!U271</f>
        <v>0</v>
      </c>
      <c r="AG271" s="181">
        <f>운전실적_원본!V271</f>
        <v>0</v>
      </c>
      <c r="AH271" s="106">
        <f t="shared" si="1461"/>
        <v>0</v>
      </c>
      <c r="AI271" s="107">
        <f t="shared" si="1469"/>
        <v>0</v>
      </c>
      <c r="AJ271" s="107">
        <f t="shared" si="1470"/>
        <v>0</v>
      </c>
      <c r="AK271" s="204">
        <f t="shared" si="1471"/>
        <v>0</v>
      </c>
      <c r="AL271" s="103"/>
      <c r="AM271" s="103"/>
      <c r="AN271" s="103"/>
      <c r="AO271" s="103"/>
      <c r="AP271" s="103"/>
      <c r="AQ271" s="105"/>
      <c r="AR271" s="103"/>
      <c r="AS271" s="103"/>
      <c r="AT271" s="101"/>
      <c r="AU271" s="101"/>
      <c r="AV271" s="101"/>
      <c r="AW271" s="101"/>
      <c r="AX271" s="32">
        <f>운전실적_원본!W271</f>
        <v>0</v>
      </c>
      <c r="AY271" s="198">
        <f>운전실적_원본!X271</f>
        <v>0</v>
      </c>
      <c r="AZ271" s="198">
        <f>운전실적_원본!Y271</f>
        <v>0</v>
      </c>
      <c r="BA271" s="198">
        <f>운전실적_원본!Z271</f>
        <v>0</v>
      </c>
      <c r="BB271" s="198">
        <f>운전실적_원본!AA271</f>
        <v>0</v>
      </c>
      <c r="BC271" s="198">
        <f>운전실적_원본!AB271</f>
        <v>0</v>
      </c>
      <c r="BD271" s="32" t="str">
        <f t="shared" si="1454"/>
        <v>-</v>
      </c>
      <c r="BE271" s="11" t="str">
        <f t="shared" si="1462"/>
        <v>-</v>
      </c>
      <c r="BF271" s="11">
        <f>운전실적_원본!AE271</f>
        <v>0</v>
      </c>
      <c r="BG271" s="31">
        <f t="shared" si="1455"/>
        <v>0</v>
      </c>
    </row>
    <row r="272" spans="1:59">
      <c r="A272" s="6">
        <f t="shared" si="1463"/>
        <v>45924</v>
      </c>
      <c r="B272" s="15">
        <f>운전실적_원본!B272</f>
        <v>8448</v>
      </c>
      <c r="C272" s="16">
        <f t="shared" si="1299"/>
        <v>0</v>
      </c>
      <c r="D272" s="9">
        <f>운전실적_원본!C272</f>
        <v>242864</v>
      </c>
      <c r="E272" s="199">
        <f t="shared" si="1300"/>
        <v>28</v>
      </c>
      <c r="F272" s="9">
        <f>운전실적_원본!D272</f>
        <v>236279</v>
      </c>
      <c r="G272" s="16">
        <f t="shared" si="1301"/>
        <v>0</v>
      </c>
      <c r="H272" s="15">
        <f>운전실적_원본!E272</f>
        <v>16523.009999999998</v>
      </c>
      <c r="I272" s="16">
        <f t="shared" si="1302"/>
        <v>11.779999999998836</v>
      </c>
      <c r="J272" s="15">
        <f>운전실적_원본!E272</f>
        <v>16523.009999999998</v>
      </c>
      <c r="K272" s="16">
        <f t="shared" si="1302"/>
        <v>11.779999999998836</v>
      </c>
      <c r="L272" s="15">
        <f>운전실적_원본!G272</f>
        <v>3941.3</v>
      </c>
      <c r="M272" s="31">
        <f t="shared" ref="M272" si="1512">IF(OR(LEN(L272)=0,L272=0),"",L272-L271)</f>
        <v>1.4000000000000909</v>
      </c>
      <c r="N272" s="15">
        <f>운전실적_원본!H272</f>
        <v>22853</v>
      </c>
      <c r="O272" s="16">
        <f t="shared" ref="O272" si="1513">IF(OR(LEN(N272)=0,N272=0),"",N272-N271)</f>
        <v>63</v>
      </c>
      <c r="P272" s="15">
        <f>운전실적_원본!I272</f>
        <v>1999</v>
      </c>
      <c r="Q272" s="16">
        <f t="shared" ref="Q272" si="1514">IF(OR(LEN(P272)=0,P272=0),"",P272-P271)</f>
        <v>67</v>
      </c>
      <c r="R272" s="18">
        <f>운전실적_원본!J272</f>
        <v>33.340000000000003</v>
      </c>
      <c r="S272" s="19">
        <f t="shared" ref="S272" si="1515">IF(OR(LEN(R272)=0,R272=0),"",R272-R271)</f>
        <v>-0.17999999999999972</v>
      </c>
      <c r="T272" s="18">
        <f>운전실적_원본!K272</f>
        <v>33.24</v>
      </c>
      <c r="U272" s="19">
        <f t="shared" si="1307"/>
        <v>0.10000000000000142</v>
      </c>
      <c r="V272" s="12">
        <f>운전실적_원본!L272</f>
        <v>8608</v>
      </c>
      <c r="W272" s="16">
        <f t="shared" ref="W272" si="1516">IF(OR(LEN(V272)=0,V272=0),"",V272-V271)</f>
        <v>-42</v>
      </c>
      <c r="X272" s="10">
        <f>운전실적_원본!M272</f>
        <v>0</v>
      </c>
      <c r="Y272" s="10">
        <f>운전실적_원본!N272</f>
        <v>0</v>
      </c>
      <c r="Z272" s="10">
        <f>운전실적_원본!O272</f>
        <v>0</v>
      </c>
      <c r="AA272" s="10">
        <f>운전실적_원본!P272</f>
        <v>0</v>
      </c>
      <c r="AB272" s="10">
        <f>운전실적_원본!Q272</f>
        <v>0</v>
      </c>
      <c r="AC272" s="10">
        <f>운전실적_원본!R272</f>
        <v>0</v>
      </c>
      <c r="AD272" s="181">
        <f>운전실적_원본!S272</f>
        <v>0</v>
      </c>
      <c r="AE272" s="181">
        <f>운전실적_원본!T272</f>
        <v>0</v>
      </c>
      <c r="AF272" s="181">
        <f>운전실적_원본!U272</f>
        <v>0</v>
      </c>
      <c r="AG272" s="181">
        <f>운전실적_원본!V272</f>
        <v>0</v>
      </c>
      <c r="AH272" s="106">
        <f t="shared" si="1461"/>
        <v>0</v>
      </c>
      <c r="AI272" s="107">
        <f t="shared" si="1469"/>
        <v>0</v>
      </c>
      <c r="AJ272" s="107">
        <f t="shared" si="1470"/>
        <v>0</v>
      </c>
      <c r="AK272" s="204">
        <f t="shared" si="1471"/>
        <v>0</v>
      </c>
      <c r="AL272" s="103"/>
      <c r="AM272" s="103"/>
      <c r="AN272" s="103"/>
      <c r="AO272" s="103"/>
      <c r="AP272" s="103"/>
      <c r="AQ272" s="105"/>
      <c r="AR272" s="103"/>
      <c r="AS272" s="103"/>
      <c r="AT272" s="101"/>
      <c r="AU272" s="101"/>
      <c r="AV272" s="101"/>
      <c r="AW272" s="101"/>
      <c r="AX272" s="32">
        <f>운전실적_원본!W272</f>
        <v>0</v>
      </c>
      <c r="AY272" s="198">
        <f>운전실적_원본!X272</f>
        <v>0</v>
      </c>
      <c r="AZ272" s="198">
        <f>운전실적_원본!Y272</f>
        <v>0</v>
      </c>
      <c r="BA272" s="198">
        <f>운전실적_원본!Z272</f>
        <v>0</v>
      </c>
      <c r="BB272" s="198">
        <f>운전실적_원본!AA272</f>
        <v>0</v>
      </c>
      <c r="BC272" s="198">
        <f>운전실적_원본!AB272</f>
        <v>0</v>
      </c>
      <c r="BD272" s="32" t="str">
        <f t="shared" si="1454"/>
        <v>-</v>
      </c>
      <c r="BE272" s="11" t="str">
        <f t="shared" si="1462"/>
        <v>-</v>
      </c>
      <c r="BF272" s="11">
        <f>운전실적_원본!AE272</f>
        <v>0</v>
      </c>
      <c r="BG272" s="31">
        <f t="shared" si="1455"/>
        <v>0</v>
      </c>
    </row>
    <row r="273" spans="1:59">
      <c r="A273" s="6">
        <f t="shared" si="1463"/>
        <v>45925</v>
      </c>
      <c r="B273" s="15">
        <f>운전실적_원본!B273</f>
        <v>8448</v>
      </c>
      <c r="C273" s="16">
        <f t="shared" si="1299"/>
        <v>0</v>
      </c>
      <c r="D273" s="9">
        <f>운전실적_원본!C273</f>
        <v>242902</v>
      </c>
      <c r="E273" s="199">
        <f t="shared" si="1300"/>
        <v>38</v>
      </c>
      <c r="F273" s="9">
        <f>운전실적_원본!D273</f>
        <v>236279</v>
      </c>
      <c r="G273" s="16">
        <f t="shared" si="1301"/>
        <v>0</v>
      </c>
      <c r="H273" s="15">
        <f>운전실적_원본!E273</f>
        <v>16535.22</v>
      </c>
      <c r="I273" s="16">
        <f t="shared" si="1302"/>
        <v>12.210000000002765</v>
      </c>
      <c r="J273" s="15">
        <f>운전실적_원본!E273</f>
        <v>16535.22</v>
      </c>
      <c r="K273" s="16">
        <f t="shared" si="1302"/>
        <v>12.210000000002765</v>
      </c>
      <c r="L273" s="15">
        <f>운전실적_원본!G273</f>
        <v>3942.1</v>
      </c>
      <c r="M273" s="31">
        <f t="shared" ref="M273" si="1517">IF(OR(LEN(L273)=0,L273=0),"",L273-L272)</f>
        <v>0.79999999999972715</v>
      </c>
      <c r="N273" s="15">
        <f>운전실적_원본!H273</f>
        <v>22978</v>
      </c>
      <c r="O273" s="16">
        <f t="shared" ref="O273" si="1518">IF(OR(LEN(N273)=0,N273=0),"",N273-N272)</f>
        <v>125</v>
      </c>
      <c r="P273" s="15">
        <f>운전실적_원본!I273</f>
        <v>2074</v>
      </c>
      <c r="Q273" s="16">
        <f t="shared" ref="Q273" si="1519">IF(OR(LEN(P273)=0,P273=0),"",P273-P272)</f>
        <v>75</v>
      </c>
      <c r="R273" s="18">
        <f>운전실적_원본!J273</f>
        <v>33.36</v>
      </c>
      <c r="S273" s="19">
        <f t="shared" ref="S273" si="1520">IF(OR(LEN(R273)=0,R273=0),"",R273-R272)</f>
        <v>1.9999999999996021E-2</v>
      </c>
      <c r="T273" s="18">
        <f>운전실적_원본!K273</f>
        <v>33.25</v>
      </c>
      <c r="U273" s="19">
        <f t="shared" si="1307"/>
        <v>9.9999999999980105E-3</v>
      </c>
      <c r="V273" s="12">
        <f>운전실적_원본!L273</f>
        <v>8575</v>
      </c>
      <c r="W273" s="16">
        <f t="shared" ref="W273" si="1521">IF(OR(LEN(V273)=0,V273=0),"",V273-V272)</f>
        <v>-33</v>
      </c>
      <c r="X273" s="10">
        <f>운전실적_원본!M273</f>
        <v>0</v>
      </c>
      <c r="Y273" s="10">
        <f>운전실적_원본!N273</f>
        <v>0</v>
      </c>
      <c r="Z273" s="10">
        <f>운전실적_원본!O273</f>
        <v>0</v>
      </c>
      <c r="AA273" s="10">
        <f>운전실적_원본!P273</f>
        <v>0</v>
      </c>
      <c r="AB273" s="10">
        <f>운전실적_원본!Q273</f>
        <v>0</v>
      </c>
      <c r="AC273" s="10">
        <f>운전실적_원본!R273</f>
        <v>0</v>
      </c>
      <c r="AD273" s="181">
        <f>운전실적_원본!S273</f>
        <v>0</v>
      </c>
      <c r="AE273" s="181">
        <f>운전실적_원본!T273</f>
        <v>0</v>
      </c>
      <c r="AF273" s="181">
        <f>운전실적_원본!U273</f>
        <v>0</v>
      </c>
      <c r="AG273" s="181">
        <f>운전실적_원본!V273</f>
        <v>0</v>
      </c>
      <c r="AH273" s="106">
        <f t="shared" si="1461"/>
        <v>0</v>
      </c>
      <c r="AI273" s="107">
        <f t="shared" si="1469"/>
        <v>0</v>
      </c>
      <c r="AJ273" s="107">
        <f t="shared" si="1470"/>
        <v>0</v>
      </c>
      <c r="AK273" s="204">
        <f t="shared" si="1471"/>
        <v>0</v>
      </c>
      <c r="AL273" s="103"/>
      <c r="AM273" s="103"/>
      <c r="AN273" s="103"/>
      <c r="AO273" s="103"/>
      <c r="AP273" s="103"/>
      <c r="AQ273" s="105"/>
      <c r="AR273" s="103"/>
      <c r="AS273" s="103"/>
      <c r="AT273" s="101"/>
      <c r="AU273" s="101"/>
      <c r="AV273" s="101"/>
      <c r="AW273" s="101"/>
      <c r="AX273" s="32">
        <f>운전실적_원본!W273</f>
        <v>0</v>
      </c>
      <c r="AY273" s="198">
        <f>운전실적_원본!X273</f>
        <v>0</v>
      </c>
      <c r="AZ273" s="198">
        <f>운전실적_원본!Y273</f>
        <v>0</v>
      </c>
      <c r="BA273" s="198">
        <f>운전실적_원본!Z273</f>
        <v>0</v>
      </c>
      <c r="BB273" s="198">
        <f>운전실적_원본!AA273</f>
        <v>0</v>
      </c>
      <c r="BC273" s="198">
        <f>운전실적_원본!AB273</f>
        <v>0</v>
      </c>
      <c r="BD273" s="32" t="str">
        <f t="shared" si="1454"/>
        <v>-</v>
      </c>
      <c r="BE273" s="11" t="str">
        <f t="shared" si="1462"/>
        <v>-</v>
      </c>
      <c r="BF273" s="11">
        <f>운전실적_원본!AE273</f>
        <v>0</v>
      </c>
      <c r="BG273" s="31">
        <f t="shared" si="1455"/>
        <v>0</v>
      </c>
    </row>
    <row r="274" spans="1:59">
      <c r="A274" s="6">
        <f t="shared" si="1463"/>
        <v>45926</v>
      </c>
      <c r="B274" s="15">
        <f>운전실적_원본!B274</f>
        <v>0</v>
      </c>
      <c r="C274" s="16" t="str">
        <f t="shared" si="1299"/>
        <v/>
      </c>
      <c r="D274" s="9">
        <f>운전실적_원본!C274</f>
        <v>242990</v>
      </c>
      <c r="E274" s="199">
        <f t="shared" si="1300"/>
        <v>88</v>
      </c>
      <c r="F274" s="9">
        <f>운전실적_원본!D274</f>
        <v>236279</v>
      </c>
      <c r="G274" s="16">
        <f t="shared" si="1301"/>
        <v>0</v>
      </c>
      <c r="H274" s="15">
        <f>운전실적_원본!E274</f>
        <v>16547.990000000002</v>
      </c>
      <c r="I274" s="16">
        <f t="shared" si="1302"/>
        <v>12.770000000000437</v>
      </c>
      <c r="J274" s="15">
        <f>운전실적_원본!E274</f>
        <v>16547.990000000002</v>
      </c>
      <c r="K274" s="16">
        <f t="shared" si="1302"/>
        <v>12.770000000000437</v>
      </c>
      <c r="L274" s="15">
        <f>운전실적_원본!G274</f>
        <v>3943</v>
      </c>
      <c r="M274" s="31">
        <f t="shared" ref="M274" si="1522">IF(OR(LEN(L274)=0,L274=0),"",L274-L273)</f>
        <v>0.90000000000009095</v>
      </c>
      <c r="N274" s="15">
        <f>운전실적_원본!H274</f>
        <v>23028</v>
      </c>
      <c r="O274" s="16">
        <f t="shared" ref="O274" si="1523">IF(OR(LEN(N274)=0,N274=0),"",N274-N273)</f>
        <v>50</v>
      </c>
      <c r="P274" s="15">
        <f>운전실적_원본!I274</f>
        <v>2197</v>
      </c>
      <c r="Q274" s="16">
        <f t="shared" ref="Q274" si="1524">IF(OR(LEN(P274)=0,P274=0),"",P274-P273)</f>
        <v>123</v>
      </c>
      <c r="R274" s="18">
        <f>운전실적_원본!J274</f>
        <v>33.630000000000003</v>
      </c>
      <c r="S274" s="19">
        <f t="shared" ref="S274" si="1525">IF(OR(LEN(R274)=0,R274=0),"",R274-R273)</f>
        <v>0.27000000000000313</v>
      </c>
      <c r="T274" s="18">
        <f>운전실적_원본!K274</f>
        <v>33.270000000000003</v>
      </c>
      <c r="U274" s="19">
        <f t="shared" si="1307"/>
        <v>2.0000000000003126E-2</v>
      </c>
      <c r="V274" s="12">
        <f>운전실적_원본!L274</f>
        <v>8658</v>
      </c>
      <c r="W274" s="16">
        <f t="shared" ref="W274" si="1526">IF(OR(LEN(V274)=0,V274=0),"",V274-V273)</f>
        <v>83</v>
      </c>
      <c r="X274" s="10">
        <f>운전실적_원본!M274</f>
        <v>0</v>
      </c>
      <c r="Y274" s="10">
        <f>운전실적_원본!N274</f>
        <v>0</v>
      </c>
      <c r="Z274" s="10">
        <f>운전실적_원본!O274</f>
        <v>0</v>
      </c>
      <c r="AA274" s="10">
        <f>운전실적_원본!P274</f>
        <v>0</v>
      </c>
      <c r="AB274" s="10">
        <f>운전실적_원본!Q274</f>
        <v>0</v>
      </c>
      <c r="AC274" s="10">
        <f>운전실적_원본!R274</f>
        <v>0</v>
      </c>
      <c r="AD274" s="181">
        <f>운전실적_원본!S274</f>
        <v>0</v>
      </c>
      <c r="AE274" s="181">
        <f>운전실적_원본!T274</f>
        <v>0</v>
      </c>
      <c r="AF274" s="181">
        <f>운전실적_원본!U274</f>
        <v>0</v>
      </c>
      <c r="AG274" s="181">
        <f>운전실적_원본!V274</f>
        <v>0</v>
      </c>
      <c r="AH274" s="106">
        <f t="shared" si="1461"/>
        <v>0</v>
      </c>
      <c r="AI274" s="107">
        <f t="shared" si="1469"/>
        <v>0</v>
      </c>
      <c r="AJ274" s="107">
        <f t="shared" si="1470"/>
        <v>0</v>
      </c>
      <c r="AK274" s="204">
        <f t="shared" si="1471"/>
        <v>0</v>
      </c>
      <c r="AL274" s="103"/>
      <c r="AM274" s="103"/>
      <c r="AN274" s="103"/>
      <c r="AO274" s="103"/>
      <c r="AP274" s="103"/>
      <c r="AQ274" s="105"/>
      <c r="AR274" s="103"/>
      <c r="AS274" s="103"/>
      <c r="AT274" s="101"/>
      <c r="AU274" s="101"/>
      <c r="AV274" s="101"/>
      <c r="AW274" s="101"/>
      <c r="AX274" s="32">
        <f>운전실적_원본!W274</f>
        <v>0</v>
      </c>
      <c r="AY274" s="198">
        <f>운전실적_원본!X274</f>
        <v>0</v>
      </c>
      <c r="AZ274" s="198">
        <f>운전실적_원본!Y274</f>
        <v>0</v>
      </c>
      <c r="BA274" s="198">
        <f>운전실적_원본!Z274</f>
        <v>0</v>
      </c>
      <c r="BB274" s="198">
        <f>운전실적_원본!AA274</f>
        <v>0</v>
      </c>
      <c r="BC274" s="198">
        <f>운전실적_원본!AB274</f>
        <v>0</v>
      </c>
      <c r="BD274" s="32" t="str">
        <f t="shared" si="1454"/>
        <v>-</v>
      </c>
      <c r="BE274" s="11" t="str">
        <f t="shared" si="1462"/>
        <v>-</v>
      </c>
      <c r="BF274" s="11">
        <f>운전실적_원본!AE274</f>
        <v>0</v>
      </c>
      <c r="BG274" s="31">
        <f t="shared" si="1455"/>
        <v>0</v>
      </c>
    </row>
    <row r="275" spans="1:59">
      <c r="A275" s="6">
        <f t="shared" si="1463"/>
        <v>45927</v>
      </c>
      <c r="B275" s="15">
        <f>운전실적_원본!B275</f>
        <v>0</v>
      </c>
      <c r="C275" s="16" t="str">
        <f t="shared" si="1299"/>
        <v/>
      </c>
      <c r="D275" s="9">
        <f>운전실적_원본!C275</f>
        <v>242990</v>
      </c>
      <c r="E275" s="199">
        <f t="shared" si="1300"/>
        <v>0</v>
      </c>
      <c r="F275" s="9">
        <f>운전실적_원본!D275</f>
        <v>236304</v>
      </c>
      <c r="G275" s="16">
        <f t="shared" si="1301"/>
        <v>25</v>
      </c>
      <c r="H275" s="15">
        <f>운전실적_원본!E275</f>
        <v>16555.84</v>
      </c>
      <c r="I275" s="16">
        <f t="shared" si="1302"/>
        <v>7.8499999999985448</v>
      </c>
      <c r="J275" s="15">
        <f>운전실적_원본!E275</f>
        <v>16555.84</v>
      </c>
      <c r="K275" s="16">
        <f t="shared" si="1302"/>
        <v>7.8499999999985448</v>
      </c>
      <c r="L275" s="15">
        <f>운전실적_원본!G275</f>
        <v>3944.4</v>
      </c>
      <c r="M275" s="31">
        <f t="shared" ref="M275" si="1527">IF(OR(LEN(L275)=0,L275=0),"",L275-L274)</f>
        <v>1.4000000000000909</v>
      </c>
      <c r="N275" s="15">
        <f>운전실적_원본!H275</f>
        <v>23120</v>
      </c>
      <c r="O275" s="16">
        <f t="shared" ref="O275" si="1528">IF(OR(LEN(N275)=0,N275=0),"",N275-N274)</f>
        <v>92</v>
      </c>
      <c r="P275" s="15">
        <f>운전실적_원본!I275</f>
        <v>2255</v>
      </c>
      <c r="Q275" s="16">
        <f t="shared" ref="Q275" si="1529">IF(OR(LEN(P275)=0,P275=0),"",P275-P274)</f>
        <v>58</v>
      </c>
      <c r="R275" s="18">
        <f>운전실적_원본!J275</f>
        <v>33.67</v>
      </c>
      <c r="S275" s="19">
        <f t="shared" ref="S275" si="1530">IF(OR(LEN(R275)=0,R275=0),"",R275-R274)</f>
        <v>3.9999999999999147E-2</v>
      </c>
      <c r="T275" s="18">
        <f>운전실적_원본!K275</f>
        <v>33.32</v>
      </c>
      <c r="U275" s="19">
        <f t="shared" si="1307"/>
        <v>4.9999999999997158E-2</v>
      </c>
      <c r="V275" s="12">
        <f>운전실적_원본!L275</f>
        <v>8596</v>
      </c>
      <c r="W275" s="16">
        <f t="shared" ref="W275" si="1531">IF(OR(LEN(V275)=0,V275=0),"",V275-V274)</f>
        <v>-62</v>
      </c>
      <c r="X275" s="10">
        <f>운전실적_원본!M275</f>
        <v>0</v>
      </c>
      <c r="Y275" s="10">
        <f>운전실적_원본!N275</f>
        <v>0</v>
      </c>
      <c r="Z275" s="10">
        <f>운전실적_원본!O275</f>
        <v>0</v>
      </c>
      <c r="AA275" s="10">
        <f>운전실적_원본!P275</f>
        <v>0</v>
      </c>
      <c r="AB275" s="10">
        <f>운전실적_원본!Q275</f>
        <v>0</v>
      </c>
      <c r="AC275" s="10">
        <f>운전실적_원본!R275</f>
        <v>0</v>
      </c>
      <c r="AD275" s="181">
        <f>운전실적_원본!S275</f>
        <v>0</v>
      </c>
      <c r="AE275" s="181">
        <f>운전실적_원본!T275</f>
        <v>0</v>
      </c>
      <c r="AF275" s="181">
        <f>운전실적_원본!U275</f>
        <v>0</v>
      </c>
      <c r="AG275" s="181">
        <f>운전실적_원본!V275</f>
        <v>0</v>
      </c>
      <c r="AH275" s="106">
        <f t="shared" si="1461"/>
        <v>0</v>
      </c>
      <c r="AI275" s="107">
        <f t="shared" si="1469"/>
        <v>0</v>
      </c>
      <c r="AJ275" s="107">
        <f t="shared" si="1470"/>
        <v>0</v>
      </c>
      <c r="AK275" s="204">
        <f t="shared" si="1471"/>
        <v>0</v>
      </c>
      <c r="AL275" s="103"/>
      <c r="AM275" s="103"/>
      <c r="AN275" s="103"/>
      <c r="AO275" s="103"/>
      <c r="AP275" s="103"/>
      <c r="AQ275" s="105"/>
      <c r="AR275" s="103"/>
      <c r="AS275" s="103"/>
      <c r="AT275" s="101"/>
      <c r="AU275" s="101"/>
      <c r="AV275" s="101"/>
      <c r="AW275" s="101"/>
      <c r="AX275" s="32">
        <f>운전실적_원본!W275</f>
        <v>0</v>
      </c>
      <c r="AY275" s="198">
        <f>운전실적_원본!X275</f>
        <v>0</v>
      </c>
      <c r="AZ275" s="198">
        <f>운전실적_원본!Y275</f>
        <v>0</v>
      </c>
      <c r="BA275" s="198">
        <f>운전실적_원본!Z275</f>
        <v>0</v>
      </c>
      <c r="BB275" s="198">
        <f>운전실적_원본!AA275</f>
        <v>0</v>
      </c>
      <c r="BC275" s="198">
        <f>운전실적_원본!AB275</f>
        <v>0</v>
      </c>
      <c r="BD275" s="32" t="str">
        <f t="shared" si="1454"/>
        <v>-</v>
      </c>
      <c r="BE275" s="11" t="str">
        <f t="shared" si="1462"/>
        <v>-</v>
      </c>
      <c r="BF275" s="11">
        <f>운전실적_원본!AE275</f>
        <v>0</v>
      </c>
      <c r="BG275" s="31">
        <f t="shared" si="1455"/>
        <v>0</v>
      </c>
    </row>
    <row r="276" spans="1:59">
      <c r="A276" s="6">
        <f t="shared" si="1463"/>
        <v>45928</v>
      </c>
      <c r="B276" s="15">
        <f>운전실적_원본!B276</f>
        <v>0</v>
      </c>
      <c r="C276" s="16" t="str">
        <f t="shared" si="1299"/>
        <v/>
      </c>
      <c r="D276" s="9">
        <f>운전실적_원본!C276</f>
        <v>242990</v>
      </c>
      <c r="E276" s="199">
        <f t="shared" si="1300"/>
        <v>0</v>
      </c>
      <c r="F276" s="9">
        <f>운전실적_원본!D276</f>
        <v>236304</v>
      </c>
      <c r="G276" s="16">
        <f t="shared" si="1301"/>
        <v>0</v>
      </c>
      <c r="H276" s="15">
        <f>운전실적_원본!E276</f>
        <v>16562.759999999998</v>
      </c>
      <c r="I276" s="16">
        <f t="shared" si="1302"/>
        <v>6.9199999999982538</v>
      </c>
      <c r="J276" s="15">
        <f>운전실적_원본!E276</f>
        <v>16562.759999999998</v>
      </c>
      <c r="K276" s="16">
        <f t="shared" si="1302"/>
        <v>6.9199999999982538</v>
      </c>
      <c r="L276" s="15">
        <f>운전실적_원본!G276</f>
        <v>3944.8</v>
      </c>
      <c r="M276" s="31">
        <f t="shared" ref="M276" si="1532">IF(OR(LEN(L276)=0,L276=0),"",L276-L275)</f>
        <v>0.40000000000009095</v>
      </c>
      <c r="N276" s="15">
        <f>운전실적_원본!H276</f>
        <v>23120</v>
      </c>
      <c r="O276" s="16">
        <f t="shared" ref="O276" si="1533">IF(OR(LEN(N276)=0,N276=0),"",N276-N275)</f>
        <v>0</v>
      </c>
      <c r="P276" s="15">
        <f>운전실적_원본!I276</f>
        <v>2274</v>
      </c>
      <c r="Q276" s="16">
        <f t="shared" ref="Q276" si="1534">IF(OR(LEN(P276)=0,P276=0),"",P276-P275)</f>
        <v>19</v>
      </c>
      <c r="R276" s="18">
        <f>운전실적_원본!J276</f>
        <v>33.74</v>
      </c>
      <c r="S276" s="19">
        <f t="shared" ref="S276" si="1535">IF(OR(LEN(R276)=0,R276=0),"",R276-R275)</f>
        <v>7.0000000000000284E-2</v>
      </c>
      <c r="T276" s="18">
        <f>운전실적_원본!K276</f>
        <v>33.35</v>
      </c>
      <c r="U276" s="19">
        <f t="shared" si="1307"/>
        <v>3.0000000000001137E-2</v>
      </c>
      <c r="V276" s="12">
        <f>운전실적_원본!L276</f>
        <v>8283</v>
      </c>
      <c r="W276" s="16">
        <f t="shared" ref="W276" si="1536">IF(OR(LEN(V276)=0,V276=0),"",V276-V275)</f>
        <v>-313</v>
      </c>
      <c r="X276" s="10">
        <f>운전실적_원본!M276</f>
        <v>0</v>
      </c>
      <c r="Y276" s="10">
        <f>운전실적_원본!N276</f>
        <v>0</v>
      </c>
      <c r="Z276" s="10">
        <f>운전실적_원본!O276</f>
        <v>0</v>
      </c>
      <c r="AA276" s="10">
        <f>운전실적_원본!P276</f>
        <v>0</v>
      </c>
      <c r="AB276" s="10">
        <f>운전실적_원본!Q276</f>
        <v>0</v>
      </c>
      <c r="AC276" s="10">
        <f>운전실적_원본!R276</f>
        <v>0</v>
      </c>
      <c r="AD276" s="181">
        <f>운전실적_원본!S276</f>
        <v>0</v>
      </c>
      <c r="AE276" s="181">
        <f>운전실적_원본!T276</f>
        <v>0</v>
      </c>
      <c r="AF276" s="181">
        <f>운전실적_원본!U276</f>
        <v>0</v>
      </c>
      <c r="AG276" s="181">
        <f>운전실적_원본!V276</f>
        <v>0</v>
      </c>
      <c r="AH276" s="106">
        <f t="shared" si="1461"/>
        <v>0</v>
      </c>
      <c r="AI276" s="107">
        <f t="shared" si="1469"/>
        <v>0</v>
      </c>
      <c r="AJ276" s="107">
        <f t="shared" si="1470"/>
        <v>0</v>
      </c>
      <c r="AK276" s="204">
        <f t="shared" si="1471"/>
        <v>0</v>
      </c>
      <c r="AL276" s="103"/>
      <c r="AM276" s="103"/>
      <c r="AN276" s="103"/>
      <c r="AO276" s="103"/>
      <c r="AP276" s="103"/>
      <c r="AQ276" s="105"/>
      <c r="AR276" s="103"/>
      <c r="AS276" s="103"/>
      <c r="AT276" s="101"/>
      <c r="AU276" s="101"/>
      <c r="AV276" s="101"/>
      <c r="AW276" s="101"/>
      <c r="AX276" s="32">
        <f>운전실적_원본!W276</f>
        <v>0</v>
      </c>
      <c r="AY276" s="198">
        <f>운전실적_원본!X276</f>
        <v>0</v>
      </c>
      <c r="AZ276" s="198">
        <f>운전실적_원본!Y276</f>
        <v>0</v>
      </c>
      <c r="BA276" s="198">
        <f>운전실적_원본!Z276</f>
        <v>0</v>
      </c>
      <c r="BB276" s="198">
        <f>운전실적_원본!AA276</f>
        <v>0</v>
      </c>
      <c r="BC276" s="198">
        <f>운전실적_원본!AB276</f>
        <v>0</v>
      </c>
      <c r="BD276" s="32" t="str">
        <f t="shared" si="1454"/>
        <v>-</v>
      </c>
      <c r="BE276" s="11" t="str">
        <f t="shared" si="1462"/>
        <v>-</v>
      </c>
      <c r="BF276" s="11">
        <f>운전실적_원본!AE276</f>
        <v>0</v>
      </c>
      <c r="BG276" s="31">
        <f t="shared" si="1455"/>
        <v>0</v>
      </c>
    </row>
    <row r="277" spans="1:59">
      <c r="A277" s="6">
        <f t="shared" si="1463"/>
        <v>45929</v>
      </c>
      <c r="B277" s="15">
        <f>운전실적_원본!B277</f>
        <v>0</v>
      </c>
      <c r="C277" s="16" t="str">
        <f t="shared" si="1299"/>
        <v/>
      </c>
      <c r="D277" s="9">
        <f>운전실적_원본!C277</f>
        <v>243067</v>
      </c>
      <c r="E277" s="199">
        <f t="shared" si="1300"/>
        <v>77</v>
      </c>
      <c r="F277" s="9">
        <f>운전실적_원본!D277</f>
        <v>236351</v>
      </c>
      <c r="G277" s="16">
        <f t="shared" si="1301"/>
        <v>47</v>
      </c>
      <c r="H277" s="15">
        <f>운전실적_원본!E277</f>
        <v>16573.87</v>
      </c>
      <c r="I277" s="16">
        <f t="shared" si="1302"/>
        <v>11.110000000000582</v>
      </c>
      <c r="J277" s="15">
        <f>운전실적_원본!E277</f>
        <v>16573.87</v>
      </c>
      <c r="K277" s="16">
        <f t="shared" si="1302"/>
        <v>11.110000000000582</v>
      </c>
      <c r="L277" s="15">
        <f>운전실적_원본!G277</f>
        <v>3945.9</v>
      </c>
      <c r="M277" s="31">
        <f t="shared" ref="M277" si="1537">IF(OR(LEN(L277)=0,L277=0),"",L277-L276)</f>
        <v>1.0999999999999091</v>
      </c>
      <c r="N277" s="15">
        <f>운전실적_원본!H277</f>
        <v>23244</v>
      </c>
      <c r="O277" s="16">
        <f t="shared" ref="O277" si="1538">IF(OR(LEN(N277)=0,N277=0),"",N277-N276)</f>
        <v>124</v>
      </c>
      <c r="P277" s="15">
        <f>운전실적_원본!I277</f>
        <v>2431</v>
      </c>
      <c r="Q277" s="16">
        <f t="shared" ref="Q277" si="1539">IF(OR(LEN(P277)=0,P277=0),"",P277-P276)</f>
        <v>157</v>
      </c>
      <c r="R277" s="18">
        <f>운전실적_원본!J277</f>
        <v>33.67</v>
      </c>
      <c r="S277" s="19">
        <f t="shared" ref="S277" si="1540">IF(OR(LEN(R277)=0,R277=0),"",R277-R276)</f>
        <v>-7.0000000000000284E-2</v>
      </c>
      <c r="T277" s="18">
        <f>운전실적_원본!K277</f>
        <v>33.35</v>
      </c>
      <c r="U277" s="19">
        <f t="shared" si="1307"/>
        <v>0</v>
      </c>
      <c r="V277" s="12">
        <f>운전실적_원본!L277</f>
        <v>8689</v>
      </c>
      <c r="W277" s="16">
        <f t="shared" ref="W277" si="1541">IF(OR(LEN(V277)=0,V277=0),"",V277-V276)</f>
        <v>406</v>
      </c>
      <c r="X277" s="10">
        <f>운전실적_원본!M277</f>
        <v>0</v>
      </c>
      <c r="Y277" s="10">
        <f>운전실적_원본!N277</f>
        <v>0</v>
      </c>
      <c r="Z277" s="10">
        <f>운전실적_원본!O277</f>
        <v>0</v>
      </c>
      <c r="AA277" s="10">
        <f>운전실적_원본!P277</f>
        <v>0</v>
      </c>
      <c r="AB277" s="10">
        <f>운전실적_원본!Q277</f>
        <v>0</v>
      </c>
      <c r="AC277" s="10">
        <f>운전실적_원본!R277</f>
        <v>0</v>
      </c>
      <c r="AD277" s="181">
        <f>운전실적_원본!S277</f>
        <v>0</v>
      </c>
      <c r="AE277" s="181">
        <f>운전실적_원본!T277</f>
        <v>0</v>
      </c>
      <c r="AF277" s="181">
        <f>운전실적_원본!U277</f>
        <v>0</v>
      </c>
      <c r="AG277" s="181">
        <f>운전실적_원본!V277</f>
        <v>0</v>
      </c>
      <c r="AH277" s="106">
        <f t="shared" si="1461"/>
        <v>0</v>
      </c>
      <c r="AI277" s="107">
        <f t="shared" si="1469"/>
        <v>0</v>
      </c>
      <c r="AJ277" s="107">
        <f t="shared" si="1470"/>
        <v>0</v>
      </c>
      <c r="AK277" s="204">
        <f t="shared" si="1471"/>
        <v>0</v>
      </c>
      <c r="AL277" s="103"/>
      <c r="AM277" s="103"/>
      <c r="AN277" s="103"/>
      <c r="AO277" s="103"/>
      <c r="AP277" s="103"/>
      <c r="AQ277" s="105"/>
      <c r="AR277" s="103"/>
      <c r="AS277" s="103"/>
      <c r="AT277" s="101"/>
      <c r="AU277" s="101"/>
      <c r="AV277" s="101"/>
      <c r="AW277" s="101"/>
      <c r="AX277" s="32">
        <f>운전실적_원본!W277</f>
        <v>0</v>
      </c>
      <c r="AY277" s="198">
        <f>운전실적_원본!X277</f>
        <v>0</v>
      </c>
      <c r="AZ277" s="198">
        <f>운전실적_원본!Y277</f>
        <v>0</v>
      </c>
      <c r="BA277" s="198">
        <f>운전실적_원본!Z277</f>
        <v>0</v>
      </c>
      <c r="BB277" s="198">
        <f>운전실적_원본!AA277</f>
        <v>0</v>
      </c>
      <c r="BC277" s="198">
        <f>운전실적_원본!AB277</f>
        <v>0</v>
      </c>
      <c r="BD277" s="32" t="str">
        <f t="shared" si="1454"/>
        <v>-</v>
      </c>
      <c r="BE277" s="11" t="str">
        <f t="shared" si="1462"/>
        <v>-</v>
      </c>
      <c r="BF277" s="11">
        <f>운전실적_원본!AE277</f>
        <v>0</v>
      </c>
      <c r="BG277" s="31">
        <f t="shared" si="1455"/>
        <v>0</v>
      </c>
    </row>
    <row r="278" spans="1:59" s="197" customFormat="1">
      <c r="A278" s="205">
        <f t="shared" si="1463"/>
        <v>45930</v>
      </c>
      <c r="B278" s="182">
        <f>운전실적_원본!B278</f>
        <v>0</v>
      </c>
      <c r="C278" s="183" t="str">
        <f t="shared" si="1299"/>
        <v/>
      </c>
      <c r="D278" s="184">
        <f>운전실적_원본!C278</f>
        <v>243113</v>
      </c>
      <c r="E278" s="202">
        <f t="shared" si="1300"/>
        <v>46</v>
      </c>
      <c r="F278" s="184">
        <f>운전실적_원본!D278</f>
        <v>236351</v>
      </c>
      <c r="G278" s="183">
        <f t="shared" si="1301"/>
        <v>0</v>
      </c>
      <c r="H278" s="182">
        <f>운전실적_원본!E278</f>
        <v>16585</v>
      </c>
      <c r="I278" s="183">
        <f t="shared" si="1302"/>
        <v>11.130000000001019</v>
      </c>
      <c r="J278" s="182">
        <f>운전실적_원본!E278</f>
        <v>16585</v>
      </c>
      <c r="K278" s="183">
        <f t="shared" si="1302"/>
        <v>11.130000000001019</v>
      </c>
      <c r="L278" s="182">
        <f>운전실적_원본!G278</f>
        <v>3947.2</v>
      </c>
      <c r="M278" s="185">
        <f t="shared" ref="M278" si="1542">IF(OR(LEN(L278)=0,L278=0),"",L278-L277)</f>
        <v>1.2999999999997272</v>
      </c>
      <c r="N278" s="182">
        <f>운전실적_원본!H278</f>
        <v>23250</v>
      </c>
      <c r="O278" s="183">
        <f t="shared" ref="O278" si="1543">IF(OR(LEN(N278)=0,N278=0),"",N278-N277)</f>
        <v>6</v>
      </c>
      <c r="P278" s="182">
        <f>운전실적_원본!I278</f>
        <v>2498</v>
      </c>
      <c r="Q278" s="183">
        <f t="shared" ref="Q278" si="1544">IF(OR(LEN(P278)=0,P278=0),"",P278-P277)</f>
        <v>67</v>
      </c>
      <c r="R278" s="186">
        <f>운전실적_원본!J278</f>
        <v>33.68</v>
      </c>
      <c r="S278" s="187">
        <f t="shared" ref="S278" si="1545">IF(OR(LEN(R278)=0,R278=0),"",R278-R277)</f>
        <v>9.9999999999980105E-3</v>
      </c>
      <c r="T278" s="186">
        <f>운전실적_원본!K278</f>
        <v>33.43</v>
      </c>
      <c r="U278" s="187">
        <f t="shared" si="1307"/>
        <v>7.9999999999998295E-2</v>
      </c>
      <c r="V278" s="184">
        <f>운전실적_원본!L278</f>
        <v>8650</v>
      </c>
      <c r="W278" s="183">
        <f t="shared" ref="W278" si="1546">IF(OR(LEN(V278)=0,V278=0),"",V278-V277)</f>
        <v>-39</v>
      </c>
      <c r="X278" s="188">
        <f>운전실적_원본!M278</f>
        <v>0</v>
      </c>
      <c r="Y278" s="188">
        <f>운전실적_원본!N278</f>
        <v>0</v>
      </c>
      <c r="Z278" s="188">
        <f>운전실적_원본!O278</f>
        <v>0</v>
      </c>
      <c r="AA278" s="188">
        <f>운전실적_원본!P278</f>
        <v>0</v>
      </c>
      <c r="AB278" s="188">
        <f>운전실적_원본!Q278</f>
        <v>0</v>
      </c>
      <c r="AC278" s="188">
        <f>운전실적_원본!R278</f>
        <v>0</v>
      </c>
      <c r="AD278" s="189">
        <f>운전실적_원본!S278</f>
        <v>0</v>
      </c>
      <c r="AE278" s="189">
        <f>운전실적_원본!T278</f>
        <v>0</v>
      </c>
      <c r="AF278" s="189">
        <f>운전실적_원본!U278</f>
        <v>0</v>
      </c>
      <c r="AG278" s="189">
        <f>운전실적_원본!V278</f>
        <v>0</v>
      </c>
      <c r="AH278" s="190">
        <f t="shared" si="1461"/>
        <v>0</v>
      </c>
      <c r="AI278" s="191">
        <f t="shared" si="1469"/>
        <v>0</v>
      </c>
      <c r="AJ278" s="191">
        <f t="shared" si="1470"/>
        <v>0</v>
      </c>
      <c r="AK278" s="206">
        <f t="shared" si="1471"/>
        <v>0</v>
      </c>
      <c r="AL278" s="192"/>
      <c r="AM278" s="192"/>
      <c r="AN278" s="192"/>
      <c r="AO278" s="192"/>
      <c r="AP278" s="192"/>
      <c r="AQ278" s="193"/>
      <c r="AR278" s="192"/>
      <c r="AS278" s="192"/>
      <c r="AT278" s="194"/>
      <c r="AU278" s="194"/>
      <c r="AV278" s="194"/>
      <c r="AW278" s="194"/>
      <c r="AX278" s="195">
        <f>운전실적_원본!W278</f>
        <v>0</v>
      </c>
      <c r="AY278" s="196">
        <f>운전실적_원본!X278</f>
        <v>0</v>
      </c>
      <c r="AZ278" s="196">
        <f>운전실적_원본!Y278</f>
        <v>0</v>
      </c>
      <c r="BA278" s="196">
        <f>운전실적_원본!Z278</f>
        <v>0</v>
      </c>
      <c r="BB278" s="196">
        <f>운전실적_원본!AA278</f>
        <v>0</v>
      </c>
      <c r="BC278" s="185">
        <f>운전실적_원본!AB278</f>
        <v>0</v>
      </c>
      <c r="BD278" s="195" t="str">
        <f t="shared" si="1454"/>
        <v>-</v>
      </c>
      <c r="BE278" s="196" t="str">
        <f t="shared" si="1462"/>
        <v>-</v>
      </c>
      <c r="BF278" s="196">
        <f>운전실적_원본!AE278</f>
        <v>0</v>
      </c>
      <c r="BG278" s="185">
        <f t="shared" si="1455"/>
        <v>0</v>
      </c>
    </row>
    <row r="279" spans="1:59">
      <c r="A279" s="6">
        <f t="shared" si="1463"/>
        <v>45931</v>
      </c>
      <c r="B279" s="15">
        <f>운전실적_원본!B279</f>
        <v>0.1</v>
      </c>
      <c r="C279" s="16">
        <f t="shared" si="1299"/>
        <v>0.1</v>
      </c>
      <c r="D279" s="9">
        <f>운전실적_원본!C279</f>
        <v>243151</v>
      </c>
      <c r="E279" s="199">
        <f t="shared" si="1300"/>
        <v>38</v>
      </c>
      <c r="F279" s="9">
        <f>운전실적_원본!D279</f>
        <v>236400</v>
      </c>
      <c r="G279" s="16">
        <f t="shared" si="1301"/>
        <v>49</v>
      </c>
      <c r="H279" s="15">
        <f>운전실적_원본!E279</f>
        <v>16595.59</v>
      </c>
      <c r="I279" s="16">
        <f t="shared" si="1302"/>
        <v>10.590000000000146</v>
      </c>
      <c r="J279" s="15">
        <f>운전실적_원본!E279</f>
        <v>16595.59</v>
      </c>
      <c r="K279" s="16">
        <f t="shared" si="1302"/>
        <v>10.590000000000146</v>
      </c>
      <c r="L279" s="15">
        <f>운전실적_원본!G279</f>
        <v>3948.4</v>
      </c>
      <c r="M279" s="31">
        <f t="shared" ref="M279" si="1547">IF(OR(LEN(L279)=0,L279=0),"",L279-L278)</f>
        <v>1.2000000000002728</v>
      </c>
      <c r="N279" s="15">
        <f>운전실적_원본!H279</f>
        <v>23333</v>
      </c>
      <c r="O279" s="16">
        <f t="shared" ref="O279" si="1548">IF(OR(LEN(N279)=0,N279=0),"",N279-N278)</f>
        <v>83</v>
      </c>
      <c r="P279" s="15">
        <f>운전실적_원본!I279</f>
        <v>2610</v>
      </c>
      <c r="Q279" s="16">
        <f t="shared" ref="Q279" si="1549">IF(OR(LEN(P279)=0,P279=0),"",P279-P278)</f>
        <v>112</v>
      </c>
      <c r="R279" s="18">
        <f>운전실적_원본!J279</f>
        <v>33.6</v>
      </c>
      <c r="S279" s="19">
        <f t="shared" ref="S279" si="1550">IF(OR(LEN(R279)=0,R279=0),"",R279-R278)</f>
        <v>-7.9999999999998295E-2</v>
      </c>
      <c r="T279" s="18">
        <f>운전실적_원본!K279</f>
        <v>33.369999999999997</v>
      </c>
      <c r="U279" s="19">
        <f t="shared" si="1307"/>
        <v>-6.0000000000002274E-2</v>
      </c>
      <c r="V279" s="12">
        <f>운전실적_원본!L279</f>
        <v>8442</v>
      </c>
      <c r="W279" s="16">
        <f t="shared" ref="W279" si="1551">IF(OR(LEN(V279)=0,V279=0),"",V279-V278)</f>
        <v>-208</v>
      </c>
      <c r="X279" s="10">
        <f>운전실적_원본!M279</f>
        <v>0</v>
      </c>
      <c r="Y279" s="10">
        <f>운전실적_원본!N279</f>
        <v>0</v>
      </c>
      <c r="Z279" s="10">
        <f>운전실적_원본!O279</f>
        <v>0</v>
      </c>
      <c r="AA279" s="10">
        <f>운전실적_원본!P279</f>
        <v>0</v>
      </c>
      <c r="AB279" s="10">
        <f>운전실적_원본!Q279</f>
        <v>0</v>
      </c>
      <c r="AC279" s="10">
        <f>운전실적_원본!R279</f>
        <v>0</v>
      </c>
      <c r="AD279" s="181">
        <f>운전실적_원본!S279</f>
        <v>0</v>
      </c>
      <c r="AE279" s="181">
        <f>운전실적_원본!T279</f>
        <v>0</v>
      </c>
      <c r="AF279" s="181">
        <f>운전실적_원본!U279</f>
        <v>0</v>
      </c>
      <c r="AG279" s="181">
        <f>운전실적_원본!V279</f>
        <v>0</v>
      </c>
      <c r="AH279" s="106">
        <f t="shared" si="1461"/>
        <v>0</v>
      </c>
      <c r="AI279" s="107">
        <f t="shared" si="1469"/>
        <v>0</v>
      </c>
      <c r="AJ279" s="107">
        <f t="shared" si="1470"/>
        <v>0</v>
      </c>
      <c r="AK279" s="204">
        <f t="shared" si="1471"/>
        <v>0</v>
      </c>
      <c r="AL279" s="103"/>
      <c r="AM279" s="103"/>
      <c r="AN279" s="103"/>
      <c r="AO279" s="103"/>
      <c r="AP279" s="103"/>
      <c r="AQ279" s="105"/>
      <c r="AR279" s="103"/>
      <c r="AS279" s="103"/>
      <c r="AT279" s="101"/>
      <c r="AU279" s="101"/>
      <c r="AV279" s="101"/>
      <c r="AW279" s="101"/>
      <c r="AX279" s="32">
        <f>운전실적_원본!W279</f>
        <v>0</v>
      </c>
      <c r="AY279" s="198">
        <f>운전실적_원본!X279</f>
        <v>0</v>
      </c>
      <c r="AZ279" s="198">
        <f>운전실적_원본!Y279</f>
        <v>0</v>
      </c>
      <c r="BA279" s="198">
        <f>운전실적_원본!Z279</f>
        <v>0</v>
      </c>
      <c r="BB279" s="198">
        <f>운전실적_원본!AA279</f>
        <v>0</v>
      </c>
      <c r="BC279" s="198">
        <f>운전실적_원본!AB279</f>
        <v>0</v>
      </c>
      <c r="BD279" s="32" t="str">
        <f t="shared" si="1454"/>
        <v>-</v>
      </c>
      <c r="BE279" s="11" t="str">
        <f t="shared" si="1462"/>
        <v>-</v>
      </c>
      <c r="BF279" s="11">
        <f>운전실적_원본!AE279</f>
        <v>0</v>
      </c>
      <c r="BG279" s="31">
        <f t="shared" si="1455"/>
        <v>0</v>
      </c>
    </row>
    <row r="280" spans="1:59">
      <c r="A280" s="6">
        <f t="shared" si="1463"/>
        <v>45932</v>
      </c>
      <c r="B280" s="15">
        <f>운전실적_원본!B280</f>
        <v>0.1</v>
      </c>
      <c r="C280" s="16">
        <f t="shared" si="1299"/>
        <v>0</v>
      </c>
      <c r="D280" s="9">
        <f>운전실적_원본!C280</f>
        <v>243188</v>
      </c>
      <c r="E280" s="199">
        <f t="shared" si="1300"/>
        <v>37</v>
      </c>
      <c r="F280" s="9">
        <f>운전실적_원본!D280</f>
        <v>236454</v>
      </c>
      <c r="G280" s="16">
        <f t="shared" si="1301"/>
        <v>54</v>
      </c>
      <c r="H280" s="15">
        <f>운전실적_원본!E280</f>
        <v>16605.39</v>
      </c>
      <c r="I280" s="16">
        <f t="shared" si="1302"/>
        <v>9.7999999999992724</v>
      </c>
      <c r="J280" s="15">
        <f>운전실적_원본!E280</f>
        <v>16605.39</v>
      </c>
      <c r="K280" s="16">
        <f t="shared" si="1302"/>
        <v>9.7999999999992724</v>
      </c>
      <c r="L280" s="15">
        <f>운전실적_원본!G280</f>
        <v>3949.7</v>
      </c>
      <c r="M280" s="31">
        <f t="shared" ref="M280" si="1552">IF(OR(LEN(L280)=0,L280=0),"",L280-L279)</f>
        <v>1.2999999999997272</v>
      </c>
      <c r="N280" s="15">
        <f>운전실적_원본!H280</f>
        <v>23541</v>
      </c>
      <c r="O280" s="16">
        <f t="shared" ref="O280" si="1553">IF(OR(LEN(N280)=0,N280=0),"",N280-N279)</f>
        <v>208</v>
      </c>
      <c r="P280" s="15">
        <f>운전실적_원본!I280</f>
        <v>2727</v>
      </c>
      <c r="Q280" s="16">
        <f t="shared" ref="Q280" si="1554">IF(OR(LEN(P280)=0,P280=0),"",P280-P279)</f>
        <v>117</v>
      </c>
      <c r="R280" s="18">
        <f>운전실적_원본!J280</f>
        <v>33.79</v>
      </c>
      <c r="S280" s="19">
        <f t="shared" ref="S280" si="1555">IF(OR(LEN(R280)=0,R280=0),"",R280-R279)</f>
        <v>0.18999999999999773</v>
      </c>
      <c r="T280" s="18">
        <f>운전실적_원본!K280</f>
        <v>33.369999999999997</v>
      </c>
      <c r="U280" s="19">
        <f t="shared" si="1307"/>
        <v>0</v>
      </c>
      <c r="V280" s="12">
        <f>운전실적_원본!L280</f>
        <v>8428</v>
      </c>
      <c r="W280" s="16">
        <f t="shared" ref="W280" si="1556">IF(OR(LEN(V280)=0,V280=0),"",V280-V279)</f>
        <v>-14</v>
      </c>
      <c r="X280" s="10">
        <f>운전실적_원본!M280</f>
        <v>0</v>
      </c>
      <c r="Y280" s="10">
        <f>운전실적_원본!N280</f>
        <v>0</v>
      </c>
      <c r="Z280" s="10">
        <f>운전실적_원본!O280</f>
        <v>0</v>
      </c>
      <c r="AA280" s="10">
        <f>운전실적_원본!P280</f>
        <v>0</v>
      </c>
      <c r="AB280" s="10">
        <f>운전실적_원본!Q280</f>
        <v>0</v>
      </c>
      <c r="AC280" s="10">
        <f>운전실적_원본!R280</f>
        <v>0</v>
      </c>
      <c r="AD280" s="181">
        <f>운전실적_원본!S280</f>
        <v>0</v>
      </c>
      <c r="AE280" s="181">
        <f>운전실적_원본!T280</f>
        <v>0</v>
      </c>
      <c r="AF280" s="181">
        <f>운전실적_원본!U280</f>
        <v>0</v>
      </c>
      <c r="AG280" s="181">
        <f>운전실적_원본!V280</f>
        <v>0</v>
      </c>
      <c r="AH280" s="106">
        <f t="shared" si="1461"/>
        <v>0</v>
      </c>
      <c r="AI280" s="107">
        <f t="shared" si="1469"/>
        <v>0</v>
      </c>
      <c r="AJ280" s="107">
        <f t="shared" si="1470"/>
        <v>0</v>
      </c>
      <c r="AK280" s="204">
        <f t="shared" si="1471"/>
        <v>0</v>
      </c>
      <c r="AL280" s="103"/>
      <c r="AM280" s="103"/>
      <c r="AN280" s="103"/>
      <c r="AO280" s="103"/>
      <c r="AP280" s="103"/>
      <c r="AQ280" s="105"/>
      <c r="AR280" s="103"/>
      <c r="AS280" s="103"/>
      <c r="AT280" s="101"/>
      <c r="AU280" s="101"/>
      <c r="AV280" s="101"/>
      <c r="AW280" s="101"/>
      <c r="AX280" s="32">
        <f>운전실적_원본!W280</f>
        <v>0</v>
      </c>
      <c r="AY280" s="198">
        <f>운전실적_원본!X280</f>
        <v>0</v>
      </c>
      <c r="AZ280" s="198">
        <f>운전실적_원본!Y280</f>
        <v>0</v>
      </c>
      <c r="BA280" s="198">
        <f>운전실적_원본!Z280</f>
        <v>0</v>
      </c>
      <c r="BB280" s="198">
        <f>운전실적_원본!AA280</f>
        <v>0</v>
      </c>
      <c r="BC280" s="198">
        <f>운전실적_원본!AB280</f>
        <v>0</v>
      </c>
      <c r="BD280" s="32" t="str">
        <f t="shared" si="1454"/>
        <v>-</v>
      </c>
      <c r="BE280" s="11" t="str">
        <f t="shared" si="1462"/>
        <v>-</v>
      </c>
      <c r="BF280" s="11">
        <f>운전실적_원본!AE280</f>
        <v>0</v>
      </c>
      <c r="BG280" s="31">
        <f t="shared" si="1455"/>
        <v>0</v>
      </c>
    </row>
    <row r="281" spans="1:59">
      <c r="A281" s="6">
        <f t="shared" si="1463"/>
        <v>45933</v>
      </c>
      <c r="B281" s="15">
        <f>운전실적_원본!B281</f>
        <v>0.1</v>
      </c>
      <c r="C281" s="16">
        <f t="shared" si="1299"/>
        <v>0</v>
      </c>
      <c r="D281" s="9">
        <f>운전실적_원본!C281</f>
        <v>243262</v>
      </c>
      <c r="E281" s="199">
        <f t="shared" si="1300"/>
        <v>74</v>
      </c>
      <c r="F281" s="9">
        <f>운전실적_원본!D281</f>
        <v>236501</v>
      </c>
      <c r="G281" s="16">
        <f t="shared" si="1301"/>
        <v>47</v>
      </c>
      <c r="H281" s="15">
        <f>운전실적_원본!E281</f>
        <v>16607.43</v>
      </c>
      <c r="I281" s="16">
        <f t="shared" si="1302"/>
        <v>2.0400000000008731</v>
      </c>
      <c r="J281" s="15">
        <f>운전실적_원본!E281</f>
        <v>16607.43</v>
      </c>
      <c r="K281" s="16">
        <f t="shared" si="1302"/>
        <v>2.0400000000008731</v>
      </c>
      <c r="L281" s="15">
        <f>운전실적_원본!G281</f>
        <v>3950.6</v>
      </c>
      <c r="M281" s="31">
        <f t="shared" ref="M281" si="1557">IF(OR(LEN(L281)=0,L281=0),"",L281-L280)</f>
        <v>0.90000000000009095</v>
      </c>
      <c r="N281" s="15">
        <f>운전실적_원본!H281</f>
        <v>23656</v>
      </c>
      <c r="O281" s="16">
        <f t="shared" ref="O281" si="1558">IF(OR(LEN(N281)=0,N281=0),"",N281-N280)</f>
        <v>115</v>
      </c>
      <c r="P281" s="15">
        <f>운전실적_원본!I281</f>
        <v>2879</v>
      </c>
      <c r="Q281" s="16">
        <f t="shared" ref="Q281" si="1559">IF(OR(LEN(P281)=0,P281=0),"",P281-P280)</f>
        <v>152</v>
      </c>
      <c r="R281" s="18">
        <f>운전실적_원본!J281</f>
        <v>33.869999999999997</v>
      </c>
      <c r="S281" s="19">
        <f t="shared" ref="S281" si="1560">IF(OR(LEN(R281)=0,R281=0),"",R281-R280)</f>
        <v>7.9999999999998295E-2</v>
      </c>
      <c r="T281" s="18">
        <f>운전실적_원본!K281</f>
        <v>33.270000000000003</v>
      </c>
      <c r="U281" s="19">
        <f t="shared" si="1307"/>
        <v>-9.9999999999994316E-2</v>
      </c>
      <c r="V281" s="12">
        <f>운전실적_원본!L281</f>
        <v>8459</v>
      </c>
      <c r="W281" s="16">
        <f t="shared" ref="W281" si="1561">IF(OR(LEN(V281)=0,V281=0),"",V281-V280)</f>
        <v>31</v>
      </c>
      <c r="X281" s="10">
        <f>운전실적_원본!M281</f>
        <v>0</v>
      </c>
      <c r="Y281" s="10">
        <f>운전실적_원본!N281</f>
        <v>0</v>
      </c>
      <c r="Z281" s="10">
        <f>운전실적_원본!O281</f>
        <v>0</v>
      </c>
      <c r="AA281" s="10">
        <f>운전실적_원본!P281</f>
        <v>0</v>
      </c>
      <c r="AB281" s="10">
        <f>운전실적_원본!Q281</f>
        <v>0</v>
      </c>
      <c r="AC281" s="10">
        <f>운전실적_원본!R281</f>
        <v>0</v>
      </c>
      <c r="AD281" s="181">
        <f>운전실적_원본!S281</f>
        <v>0</v>
      </c>
      <c r="AE281" s="181">
        <f>운전실적_원본!T281</f>
        <v>0</v>
      </c>
      <c r="AF281" s="181">
        <f>운전실적_원본!U281</f>
        <v>0</v>
      </c>
      <c r="AG281" s="181">
        <f>운전실적_원본!V281</f>
        <v>0</v>
      </c>
      <c r="AH281" s="106">
        <f t="shared" si="1461"/>
        <v>0</v>
      </c>
      <c r="AI281" s="107">
        <f t="shared" si="1469"/>
        <v>0</v>
      </c>
      <c r="AJ281" s="107">
        <f t="shared" si="1470"/>
        <v>0</v>
      </c>
      <c r="AK281" s="204">
        <f t="shared" si="1471"/>
        <v>0</v>
      </c>
      <c r="AL281" s="103"/>
      <c r="AM281" s="103"/>
      <c r="AN281" s="103"/>
      <c r="AO281" s="103"/>
      <c r="AP281" s="103"/>
      <c r="AQ281" s="105"/>
      <c r="AR281" s="103"/>
      <c r="AS281" s="103"/>
      <c r="AT281" s="101"/>
      <c r="AU281" s="101"/>
      <c r="AV281" s="101"/>
      <c r="AW281" s="101"/>
      <c r="AX281" s="32">
        <f>운전실적_원본!W281</f>
        <v>0</v>
      </c>
      <c r="AY281" s="198">
        <f>운전실적_원본!X281</f>
        <v>0</v>
      </c>
      <c r="AZ281" s="198">
        <f>운전실적_원본!Y281</f>
        <v>0</v>
      </c>
      <c r="BA281" s="198">
        <f>운전실적_원본!Z281</f>
        <v>0</v>
      </c>
      <c r="BB281" s="198">
        <f>운전실적_원본!AA281</f>
        <v>0</v>
      </c>
      <c r="BC281" s="198">
        <f>운전실적_원본!AB281</f>
        <v>0</v>
      </c>
      <c r="BD281" s="32" t="str">
        <f t="shared" si="1454"/>
        <v>-</v>
      </c>
      <c r="BE281" s="11" t="str">
        <f t="shared" si="1462"/>
        <v>-</v>
      </c>
      <c r="BF281" s="11">
        <f>운전실적_원본!AE281</f>
        <v>0</v>
      </c>
      <c r="BG281" s="31">
        <f t="shared" si="1455"/>
        <v>0</v>
      </c>
    </row>
    <row r="282" spans="1:59">
      <c r="A282" s="6">
        <f t="shared" si="1463"/>
        <v>45934</v>
      </c>
      <c r="B282" s="15">
        <f>운전실적_원본!B282</f>
        <v>0.1</v>
      </c>
      <c r="C282" s="16">
        <f t="shared" si="1299"/>
        <v>0</v>
      </c>
      <c r="D282" s="9">
        <f>운전실적_원본!C282</f>
        <v>243299</v>
      </c>
      <c r="E282" s="199">
        <f t="shared" si="1300"/>
        <v>37</v>
      </c>
      <c r="F282" s="9">
        <f>운전실적_원본!D282</f>
        <v>236501</v>
      </c>
      <c r="G282" s="16">
        <f t="shared" si="1301"/>
        <v>0</v>
      </c>
      <c r="H282" s="15">
        <f>운전실적_원본!E282</f>
        <v>16610.189999999999</v>
      </c>
      <c r="I282" s="16">
        <f t="shared" si="1302"/>
        <v>2.7599999999983993</v>
      </c>
      <c r="J282" s="15">
        <f>운전실적_원본!E282</f>
        <v>16610.189999999999</v>
      </c>
      <c r="K282" s="16">
        <f t="shared" si="1302"/>
        <v>2.7599999999983993</v>
      </c>
      <c r="L282" s="15">
        <f>운전실적_원본!G282</f>
        <v>3951.6</v>
      </c>
      <c r="M282" s="31">
        <f t="shared" ref="M282" si="1562">IF(OR(LEN(L282)=0,L282=0),"",L282-L281)</f>
        <v>1</v>
      </c>
      <c r="N282" s="15">
        <f>운전실적_원본!H282</f>
        <v>23663</v>
      </c>
      <c r="O282" s="16">
        <f t="shared" ref="O282" si="1563">IF(OR(LEN(N282)=0,N282=0),"",N282-N281)</f>
        <v>7</v>
      </c>
      <c r="P282" s="15">
        <f>운전실적_원본!I282</f>
        <v>2896</v>
      </c>
      <c r="Q282" s="16">
        <f t="shared" ref="Q282" si="1564">IF(OR(LEN(P282)=0,P282=0),"",P282-P281)</f>
        <v>17</v>
      </c>
      <c r="R282" s="18">
        <f>운전실적_원본!J282</f>
        <v>33.68</v>
      </c>
      <c r="S282" s="19">
        <f t="shared" ref="S282" si="1565">IF(OR(LEN(R282)=0,R282=0),"",R282-R281)</f>
        <v>-0.18999999999999773</v>
      </c>
      <c r="T282" s="18">
        <f>운전실적_원본!K282</f>
        <v>33.25</v>
      </c>
      <c r="U282" s="19">
        <f t="shared" si="1307"/>
        <v>-2.0000000000003126E-2</v>
      </c>
      <c r="V282" s="12">
        <f>운전실적_원본!L282</f>
        <v>8599</v>
      </c>
      <c r="W282" s="16">
        <f t="shared" ref="W282" si="1566">IF(OR(LEN(V282)=0,V282=0),"",V282-V281)</f>
        <v>140</v>
      </c>
      <c r="X282" s="10">
        <f>운전실적_원본!M282</f>
        <v>0</v>
      </c>
      <c r="Y282" s="10">
        <f>운전실적_원본!N282</f>
        <v>0</v>
      </c>
      <c r="Z282" s="10">
        <f>운전실적_원본!O282</f>
        <v>0</v>
      </c>
      <c r="AA282" s="10">
        <f>운전실적_원본!P282</f>
        <v>0</v>
      </c>
      <c r="AB282" s="10">
        <f>운전실적_원본!Q282</f>
        <v>0</v>
      </c>
      <c r="AC282" s="10">
        <f>운전실적_원본!R282</f>
        <v>0</v>
      </c>
      <c r="AD282" s="181">
        <f>운전실적_원본!S282</f>
        <v>0</v>
      </c>
      <c r="AE282" s="181">
        <f>운전실적_원본!T282</f>
        <v>0</v>
      </c>
      <c r="AF282" s="181">
        <f>운전실적_원본!U282</f>
        <v>0</v>
      </c>
      <c r="AG282" s="181">
        <f>운전실적_원본!V282</f>
        <v>0</v>
      </c>
      <c r="AH282" s="106">
        <f t="shared" si="1461"/>
        <v>0</v>
      </c>
      <c r="AI282" s="107">
        <f t="shared" si="1469"/>
        <v>0</v>
      </c>
      <c r="AJ282" s="107">
        <f t="shared" si="1470"/>
        <v>0</v>
      </c>
      <c r="AK282" s="204">
        <f t="shared" si="1471"/>
        <v>0</v>
      </c>
      <c r="AL282" s="103"/>
      <c r="AM282" s="103"/>
      <c r="AN282" s="103"/>
      <c r="AO282" s="103"/>
      <c r="AP282" s="103"/>
      <c r="AQ282" s="105"/>
      <c r="AR282" s="103"/>
      <c r="AS282" s="103"/>
      <c r="AT282" s="101"/>
      <c r="AU282" s="101"/>
      <c r="AV282" s="101"/>
      <c r="AW282" s="101"/>
      <c r="AX282" s="32">
        <f>운전실적_원본!W282</f>
        <v>0</v>
      </c>
      <c r="AY282" s="198">
        <f>운전실적_원본!X282</f>
        <v>0</v>
      </c>
      <c r="AZ282" s="198">
        <f>운전실적_원본!Y282</f>
        <v>0</v>
      </c>
      <c r="BA282" s="198">
        <f>운전실적_원본!Z282</f>
        <v>0</v>
      </c>
      <c r="BB282" s="198">
        <f>운전실적_원본!AA282</f>
        <v>0</v>
      </c>
      <c r="BC282" s="198">
        <f>운전실적_원본!AB282</f>
        <v>0</v>
      </c>
      <c r="BD282" s="32" t="str">
        <f t="shared" si="1454"/>
        <v>-</v>
      </c>
      <c r="BE282" s="11" t="str">
        <f t="shared" si="1462"/>
        <v>-</v>
      </c>
      <c r="BF282" s="11">
        <f>운전실적_원본!AE282</f>
        <v>0</v>
      </c>
      <c r="BG282" s="31">
        <f t="shared" si="1455"/>
        <v>0</v>
      </c>
    </row>
    <row r="283" spans="1:59">
      <c r="A283" s="6">
        <f t="shared" si="1463"/>
        <v>45935</v>
      </c>
      <c r="B283" s="15">
        <f>운전실적_원본!B283</f>
        <v>0.1</v>
      </c>
      <c r="C283" s="16">
        <f t="shared" si="1299"/>
        <v>0</v>
      </c>
      <c r="D283" s="9">
        <f>운전실적_원본!C283</f>
        <v>243299</v>
      </c>
      <c r="E283" s="199">
        <f t="shared" si="1300"/>
        <v>0</v>
      </c>
      <c r="F283" s="9">
        <f>운전실적_원본!D283</f>
        <v>236501</v>
      </c>
      <c r="G283" s="16">
        <f t="shared" si="1301"/>
        <v>0</v>
      </c>
      <c r="H283" s="15">
        <f>운전실적_원본!E283</f>
        <v>16612.169999999998</v>
      </c>
      <c r="I283" s="16">
        <f t="shared" si="1302"/>
        <v>1.9799999999995634</v>
      </c>
      <c r="J283" s="15">
        <f>운전실적_원본!E283</f>
        <v>16612.169999999998</v>
      </c>
      <c r="K283" s="16">
        <f t="shared" si="1302"/>
        <v>1.9799999999995634</v>
      </c>
      <c r="L283" s="15">
        <f>운전실적_원본!G283</f>
        <v>3952.6</v>
      </c>
      <c r="M283" s="31">
        <f t="shared" ref="M283" si="1567">IF(OR(LEN(L283)=0,L283=0),"",L283-L282)</f>
        <v>1</v>
      </c>
      <c r="N283" s="15">
        <f>운전실적_원본!H283</f>
        <v>23801</v>
      </c>
      <c r="O283" s="16">
        <f t="shared" ref="O283" si="1568">IF(OR(LEN(N283)=0,N283=0),"",N283-N282)</f>
        <v>138</v>
      </c>
      <c r="P283" s="15">
        <f>운전실적_원본!I283</f>
        <v>2911</v>
      </c>
      <c r="Q283" s="16">
        <f t="shared" ref="Q283" si="1569">IF(OR(LEN(P283)=0,P283=0),"",P283-P282)</f>
        <v>15</v>
      </c>
      <c r="R283" s="18">
        <f>운전실적_원본!J283</f>
        <v>33.71</v>
      </c>
      <c r="S283" s="19">
        <f t="shared" ref="S283" si="1570">IF(OR(LEN(R283)=0,R283=0),"",R283-R282)</f>
        <v>3.0000000000001137E-2</v>
      </c>
      <c r="T283" s="18">
        <f>운전실적_원본!K283</f>
        <v>33.29</v>
      </c>
      <c r="U283" s="19">
        <f t="shared" si="1307"/>
        <v>3.9999999999999147E-2</v>
      </c>
      <c r="V283" s="12">
        <f>운전실적_원본!L283</f>
        <v>8270</v>
      </c>
      <c r="W283" s="16">
        <f t="shared" ref="W283" si="1571">IF(OR(LEN(V283)=0,V283=0),"",V283-V282)</f>
        <v>-329</v>
      </c>
      <c r="X283" s="10">
        <f>운전실적_원본!M283</f>
        <v>0</v>
      </c>
      <c r="Y283" s="10">
        <f>운전실적_원본!N283</f>
        <v>0</v>
      </c>
      <c r="Z283" s="10">
        <f>운전실적_원본!O283</f>
        <v>0</v>
      </c>
      <c r="AA283" s="10">
        <f>운전실적_원본!P283</f>
        <v>0</v>
      </c>
      <c r="AB283" s="10">
        <f>운전실적_원본!Q283</f>
        <v>0</v>
      </c>
      <c r="AC283" s="10">
        <f>운전실적_원본!R283</f>
        <v>0</v>
      </c>
      <c r="AD283" s="181">
        <f>운전실적_원본!S283</f>
        <v>0</v>
      </c>
      <c r="AE283" s="181">
        <f>운전실적_원본!T283</f>
        <v>0</v>
      </c>
      <c r="AF283" s="181">
        <f>운전실적_원본!U283</f>
        <v>0</v>
      </c>
      <c r="AG283" s="181">
        <f>운전실적_원본!V283</f>
        <v>0</v>
      </c>
      <c r="AH283" s="106">
        <f t="shared" si="1461"/>
        <v>0</v>
      </c>
      <c r="AI283" s="107">
        <f t="shared" si="1469"/>
        <v>0</v>
      </c>
      <c r="AJ283" s="107">
        <f t="shared" si="1470"/>
        <v>0</v>
      </c>
      <c r="AK283" s="204">
        <f t="shared" si="1471"/>
        <v>0</v>
      </c>
      <c r="AL283" s="103"/>
      <c r="AM283" s="103"/>
      <c r="AN283" s="103"/>
      <c r="AO283" s="103"/>
      <c r="AP283" s="103"/>
      <c r="AQ283" s="105"/>
      <c r="AR283" s="103"/>
      <c r="AS283" s="103"/>
      <c r="AT283" s="101"/>
      <c r="AU283" s="101"/>
      <c r="AV283" s="101"/>
      <c r="AW283" s="101"/>
      <c r="AX283" s="32">
        <f>운전실적_원본!W283</f>
        <v>0</v>
      </c>
      <c r="AY283" s="198">
        <f>운전실적_원본!X283</f>
        <v>0</v>
      </c>
      <c r="AZ283" s="198">
        <f>운전실적_원본!Y283</f>
        <v>0</v>
      </c>
      <c r="BA283" s="198">
        <f>운전실적_원본!Z283</f>
        <v>0</v>
      </c>
      <c r="BB283" s="198">
        <f>운전실적_원본!AA283</f>
        <v>0</v>
      </c>
      <c r="BC283" s="198">
        <f>운전실적_원본!AB283</f>
        <v>0</v>
      </c>
      <c r="BD283" s="32" t="str">
        <f t="shared" si="1454"/>
        <v>-</v>
      </c>
      <c r="BE283" s="11" t="str">
        <f t="shared" si="1462"/>
        <v>-</v>
      </c>
      <c r="BF283" s="11">
        <f>운전실적_원본!AE283</f>
        <v>0</v>
      </c>
      <c r="BG283" s="31">
        <f t="shared" si="1455"/>
        <v>0</v>
      </c>
    </row>
    <row r="284" spans="1:59">
      <c r="A284" s="6">
        <f t="shared" si="1463"/>
        <v>45936</v>
      </c>
      <c r="B284" s="15">
        <f>운전실적_원본!B284</f>
        <v>0.1</v>
      </c>
      <c r="C284" s="16">
        <f t="shared" si="1299"/>
        <v>0</v>
      </c>
      <c r="D284" s="9">
        <f>운전실적_원본!C284</f>
        <v>243299</v>
      </c>
      <c r="E284" s="199">
        <f t="shared" si="1300"/>
        <v>0</v>
      </c>
      <c r="F284" s="9">
        <f>운전실적_원본!D284</f>
        <v>236508</v>
      </c>
      <c r="G284" s="16">
        <f t="shared" si="1301"/>
        <v>7</v>
      </c>
      <c r="H284" s="15">
        <f>운전실적_원본!E284</f>
        <v>16614.37</v>
      </c>
      <c r="I284" s="16">
        <f t="shared" si="1302"/>
        <v>2.2000000000007276</v>
      </c>
      <c r="J284" s="15">
        <f>운전실적_원본!E284</f>
        <v>16614.37</v>
      </c>
      <c r="K284" s="16">
        <f t="shared" si="1302"/>
        <v>2.2000000000007276</v>
      </c>
      <c r="L284" s="15">
        <f>운전실적_원본!G284</f>
        <v>3953.1</v>
      </c>
      <c r="M284" s="31">
        <f t="shared" ref="M284" si="1572">IF(OR(LEN(L284)=0,L284=0),"",L284-L283)</f>
        <v>0.5</v>
      </c>
      <c r="N284" s="15">
        <f>운전실적_원본!H284</f>
        <v>23833</v>
      </c>
      <c r="O284" s="16">
        <f t="shared" ref="O284" si="1573">IF(OR(LEN(N284)=0,N284=0),"",N284-N283)</f>
        <v>32</v>
      </c>
      <c r="P284" s="15">
        <f>운전실적_원본!I284</f>
        <v>2927</v>
      </c>
      <c r="Q284" s="16">
        <f t="shared" ref="Q284" si="1574">IF(OR(LEN(P284)=0,P284=0),"",P284-P283)</f>
        <v>16</v>
      </c>
      <c r="R284" s="18">
        <f>운전실적_원본!J284</f>
        <v>33.770000000000003</v>
      </c>
      <c r="S284" s="19">
        <f t="shared" ref="S284" si="1575">IF(OR(LEN(R284)=0,R284=0),"",R284-R283)</f>
        <v>6.0000000000002274E-2</v>
      </c>
      <c r="T284" s="18">
        <f>운전실적_원본!K284</f>
        <v>33.21</v>
      </c>
      <c r="U284" s="19">
        <f t="shared" si="1307"/>
        <v>-7.9999999999998295E-2</v>
      </c>
      <c r="V284" s="12">
        <f>운전실적_원본!L284</f>
        <v>8264</v>
      </c>
      <c r="W284" s="16">
        <f t="shared" ref="W284" si="1576">IF(OR(LEN(V284)=0,V284=0),"",V284-V283)</f>
        <v>-6</v>
      </c>
      <c r="X284" s="10">
        <f>운전실적_원본!M284</f>
        <v>0</v>
      </c>
      <c r="Y284" s="10">
        <f>운전실적_원본!N284</f>
        <v>0</v>
      </c>
      <c r="Z284" s="10">
        <f>운전실적_원본!O284</f>
        <v>0</v>
      </c>
      <c r="AA284" s="10">
        <f>운전실적_원본!P284</f>
        <v>0</v>
      </c>
      <c r="AB284" s="10">
        <f>운전실적_원본!Q284</f>
        <v>0</v>
      </c>
      <c r="AC284" s="10">
        <f>운전실적_원본!R284</f>
        <v>0</v>
      </c>
      <c r="AD284" s="181">
        <f>운전실적_원본!S284</f>
        <v>0</v>
      </c>
      <c r="AE284" s="181">
        <f>운전실적_원본!T284</f>
        <v>0</v>
      </c>
      <c r="AF284" s="181">
        <f>운전실적_원본!U284</f>
        <v>0</v>
      </c>
      <c r="AG284" s="181">
        <f>운전실적_원본!V284</f>
        <v>0</v>
      </c>
      <c r="AH284" s="106">
        <f t="shared" si="1461"/>
        <v>0</v>
      </c>
      <c r="AI284" s="107">
        <f t="shared" si="1469"/>
        <v>0</v>
      </c>
      <c r="AJ284" s="107">
        <f t="shared" si="1470"/>
        <v>0</v>
      </c>
      <c r="AK284" s="204">
        <f t="shared" si="1471"/>
        <v>0</v>
      </c>
      <c r="AL284" s="103"/>
      <c r="AM284" s="103"/>
      <c r="AN284" s="103"/>
      <c r="AO284" s="103"/>
      <c r="AP284" s="103"/>
      <c r="AQ284" s="105"/>
      <c r="AR284" s="103"/>
      <c r="AS284" s="103"/>
      <c r="AT284" s="101"/>
      <c r="AU284" s="101"/>
      <c r="AV284" s="101"/>
      <c r="AW284" s="101"/>
      <c r="AX284" s="32">
        <f>운전실적_원본!W284</f>
        <v>0</v>
      </c>
      <c r="AY284" s="198">
        <f>운전실적_원본!X284</f>
        <v>0</v>
      </c>
      <c r="AZ284" s="198">
        <f>운전실적_원본!Y284</f>
        <v>0</v>
      </c>
      <c r="BA284" s="198">
        <f>운전실적_원본!Z284</f>
        <v>0</v>
      </c>
      <c r="BB284" s="198">
        <f>운전실적_원본!AA284</f>
        <v>0</v>
      </c>
      <c r="BC284" s="198">
        <f>운전실적_원본!AB284</f>
        <v>0</v>
      </c>
      <c r="BD284" s="32" t="str">
        <f t="shared" si="1454"/>
        <v>-</v>
      </c>
      <c r="BE284" s="11" t="str">
        <f t="shared" si="1462"/>
        <v>-</v>
      </c>
      <c r="BF284" s="11">
        <f>운전실적_원본!AE284</f>
        <v>0</v>
      </c>
      <c r="BG284" s="31">
        <f t="shared" si="1455"/>
        <v>0</v>
      </c>
    </row>
    <row r="285" spans="1:59">
      <c r="A285" s="6">
        <f t="shared" si="1463"/>
        <v>45937</v>
      </c>
      <c r="B285" s="15">
        <f>운전실적_원본!B285</f>
        <v>0.1</v>
      </c>
      <c r="C285" s="16">
        <f t="shared" si="1299"/>
        <v>0</v>
      </c>
      <c r="D285" s="9">
        <f>운전실적_원본!C285</f>
        <v>243299</v>
      </c>
      <c r="E285" s="199">
        <f t="shared" si="1300"/>
        <v>0</v>
      </c>
      <c r="F285" s="9">
        <f>운전실적_원본!D285</f>
        <v>236520</v>
      </c>
      <c r="G285" s="16">
        <f t="shared" si="1301"/>
        <v>12</v>
      </c>
      <c r="H285" s="15">
        <f>운전실적_원본!E285</f>
        <v>16616.04</v>
      </c>
      <c r="I285" s="16">
        <f t="shared" si="1302"/>
        <v>1.6700000000018917</v>
      </c>
      <c r="J285" s="15">
        <f>운전실적_원본!E285</f>
        <v>16616.04</v>
      </c>
      <c r="K285" s="16">
        <f t="shared" si="1302"/>
        <v>1.6700000000018917</v>
      </c>
      <c r="L285" s="15">
        <f>운전실적_원본!G285</f>
        <v>3953.6</v>
      </c>
      <c r="M285" s="31">
        <f t="shared" ref="M285" si="1577">IF(OR(LEN(L285)=0,L285=0),"",L285-L284)</f>
        <v>0.5</v>
      </c>
      <c r="N285" s="15">
        <f>운전실적_원본!H285</f>
        <v>23861</v>
      </c>
      <c r="O285" s="16">
        <f t="shared" ref="O285" si="1578">IF(OR(LEN(N285)=0,N285=0),"",N285-N284)</f>
        <v>28</v>
      </c>
      <c r="P285" s="15">
        <f>운전실적_원본!I285</f>
        <v>2941</v>
      </c>
      <c r="Q285" s="16">
        <f t="shared" ref="Q285" si="1579">IF(OR(LEN(P285)=0,P285=0),"",P285-P284)</f>
        <v>14</v>
      </c>
      <c r="R285" s="18">
        <f>운전실적_원본!J285</f>
        <v>33.78</v>
      </c>
      <c r="S285" s="19">
        <f t="shared" ref="S285" si="1580">IF(OR(LEN(R285)=0,R285=0),"",R285-R284)</f>
        <v>9.9999999999980105E-3</v>
      </c>
      <c r="T285" s="18">
        <f>운전실적_원본!K285</f>
        <v>33.200000000000003</v>
      </c>
      <c r="U285" s="19">
        <f t="shared" si="1307"/>
        <v>-9.9999999999980105E-3</v>
      </c>
      <c r="V285" s="12">
        <f>운전실적_원본!L285</f>
        <v>8431</v>
      </c>
      <c r="W285" s="16">
        <f t="shared" ref="W285" si="1581">IF(OR(LEN(V285)=0,V285=0),"",V285-V284)</f>
        <v>167</v>
      </c>
      <c r="X285" s="10">
        <f>운전실적_원본!M285</f>
        <v>0</v>
      </c>
      <c r="Y285" s="10">
        <f>운전실적_원본!N285</f>
        <v>0</v>
      </c>
      <c r="Z285" s="10">
        <f>운전실적_원본!O285</f>
        <v>0</v>
      </c>
      <c r="AA285" s="10">
        <f>운전실적_원본!P285</f>
        <v>0</v>
      </c>
      <c r="AB285" s="10">
        <f>운전실적_원본!Q285</f>
        <v>0</v>
      </c>
      <c r="AC285" s="10">
        <f>운전실적_원본!R285</f>
        <v>0</v>
      </c>
      <c r="AD285" s="181">
        <f>운전실적_원본!S285</f>
        <v>0</v>
      </c>
      <c r="AE285" s="181">
        <f>운전실적_원본!T285</f>
        <v>0</v>
      </c>
      <c r="AF285" s="181">
        <f>운전실적_원본!U285</f>
        <v>0</v>
      </c>
      <c r="AG285" s="181">
        <f>운전실적_원본!V285</f>
        <v>0</v>
      </c>
      <c r="AH285" s="106">
        <f t="shared" si="1461"/>
        <v>0</v>
      </c>
      <c r="AI285" s="107">
        <f t="shared" si="1469"/>
        <v>0</v>
      </c>
      <c r="AJ285" s="107">
        <f t="shared" si="1470"/>
        <v>0</v>
      </c>
      <c r="AK285" s="204">
        <f t="shared" si="1471"/>
        <v>0</v>
      </c>
      <c r="AL285" s="103"/>
      <c r="AM285" s="103"/>
      <c r="AN285" s="103"/>
      <c r="AO285" s="103"/>
      <c r="AP285" s="103"/>
      <c r="AQ285" s="105"/>
      <c r="AR285" s="103"/>
      <c r="AS285" s="103"/>
      <c r="AT285" s="101"/>
      <c r="AU285" s="101"/>
      <c r="AV285" s="101"/>
      <c r="AW285" s="101"/>
      <c r="AX285" s="32">
        <f>운전실적_원본!W285</f>
        <v>0</v>
      </c>
      <c r="AY285" s="198">
        <f>운전실적_원본!X285</f>
        <v>0</v>
      </c>
      <c r="AZ285" s="198">
        <f>운전실적_원본!Y285</f>
        <v>0</v>
      </c>
      <c r="BA285" s="198">
        <f>운전실적_원본!Z285</f>
        <v>0</v>
      </c>
      <c r="BB285" s="198">
        <f>운전실적_원본!AA285</f>
        <v>0</v>
      </c>
      <c r="BC285" s="198">
        <f>운전실적_원본!AB285</f>
        <v>0</v>
      </c>
      <c r="BD285" s="32" t="str">
        <f t="shared" si="1454"/>
        <v>-</v>
      </c>
      <c r="BE285" s="11" t="str">
        <f t="shared" si="1462"/>
        <v>-</v>
      </c>
      <c r="BF285" s="11">
        <f>운전실적_원본!AE285</f>
        <v>0</v>
      </c>
      <c r="BG285" s="31">
        <f t="shared" si="1455"/>
        <v>0</v>
      </c>
    </row>
    <row r="286" spans="1:59">
      <c r="A286" s="6">
        <f t="shared" si="1463"/>
        <v>45938</v>
      </c>
      <c r="B286" s="15">
        <f>운전실적_원본!B286</f>
        <v>0.1</v>
      </c>
      <c r="C286" s="16">
        <f t="shared" si="1299"/>
        <v>0</v>
      </c>
      <c r="D286" s="9">
        <f>운전실적_원본!C286</f>
        <v>243350</v>
      </c>
      <c r="E286" s="199">
        <f t="shared" si="1300"/>
        <v>51</v>
      </c>
      <c r="F286" s="9">
        <f>운전실적_원본!D286</f>
        <v>236572</v>
      </c>
      <c r="G286" s="16">
        <f t="shared" si="1301"/>
        <v>52</v>
      </c>
      <c r="H286" s="15">
        <f>운전실적_원본!E286</f>
        <v>16620.5</v>
      </c>
      <c r="I286" s="16">
        <f t="shared" si="1302"/>
        <v>4.4599999999991269</v>
      </c>
      <c r="J286" s="15">
        <f>운전실적_원본!E286</f>
        <v>16620.5</v>
      </c>
      <c r="K286" s="16">
        <f t="shared" si="1302"/>
        <v>4.4599999999991269</v>
      </c>
      <c r="L286" s="15">
        <f>운전실적_원본!G286</f>
        <v>3954.4</v>
      </c>
      <c r="M286" s="31">
        <f t="shared" ref="M286" si="1582">IF(OR(LEN(L286)=0,L286=0),"",L286-L285)</f>
        <v>0.8000000000001819</v>
      </c>
      <c r="N286" s="15">
        <f>운전실적_원본!H286</f>
        <v>23898</v>
      </c>
      <c r="O286" s="16">
        <f t="shared" ref="O286" si="1583">IF(OR(LEN(N286)=0,N286=0),"",N286-N285)</f>
        <v>37</v>
      </c>
      <c r="P286" s="15">
        <f>운전실적_원본!I286</f>
        <v>3094</v>
      </c>
      <c r="Q286" s="16">
        <f t="shared" ref="Q286" si="1584">IF(OR(LEN(P286)=0,P286=0),"",P286-P285)</f>
        <v>153</v>
      </c>
      <c r="R286" s="18">
        <f>운전실적_원본!J286</f>
        <v>33.19</v>
      </c>
      <c r="S286" s="19">
        <f t="shared" ref="S286" si="1585">IF(OR(LEN(R286)=0,R286=0),"",R286-R285)</f>
        <v>-0.59000000000000341</v>
      </c>
      <c r="T286" s="18">
        <f>운전실적_원본!K286</f>
        <v>33.729999999999997</v>
      </c>
      <c r="U286" s="19">
        <f t="shared" si="1307"/>
        <v>0.52999999999999403</v>
      </c>
      <c r="V286" s="12">
        <f>운전실적_원본!L286</f>
        <v>8662</v>
      </c>
      <c r="W286" s="16">
        <f t="shared" ref="W286" si="1586">IF(OR(LEN(V286)=0,V286=0),"",V286-V285)</f>
        <v>231</v>
      </c>
      <c r="X286" s="10">
        <f>운전실적_원본!M286</f>
        <v>0</v>
      </c>
      <c r="Y286" s="10">
        <f>운전실적_원본!N286</f>
        <v>0</v>
      </c>
      <c r="Z286" s="10">
        <f>운전실적_원본!O286</f>
        <v>0</v>
      </c>
      <c r="AA286" s="10">
        <f>운전실적_원본!P286</f>
        <v>0</v>
      </c>
      <c r="AB286" s="10">
        <f>운전실적_원본!Q286</f>
        <v>0</v>
      </c>
      <c r="AC286" s="10">
        <f>운전실적_원본!R286</f>
        <v>0</v>
      </c>
      <c r="AD286" s="181">
        <f>운전실적_원본!S286</f>
        <v>0</v>
      </c>
      <c r="AE286" s="181">
        <f>운전실적_원본!T286</f>
        <v>0</v>
      </c>
      <c r="AF286" s="181">
        <f>운전실적_원본!U286</f>
        <v>0</v>
      </c>
      <c r="AG286" s="181">
        <f>운전실적_원본!V286</f>
        <v>0</v>
      </c>
      <c r="AH286" s="106">
        <f t="shared" si="1461"/>
        <v>0</v>
      </c>
      <c r="AI286" s="107">
        <f t="shared" si="1469"/>
        <v>0</v>
      </c>
      <c r="AJ286" s="107">
        <f t="shared" si="1470"/>
        <v>0</v>
      </c>
      <c r="AK286" s="204">
        <f t="shared" si="1471"/>
        <v>0</v>
      </c>
      <c r="AL286" s="103"/>
      <c r="AM286" s="103"/>
      <c r="AN286" s="103"/>
      <c r="AO286" s="103"/>
      <c r="AP286" s="103"/>
      <c r="AQ286" s="105"/>
      <c r="AR286" s="103"/>
      <c r="AS286" s="103"/>
      <c r="AT286" s="101"/>
      <c r="AU286" s="101"/>
      <c r="AV286" s="101"/>
      <c r="AW286" s="101"/>
      <c r="AX286" s="32">
        <f>운전실적_원본!W286</f>
        <v>0</v>
      </c>
      <c r="AY286" s="198">
        <f>운전실적_원본!X286</f>
        <v>0</v>
      </c>
      <c r="AZ286" s="198">
        <f>운전실적_원본!Y286</f>
        <v>0</v>
      </c>
      <c r="BA286" s="198">
        <f>운전실적_원본!Z286</f>
        <v>0</v>
      </c>
      <c r="BB286" s="198">
        <f>운전실적_원본!AA286</f>
        <v>0</v>
      </c>
      <c r="BC286" s="198">
        <f>운전실적_원본!AB286</f>
        <v>0</v>
      </c>
      <c r="BD286" s="32" t="str">
        <f t="shared" si="1454"/>
        <v>-</v>
      </c>
      <c r="BE286" s="11" t="str">
        <f t="shared" si="1462"/>
        <v>-</v>
      </c>
      <c r="BF286" s="11">
        <f>운전실적_원본!AE286</f>
        <v>0</v>
      </c>
      <c r="BG286" s="31">
        <f t="shared" si="1455"/>
        <v>0</v>
      </c>
    </row>
    <row r="287" spans="1:59">
      <c r="A287" s="6">
        <f t="shared" si="1463"/>
        <v>45939</v>
      </c>
      <c r="B287" s="15">
        <f>운전실적_원본!B287</f>
        <v>0.1</v>
      </c>
      <c r="C287" s="16">
        <f t="shared" si="1299"/>
        <v>0</v>
      </c>
      <c r="D287" s="9">
        <f>운전실적_원본!C287</f>
        <v>243350</v>
      </c>
      <c r="E287" s="199">
        <f t="shared" si="1300"/>
        <v>0</v>
      </c>
      <c r="F287" s="9">
        <f>운전실적_원본!D287</f>
        <v>236637</v>
      </c>
      <c r="G287" s="16">
        <f t="shared" si="1301"/>
        <v>65</v>
      </c>
      <c r="H287" s="15">
        <f>운전실적_원본!E287</f>
        <v>16622.669999999998</v>
      </c>
      <c r="I287" s="16">
        <f t="shared" si="1302"/>
        <v>2.1699999999982538</v>
      </c>
      <c r="J287" s="15">
        <f>운전실적_원본!E287</f>
        <v>16622.669999999998</v>
      </c>
      <c r="K287" s="16">
        <f t="shared" si="1302"/>
        <v>2.1699999999982538</v>
      </c>
      <c r="L287" s="15">
        <f>운전실적_원본!G287</f>
        <v>3955.3</v>
      </c>
      <c r="M287" s="31">
        <f t="shared" ref="M287" si="1587">IF(OR(LEN(L287)=0,L287=0),"",L287-L286)</f>
        <v>0.90000000000009095</v>
      </c>
      <c r="N287" s="15">
        <f>운전실적_원본!H287</f>
        <v>23932</v>
      </c>
      <c r="O287" s="16">
        <f t="shared" ref="O287" si="1588">IF(OR(LEN(N287)=0,N287=0),"",N287-N286)</f>
        <v>34</v>
      </c>
      <c r="P287" s="15">
        <f>운전실적_원본!I287</f>
        <v>3164</v>
      </c>
      <c r="Q287" s="16">
        <f t="shared" ref="Q287" si="1589">IF(OR(LEN(P287)=0,P287=0),"",P287-P286)</f>
        <v>70</v>
      </c>
      <c r="R287" s="18">
        <f>운전실적_원본!J287</f>
        <v>33.700000000000003</v>
      </c>
      <c r="S287" s="19">
        <f t="shared" ref="S287" si="1590">IF(OR(LEN(R287)=0,R287=0),"",R287-R286)</f>
        <v>0.51000000000000512</v>
      </c>
      <c r="T287" s="18">
        <f>운전실적_원본!K287</f>
        <v>33.159999999999997</v>
      </c>
      <c r="U287" s="19">
        <f t="shared" si="1307"/>
        <v>-0.57000000000000028</v>
      </c>
      <c r="V287" s="12">
        <f>운전실적_원본!L287</f>
        <v>8139</v>
      </c>
      <c r="W287" s="16">
        <f t="shared" ref="W287" si="1591">IF(OR(LEN(V287)=0,V287=0),"",V287-V286)</f>
        <v>-523</v>
      </c>
      <c r="X287" s="10">
        <f>운전실적_원본!M287</f>
        <v>0</v>
      </c>
      <c r="Y287" s="10">
        <f>운전실적_원본!N287</f>
        <v>0</v>
      </c>
      <c r="Z287" s="10">
        <f>운전실적_원본!O287</f>
        <v>0</v>
      </c>
      <c r="AA287" s="10">
        <f>운전실적_원본!P287</f>
        <v>0</v>
      </c>
      <c r="AB287" s="10">
        <f>운전실적_원본!Q287</f>
        <v>0</v>
      </c>
      <c r="AC287" s="10">
        <f>운전실적_원본!R287</f>
        <v>0</v>
      </c>
      <c r="AD287" s="181">
        <f>운전실적_원본!S287</f>
        <v>0</v>
      </c>
      <c r="AE287" s="181">
        <f>운전실적_원본!T287</f>
        <v>0</v>
      </c>
      <c r="AF287" s="181">
        <f>운전실적_원본!U287</f>
        <v>0</v>
      </c>
      <c r="AG287" s="181">
        <f>운전실적_원본!V287</f>
        <v>0</v>
      </c>
      <c r="AH287" s="106">
        <f t="shared" si="1461"/>
        <v>0</v>
      </c>
      <c r="AI287" s="107">
        <f t="shared" si="1469"/>
        <v>0</v>
      </c>
      <c r="AJ287" s="107">
        <f t="shared" si="1470"/>
        <v>0</v>
      </c>
      <c r="AK287" s="204">
        <f t="shared" si="1471"/>
        <v>0</v>
      </c>
      <c r="AL287" s="103"/>
      <c r="AM287" s="103"/>
      <c r="AN287" s="103"/>
      <c r="AO287" s="103"/>
      <c r="AP287" s="103"/>
      <c r="AQ287" s="105"/>
      <c r="AR287" s="103"/>
      <c r="AS287" s="103"/>
      <c r="AT287" s="101"/>
      <c r="AU287" s="101"/>
      <c r="AV287" s="101"/>
      <c r="AW287" s="101"/>
      <c r="AX287" s="32">
        <f>운전실적_원본!W287</f>
        <v>0</v>
      </c>
      <c r="AY287" s="198">
        <f>운전실적_원본!X287</f>
        <v>0</v>
      </c>
      <c r="AZ287" s="198">
        <f>운전실적_원본!Y287</f>
        <v>0</v>
      </c>
      <c r="BA287" s="198">
        <f>운전실적_원본!Z287</f>
        <v>0</v>
      </c>
      <c r="BB287" s="198">
        <f>운전실적_원본!AA287</f>
        <v>0</v>
      </c>
      <c r="BC287" s="198">
        <f>운전실적_원본!AB287</f>
        <v>0</v>
      </c>
      <c r="BD287" s="32" t="str">
        <f t="shared" si="1454"/>
        <v>-</v>
      </c>
      <c r="BE287" s="11" t="str">
        <f t="shared" si="1462"/>
        <v>-</v>
      </c>
      <c r="BF287" s="11">
        <f>운전실적_원본!AE287</f>
        <v>0</v>
      </c>
      <c r="BG287" s="31">
        <f t="shared" si="1455"/>
        <v>0</v>
      </c>
    </row>
    <row r="288" spans="1:59">
      <c r="A288" s="6">
        <f t="shared" si="1463"/>
        <v>45940</v>
      </c>
      <c r="B288" s="15">
        <f>운전실적_원본!B288</f>
        <v>0.1</v>
      </c>
      <c r="C288" s="16">
        <f t="shared" si="1299"/>
        <v>0</v>
      </c>
      <c r="D288" s="9">
        <f>운전실적_원본!C288</f>
        <v>243350</v>
      </c>
      <c r="E288" s="199">
        <f t="shared" si="1300"/>
        <v>0</v>
      </c>
      <c r="F288" s="9">
        <f>운전실적_원본!D288</f>
        <v>236655</v>
      </c>
      <c r="G288" s="16">
        <f t="shared" si="1301"/>
        <v>18</v>
      </c>
      <c r="H288" s="15">
        <f>운전실적_원본!E288</f>
        <v>16624.990000000002</v>
      </c>
      <c r="I288" s="16">
        <f t="shared" si="1302"/>
        <v>2.3200000000033469</v>
      </c>
      <c r="J288" s="15">
        <f>운전실적_원본!E288</f>
        <v>16624.990000000002</v>
      </c>
      <c r="K288" s="16">
        <f t="shared" si="1302"/>
        <v>2.3200000000033469</v>
      </c>
      <c r="L288" s="15">
        <f>운전실적_원본!G288</f>
        <v>3956.3</v>
      </c>
      <c r="M288" s="31">
        <f t="shared" ref="M288" si="1592">IF(OR(LEN(L288)=0,L288=0),"",L288-L287)</f>
        <v>1</v>
      </c>
      <c r="N288" s="15">
        <f>운전실적_원본!H288</f>
        <v>24129</v>
      </c>
      <c r="O288" s="16">
        <f t="shared" ref="O288" si="1593">IF(OR(LEN(N288)=0,N288=0),"",N288-N287)</f>
        <v>197</v>
      </c>
      <c r="P288" s="15">
        <f>운전실적_원본!I288</f>
        <v>3225</v>
      </c>
      <c r="Q288" s="16">
        <f t="shared" ref="Q288" si="1594">IF(OR(LEN(P288)=0,P288=0),"",P288-P287)</f>
        <v>61</v>
      </c>
      <c r="R288" s="18">
        <f>운전실적_원본!J288</f>
        <v>33.61</v>
      </c>
      <c r="S288" s="19">
        <f t="shared" ref="S288" si="1595">IF(OR(LEN(R288)=0,R288=0),"",R288-R287)</f>
        <v>-9.0000000000003411E-2</v>
      </c>
      <c r="T288" s="18">
        <f>운전실적_원본!K288</f>
        <v>33.17</v>
      </c>
      <c r="U288" s="19">
        <f t="shared" si="1307"/>
        <v>1.0000000000005116E-2</v>
      </c>
      <c r="V288" s="12">
        <f>운전실적_원본!L288</f>
        <v>8414</v>
      </c>
      <c r="W288" s="16">
        <f t="shared" ref="W288" si="1596">IF(OR(LEN(V288)=0,V288=0),"",V288-V287)</f>
        <v>275</v>
      </c>
      <c r="X288" s="10">
        <f>운전실적_원본!M288</f>
        <v>0</v>
      </c>
      <c r="Y288" s="10">
        <f>운전실적_원본!N288</f>
        <v>0</v>
      </c>
      <c r="Z288" s="10">
        <f>운전실적_원본!O288</f>
        <v>0</v>
      </c>
      <c r="AA288" s="10">
        <f>운전실적_원본!P288</f>
        <v>0</v>
      </c>
      <c r="AB288" s="10">
        <f>운전실적_원본!Q288</f>
        <v>0</v>
      </c>
      <c r="AC288" s="10">
        <f>운전실적_원본!R288</f>
        <v>0</v>
      </c>
      <c r="AD288" s="181">
        <f>운전실적_원본!S288</f>
        <v>0</v>
      </c>
      <c r="AE288" s="181">
        <f>운전실적_원본!T288</f>
        <v>0</v>
      </c>
      <c r="AF288" s="181">
        <f>운전실적_원본!U288</f>
        <v>0</v>
      </c>
      <c r="AG288" s="181">
        <f>운전실적_원본!V288</f>
        <v>0</v>
      </c>
      <c r="AH288" s="106">
        <f t="shared" si="1461"/>
        <v>0</v>
      </c>
      <c r="AI288" s="107">
        <f t="shared" si="1469"/>
        <v>0</v>
      </c>
      <c r="AJ288" s="107">
        <f t="shared" si="1470"/>
        <v>0</v>
      </c>
      <c r="AK288" s="204">
        <f t="shared" si="1471"/>
        <v>0</v>
      </c>
      <c r="AL288" s="103"/>
      <c r="AM288" s="103"/>
      <c r="AN288" s="103"/>
      <c r="AO288" s="103"/>
      <c r="AP288" s="103"/>
      <c r="AQ288" s="105"/>
      <c r="AR288" s="103"/>
      <c r="AS288" s="103"/>
      <c r="AT288" s="101"/>
      <c r="AU288" s="101"/>
      <c r="AV288" s="101"/>
      <c r="AW288" s="101"/>
      <c r="AX288" s="32">
        <f>운전실적_원본!W288</f>
        <v>0</v>
      </c>
      <c r="AY288" s="198">
        <f>운전실적_원본!X288</f>
        <v>0</v>
      </c>
      <c r="AZ288" s="198">
        <f>운전실적_원본!Y288</f>
        <v>0</v>
      </c>
      <c r="BA288" s="198">
        <f>운전실적_원본!Z288</f>
        <v>0</v>
      </c>
      <c r="BB288" s="198">
        <f>운전실적_원본!AA288</f>
        <v>0</v>
      </c>
      <c r="BC288" s="198">
        <f>운전실적_원본!AB288</f>
        <v>0</v>
      </c>
      <c r="BD288" s="32" t="str">
        <f t="shared" si="1454"/>
        <v>-</v>
      </c>
      <c r="BE288" s="11" t="str">
        <f t="shared" si="1462"/>
        <v>-</v>
      </c>
      <c r="BF288" s="11">
        <f>운전실적_원본!AE288</f>
        <v>0</v>
      </c>
      <c r="BG288" s="31">
        <f t="shared" si="1455"/>
        <v>0</v>
      </c>
    </row>
    <row r="289" spans="1:59">
      <c r="A289" s="6">
        <f t="shared" si="1463"/>
        <v>45941</v>
      </c>
      <c r="B289" s="15">
        <f>운전실적_원본!B289</f>
        <v>0.1</v>
      </c>
      <c r="C289" s="16">
        <f t="shared" si="1299"/>
        <v>0</v>
      </c>
      <c r="D289" s="9">
        <f>운전실적_원본!C289</f>
        <v>243350</v>
      </c>
      <c r="E289" s="199">
        <f t="shared" si="1300"/>
        <v>0</v>
      </c>
      <c r="F289" s="9">
        <f>운전실적_원본!D289</f>
        <v>236655</v>
      </c>
      <c r="G289" s="16">
        <f t="shared" si="1301"/>
        <v>0</v>
      </c>
      <c r="H289" s="15">
        <f>운전실적_원본!E289</f>
        <v>16628.349999999999</v>
      </c>
      <c r="I289" s="16">
        <f t="shared" si="1302"/>
        <v>3.3599999999969441</v>
      </c>
      <c r="J289" s="15">
        <f>운전실적_원본!E289</f>
        <v>16628.349999999999</v>
      </c>
      <c r="K289" s="16">
        <f t="shared" si="1302"/>
        <v>3.3599999999969441</v>
      </c>
      <c r="L289" s="15">
        <f>운전실적_원본!G289</f>
        <v>3956.7</v>
      </c>
      <c r="M289" s="31">
        <f t="shared" ref="M289" si="1597">IF(OR(LEN(L289)=0,L289=0),"",L289-L288)</f>
        <v>0.3999999999996362</v>
      </c>
      <c r="N289" s="15">
        <f>운전실적_원본!H289</f>
        <v>24129</v>
      </c>
      <c r="O289" s="16">
        <f t="shared" ref="O289" si="1598">IF(OR(LEN(N289)=0,N289=0),"",N289-N288)</f>
        <v>0</v>
      </c>
      <c r="P289" s="15">
        <f>운전실적_원본!I289</f>
        <v>3229</v>
      </c>
      <c r="Q289" s="16">
        <f t="shared" ref="Q289" si="1599">IF(OR(LEN(P289)=0,P289=0),"",P289-P288)</f>
        <v>4</v>
      </c>
      <c r="R289" s="18">
        <f>운전실적_원본!J289</f>
        <v>33.54</v>
      </c>
      <c r="S289" s="19">
        <f t="shared" ref="S289" si="1600">IF(OR(LEN(R289)=0,R289=0),"",R289-R288)</f>
        <v>-7.0000000000000284E-2</v>
      </c>
      <c r="T289" s="18">
        <f>운전실적_원본!K289</f>
        <v>33.119999999999997</v>
      </c>
      <c r="U289" s="19">
        <f t="shared" si="1307"/>
        <v>-5.0000000000004263E-2</v>
      </c>
      <c r="V289" s="12">
        <f>운전실적_원본!L289</f>
        <v>8094</v>
      </c>
      <c r="W289" s="16">
        <f t="shared" ref="W289" si="1601">IF(OR(LEN(V289)=0,V289=0),"",V289-V288)</f>
        <v>-320</v>
      </c>
      <c r="X289" s="10">
        <f>운전실적_원본!M289</f>
        <v>0</v>
      </c>
      <c r="Y289" s="10">
        <f>운전실적_원본!N289</f>
        <v>0</v>
      </c>
      <c r="Z289" s="10">
        <f>운전실적_원본!O289</f>
        <v>0</v>
      </c>
      <c r="AA289" s="10">
        <f>운전실적_원본!P289</f>
        <v>0</v>
      </c>
      <c r="AB289" s="10">
        <f>운전실적_원본!Q289</f>
        <v>0</v>
      </c>
      <c r="AC289" s="10">
        <f>운전실적_원본!R289</f>
        <v>0</v>
      </c>
      <c r="AD289" s="181">
        <f>운전실적_원본!S289</f>
        <v>0</v>
      </c>
      <c r="AE289" s="181">
        <f>운전실적_원본!T289</f>
        <v>0</v>
      </c>
      <c r="AF289" s="181">
        <f>운전실적_원본!U289</f>
        <v>0</v>
      </c>
      <c r="AG289" s="181">
        <f>운전실적_원본!V289</f>
        <v>0</v>
      </c>
      <c r="AH289" s="106">
        <f t="shared" si="1461"/>
        <v>0</v>
      </c>
      <c r="AI289" s="107">
        <f t="shared" si="1469"/>
        <v>0</v>
      </c>
      <c r="AJ289" s="107">
        <f t="shared" si="1470"/>
        <v>0</v>
      </c>
      <c r="AK289" s="204">
        <f t="shared" si="1471"/>
        <v>0</v>
      </c>
      <c r="AL289" s="103"/>
      <c r="AM289" s="103"/>
      <c r="AN289" s="103"/>
      <c r="AO289" s="103"/>
      <c r="AP289" s="103"/>
      <c r="AQ289" s="105"/>
      <c r="AR289" s="103"/>
      <c r="AS289" s="103"/>
      <c r="AT289" s="101"/>
      <c r="AU289" s="101"/>
      <c r="AV289" s="101"/>
      <c r="AW289" s="101"/>
      <c r="AX289" s="32">
        <f>운전실적_원본!W289</f>
        <v>0</v>
      </c>
      <c r="AY289" s="198">
        <f>운전실적_원본!X289</f>
        <v>0</v>
      </c>
      <c r="AZ289" s="198">
        <f>운전실적_원본!Y289</f>
        <v>0</v>
      </c>
      <c r="BA289" s="198">
        <f>운전실적_원본!Z289</f>
        <v>0</v>
      </c>
      <c r="BB289" s="198">
        <f>운전실적_원본!AA289</f>
        <v>0</v>
      </c>
      <c r="BC289" s="198">
        <f>운전실적_원본!AB289</f>
        <v>0</v>
      </c>
      <c r="BD289" s="32" t="str">
        <f t="shared" si="1454"/>
        <v>-</v>
      </c>
      <c r="BE289" s="11" t="str">
        <f t="shared" si="1462"/>
        <v>-</v>
      </c>
      <c r="BF289" s="11">
        <f>운전실적_원본!AE289</f>
        <v>0</v>
      </c>
      <c r="BG289" s="31">
        <f t="shared" si="1455"/>
        <v>0</v>
      </c>
    </row>
    <row r="290" spans="1:59">
      <c r="A290" s="6">
        <f t="shared" si="1463"/>
        <v>45942</v>
      </c>
      <c r="B290" s="15">
        <f>운전실적_원본!B290</f>
        <v>0.1</v>
      </c>
      <c r="C290" s="16">
        <f t="shared" si="1299"/>
        <v>0</v>
      </c>
      <c r="D290" s="9">
        <f>운전실적_원본!C290</f>
        <v>243350</v>
      </c>
      <c r="E290" s="199">
        <f t="shared" si="1300"/>
        <v>0</v>
      </c>
      <c r="F290" s="9">
        <f>운전실적_원본!D290</f>
        <v>236672</v>
      </c>
      <c r="G290" s="16">
        <f t="shared" si="1301"/>
        <v>17</v>
      </c>
      <c r="H290" s="15">
        <f>운전실적_원본!E290</f>
        <v>16630.27</v>
      </c>
      <c r="I290" s="16">
        <f t="shared" si="1302"/>
        <v>1.9200000000018917</v>
      </c>
      <c r="J290" s="15">
        <f>운전실적_원본!E290</f>
        <v>16630.27</v>
      </c>
      <c r="K290" s="16">
        <f t="shared" si="1302"/>
        <v>1.9200000000018917</v>
      </c>
      <c r="L290" s="15">
        <f>운전실적_원본!G290</f>
        <v>3957.2</v>
      </c>
      <c r="M290" s="31">
        <f t="shared" ref="M290" si="1602">IF(OR(LEN(L290)=0,L290=0),"",L290-L289)</f>
        <v>0.5</v>
      </c>
      <c r="N290" s="15">
        <f>운전실적_원본!H290</f>
        <v>24168</v>
      </c>
      <c r="O290" s="16">
        <f t="shared" ref="O290" si="1603">IF(OR(LEN(N290)=0,N290=0),"",N290-N289)</f>
        <v>39</v>
      </c>
      <c r="P290" s="15">
        <f>운전실적_원본!I290</f>
        <v>3246</v>
      </c>
      <c r="Q290" s="16">
        <f t="shared" ref="Q290" si="1604">IF(OR(LEN(P290)=0,P290=0),"",P290-P289)</f>
        <v>17</v>
      </c>
      <c r="R290" s="18">
        <f>운전실적_원본!J290</f>
        <v>33.47</v>
      </c>
      <c r="S290" s="19">
        <f t="shared" ref="S290" si="1605">IF(OR(LEN(R290)=0,R290=0),"",R290-R289)</f>
        <v>-7.0000000000000284E-2</v>
      </c>
      <c r="T290" s="18">
        <f>운전실적_원본!K290</f>
        <v>33.090000000000003</v>
      </c>
      <c r="U290" s="19">
        <f t="shared" si="1307"/>
        <v>-2.9999999999994031E-2</v>
      </c>
      <c r="V290" s="12">
        <f>운전실적_원본!L290</f>
        <v>8511</v>
      </c>
      <c r="W290" s="16">
        <f t="shared" ref="W290" si="1606">IF(OR(LEN(V290)=0,V290=0),"",V290-V289)</f>
        <v>417</v>
      </c>
      <c r="X290" s="10">
        <f>운전실적_원본!M290</f>
        <v>0</v>
      </c>
      <c r="Y290" s="10">
        <f>운전실적_원본!N290</f>
        <v>0</v>
      </c>
      <c r="Z290" s="10">
        <f>운전실적_원본!O290</f>
        <v>0</v>
      </c>
      <c r="AA290" s="10">
        <f>운전실적_원본!P290</f>
        <v>0</v>
      </c>
      <c r="AB290" s="10">
        <f>운전실적_원본!Q290</f>
        <v>0</v>
      </c>
      <c r="AC290" s="10">
        <f>운전실적_원본!R290</f>
        <v>0</v>
      </c>
      <c r="AD290" s="181">
        <f>운전실적_원본!S290</f>
        <v>0</v>
      </c>
      <c r="AE290" s="181">
        <f>운전실적_원본!T290</f>
        <v>0</v>
      </c>
      <c r="AF290" s="181">
        <f>운전실적_원본!U290</f>
        <v>0</v>
      </c>
      <c r="AG290" s="181">
        <f>운전실적_원본!V290</f>
        <v>0</v>
      </c>
      <c r="AH290" s="106">
        <f t="shared" si="1461"/>
        <v>0</v>
      </c>
      <c r="AI290" s="107">
        <f t="shared" si="1469"/>
        <v>0</v>
      </c>
      <c r="AJ290" s="107">
        <f t="shared" si="1470"/>
        <v>0</v>
      </c>
      <c r="AK290" s="204">
        <f t="shared" si="1471"/>
        <v>0</v>
      </c>
      <c r="AL290" s="103"/>
      <c r="AM290" s="103"/>
      <c r="AN290" s="103"/>
      <c r="AO290" s="103"/>
      <c r="AP290" s="103"/>
      <c r="AQ290" s="105"/>
      <c r="AR290" s="103"/>
      <c r="AS290" s="103"/>
      <c r="AT290" s="101"/>
      <c r="AU290" s="101"/>
      <c r="AV290" s="101"/>
      <c r="AW290" s="101"/>
      <c r="AX290" s="32">
        <f>운전실적_원본!W290</f>
        <v>0</v>
      </c>
      <c r="AY290" s="198">
        <f>운전실적_원본!X290</f>
        <v>0</v>
      </c>
      <c r="AZ290" s="198">
        <f>운전실적_원본!Y290</f>
        <v>0</v>
      </c>
      <c r="BA290" s="198">
        <f>운전실적_원본!Z290</f>
        <v>0</v>
      </c>
      <c r="BB290" s="198">
        <f>운전실적_원본!AA290</f>
        <v>0</v>
      </c>
      <c r="BC290" s="198">
        <f>운전실적_원본!AB290</f>
        <v>0</v>
      </c>
      <c r="BD290" s="32" t="str">
        <f t="shared" si="1454"/>
        <v>-</v>
      </c>
      <c r="BE290" s="11" t="str">
        <f t="shared" si="1462"/>
        <v>-</v>
      </c>
      <c r="BF290" s="11">
        <f>운전실적_원본!AE290</f>
        <v>0</v>
      </c>
      <c r="BG290" s="31">
        <f t="shared" si="1455"/>
        <v>0</v>
      </c>
    </row>
    <row r="291" spans="1:59">
      <c r="A291" s="6">
        <f t="shared" si="1463"/>
        <v>45943</v>
      </c>
      <c r="B291" s="15">
        <f>운전실적_원본!B291</f>
        <v>0.1</v>
      </c>
      <c r="C291" s="16">
        <f t="shared" si="1299"/>
        <v>0</v>
      </c>
      <c r="D291" s="9">
        <f>운전실적_원본!C291</f>
        <v>243435</v>
      </c>
      <c r="E291" s="199">
        <f t="shared" si="1300"/>
        <v>85</v>
      </c>
      <c r="F291" s="9">
        <f>운전실적_원본!D291</f>
        <v>236672</v>
      </c>
      <c r="G291" s="16">
        <f t="shared" si="1301"/>
        <v>0</v>
      </c>
      <c r="H291" s="15">
        <f>운전실적_원본!E291</f>
        <v>16635.12</v>
      </c>
      <c r="I291" s="16">
        <f t="shared" si="1302"/>
        <v>4.8499999999985448</v>
      </c>
      <c r="J291" s="15">
        <f>운전실적_원본!E291</f>
        <v>16635.12</v>
      </c>
      <c r="K291" s="16">
        <f t="shared" si="1302"/>
        <v>4.8499999999985448</v>
      </c>
      <c r="L291" s="15">
        <f>운전실적_원본!G291</f>
        <v>3958</v>
      </c>
      <c r="M291" s="31">
        <f t="shared" ref="M291" si="1607">IF(OR(LEN(L291)=0,L291=0),"",L291-L290)</f>
        <v>0.8000000000001819</v>
      </c>
      <c r="N291" s="15">
        <f>운전실적_원본!H291</f>
        <v>24224</v>
      </c>
      <c r="O291" s="16">
        <f t="shared" ref="O291" si="1608">IF(OR(LEN(N291)=0,N291=0),"",N291-N290)</f>
        <v>56</v>
      </c>
      <c r="P291" s="15">
        <f>운전실적_원본!I291</f>
        <v>3396</v>
      </c>
      <c r="Q291" s="16">
        <f t="shared" ref="Q291" si="1609">IF(OR(LEN(P291)=0,P291=0),"",P291-P290)</f>
        <v>150</v>
      </c>
      <c r="R291" s="18">
        <f>운전실적_원본!J291</f>
        <v>33.299999999999997</v>
      </c>
      <c r="S291" s="19">
        <f t="shared" ref="S291" si="1610">IF(OR(LEN(R291)=0,R291=0),"",R291-R290)</f>
        <v>-0.17000000000000171</v>
      </c>
      <c r="T291" s="18">
        <f>운전실적_원본!K291</f>
        <v>33.090000000000003</v>
      </c>
      <c r="U291" s="19">
        <f t="shared" si="1307"/>
        <v>0</v>
      </c>
      <c r="V291" s="12">
        <f>운전실적_원본!L291</f>
        <v>7660</v>
      </c>
      <c r="W291" s="16">
        <f t="shared" ref="W291" si="1611">IF(OR(LEN(V291)=0,V291=0),"",V291-V290)</f>
        <v>-851</v>
      </c>
      <c r="X291" s="10">
        <f>운전실적_원본!M291</f>
        <v>0</v>
      </c>
      <c r="Y291" s="10">
        <f>운전실적_원본!N291</f>
        <v>0</v>
      </c>
      <c r="Z291" s="10">
        <f>운전실적_원본!O291</f>
        <v>0</v>
      </c>
      <c r="AA291" s="10">
        <f>운전실적_원본!P291</f>
        <v>0</v>
      </c>
      <c r="AB291" s="10">
        <f>운전실적_원본!Q291</f>
        <v>0</v>
      </c>
      <c r="AC291" s="10">
        <f>운전실적_원본!R291</f>
        <v>0</v>
      </c>
      <c r="AD291" s="181">
        <f>운전실적_원본!S291</f>
        <v>0</v>
      </c>
      <c r="AE291" s="181">
        <f>운전실적_원본!T291</f>
        <v>0</v>
      </c>
      <c r="AF291" s="181">
        <f>운전실적_원본!U291</f>
        <v>0</v>
      </c>
      <c r="AG291" s="181">
        <f>운전실적_원본!V291</f>
        <v>0</v>
      </c>
      <c r="AH291" s="106">
        <f t="shared" si="1461"/>
        <v>0</v>
      </c>
      <c r="AI291" s="107">
        <f t="shared" si="1469"/>
        <v>0</v>
      </c>
      <c r="AJ291" s="107">
        <f t="shared" si="1470"/>
        <v>0</v>
      </c>
      <c r="AK291" s="204">
        <f t="shared" si="1471"/>
        <v>0</v>
      </c>
      <c r="AL291" s="103"/>
      <c r="AM291" s="103"/>
      <c r="AN291" s="103"/>
      <c r="AO291" s="103"/>
      <c r="AP291" s="103"/>
      <c r="AQ291" s="105"/>
      <c r="AR291" s="103"/>
      <c r="AS291" s="103"/>
      <c r="AT291" s="101"/>
      <c r="AU291" s="101"/>
      <c r="AV291" s="101"/>
      <c r="AW291" s="101"/>
      <c r="AX291" s="32">
        <f>운전실적_원본!W291</f>
        <v>0</v>
      </c>
      <c r="AY291" s="198">
        <f>운전실적_원본!X291</f>
        <v>0</v>
      </c>
      <c r="AZ291" s="198">
        <f>운전실적_원본!Y291</f>
        <v>0</v>
      </c>
      <c r="BA291" s="198">
        <f>운전실적_원본!Z291</f>
        <v>0</v>
      </c>
      <c r="BB291" s="198">
        <f>운전실적_원본!AA291</f>
        <v>0</v>
      </c>
      <c r="BC291" s="198">
        <f>운전실적_원본!AB291</f>
        <v>0</v>
      </c>
      <c r="BD291" s="32" t="str">
        <f t="shared" si="1454"/>
        <v>-</v>
      </c>
      <c r="BE291" s="11" t="str">
        <f t="shared" si="1462"/>
        <v>-</v>
      </c>
      <c r="BF291" s="11">
        <f>운전실적_원본!AE291</f>
        <v>0</v>
      </c>
      <c r="BG291" s="31">
        <f t="shared" si="1455"/>
        <v>0</v>
      </c>
    </row>
    <row r="292" spans="1:59">
      <c r="A292" s="6">
        <f t="shared" si="1463"/>
        <v>45944</v>
      </c>
      <c r="B292" s="15">
        <f>운전실적_원본!B292</f>
        <v>0.1</v>
      </c>
      <c r="C292" s="16">
        <f t="shared" si="1299"/>
        <v>0</v>
      </c>
      <c r="D292" s="9">
        <f>운전실적_원본!C292</f>
        <v>243507</v>
      </c>
      <c r="E292" s="199">
        <f t="shared" si="1300"/>
        <v>72</v>
      </c>
      <c r="F292" s="9">
        <f>운전실적_원본!D292</f>
        <v>236710</v>
      </c>
      <c r="G292" s="16">
        <f t="shared" si="1301"/>
        <v>38</v>
      </c>
      <c r="H292" s="15">
        <f>운전실적_원본!E292</f>
        <v>16640.759999999998</v>
      </c>
      <c r="I292" s="16">
        <f t="shared" si="1302"/>
        <v>5.6399999999994179</v>
      </c>
      <c r="J292" s="15">
        <f>운전실적_원본!E292</f>
        <v>16640.759999999998</v>
      </c>
      <c r="K292" s="16">
        <f t="shared" si="1302"/>
        <v>5.6399999999994179</v>
      </c>
      <c r="L292" s="15">
        <f>운전실적_원본!G292</f>
        <v>3959</v>
      </c>
      <c r="M292" s="31">
        <f t="shared" ref="M292" si="1612">IF(OR(LEN(L292)=0,L292=0),"",L292-L291)</f>
        <v>1</v>
      </c>
      <c r="N292" s="15">
        <f>운전실적_원본!H292</f>
        <v>24359</v>
      </c>
      <c r="O292" s="16">
        <f t="shared" ref="O292" si="1613">IF(OR(LEN(N292)=0,N292=0),"",N292-N291)</f>
        <v>135</v>
      </c>
      <c r="P292" s="15">
        <f>운전실적_원본!I292</f>
        <v>3504</v>
      </c>
      <c r="Q292" s="16">
        <f t="shared" ref="Q292" si="1614">IF(OR(LEN(P292)=0,P292=0),"",P292-P291)</f>
        <v>108</v>
      </c>
      <c r="R292" s="18">
        <f>운전실적_원본!J292</f>
        <v>33.18</v>
      </c>
      <c r="S292" s="19">
        <f t="shared" ref="S292" si="1615">IF(OR(LEN(R292)=0,R292=0),"",R292-R291)</f>
        <v>-0.11999999999999744</v>
      </c>
      <c r="T292" s="18">
        <f>운전실적_원본!K292</f>
        <v>33.049999999999997</v>
      </c>
      <c r="U292" s="19">
        <f t="shared" si="1307"/>
        <v>-4.0000000000006253E-2</v>
      </c>
      <c r="V292" s="12">
        <f>운전실적_원본!L292</f>
        <v>8620</v>
      </c>
      <c r="W292" s="16">
        <f t="shared" ref="W292" si="1616">IF(OR(LEN(V292)=0,V292=0),"",V292-V291)</f>
        <v>960</v>
      </c>
      <c r="X292" s="10">
        <f>운전실적_원본!M292</f>
        <v>0</v>
      </c>
      <c r="Y292" s="10">
        <f>운전실적_원본!N292</f>
        <v>0</v>
      </c>
      <c r="Z292" s="10">
        <f>운전실적_원본!O292</f>
        <v>0</v>
      </c>
      <c r="AA292" s="10">
        <f>운전실적_원본!P292</f>
        <v>0</v>
      </c>
      <c r="AB292" s="10">
        <f>운전실적_원본!Q292</f>
        <v>0</v>
      </c>
      <c r="AC292" s="10">
        <f>운전실적_원본!R292</f>
        <v>0</v>
      </c>
      <c r="AD292" s="181">
        <f>운전실적_원본!S292</f>
        <v>0</v>
      </c>
      <c r="AE292" s="181">
        <f>운전실적_원본!T292</f>
        <v>0</v>
      </c>
      <c r="AF292" s="181">
        <f>운전실적_원본!U292</f>
        <v>0</v>
      </c>
      <c r="AG292" s="181">
        <f>운전실적_원본!V292</f>
        <v>0</v>
      </c>
      <c r="AH292" s="106">
        <f t="shared" si="1461"/>
        <v>0</v>
      </c>
      <c r="AI292" s="107">
        <f t="shared" si="1469"/>
        <v>0</v>
      </c>
      <c r="AJ292" s="107">
        <f t="shared" si="1470"/>
        <v>0</v>
      </c>
      <c r="AK292" s="204">
        <f t="shared" si="1471"/>
        <v>0</v>
      </c>
      <c r="AL292" s="103"/>
      <c r="AM292" s="103"/>
      <c r="AN292" s="103"/>
      <c r="AO292" s="103"/>
      <c r="AP292" s="103"/>
      <c r="AQ292" s="105"/>
      <c r="AR292" s="103"/>
      <c r="AS292" s="103"/>
      <c r="AT292" s="101"/>
      <c r="AU292" s="101"/>
      <c r="AV292" s="101"/>
      <c r="AW292" s="101"/>
      <c r="AX292" s="32">
        <f>운전실적_원본!W292</f>
        <v>0</v>
      </c>
      <c r="AY292" s="198">
        <f>운전실적_원본!X292</f>
        <v>0</v>
      </c>
      <c r="AZ292" s="198">
        <f>운전실적_원본!Y292</f>
        <v>0</v>
      </c>
      <c r="BA292" s="198">
        <f>운전실적_원본!Z292</f>
        <v>0</v>
      </c>
      <c r="BB292" s="198">
        <f>운전실적_원본!AA292</f>
        <v>0</v>
      </c>
      <c r="BC292" s="198">
        <f>운전실적_원본!AB292</f>
        <v>0</v>
      </c>
      <c r="BD292" s="32" t="str">
        <f t="shared" si="1454"/>
        <v>-</v>
      </c>
      <c r="BE292" s="11" t="str">
        <f t="shared" si="1462"/>
        <v>-</v>
      </c>
      <c r="BF292" s="11">
        <f>운전실적_원본!AE292</f>
        <v>0</v>
      </c>
      <c r="BG292" s="31">
        <f t="shared" si="1455"/>
        <v>0</v>
      </c>
    </row>
    <row r="293" spans="1:59">
      <c r="A293" s="6">
        <f t="shared" si="1463"/>
        <v>45945</v>
      </c>
      <c r="B293" s="15">
        <f>운전실적_원본!B293</f>
        <v>0.1</v>
      </c>
      <c r="C293" s="16">
        <f t="shared" si="1299"/>
        <v>0</v>
      </c>
      <c r="D293" s="9">
        <f>운전실적_원본!C293</f>
        <v>243523</v>
      </c>
      <c r="E293" s="199">
        <f t="shared" si="1300"/>
        <v>16</v>
      </c>
      <c r="F293" s="9">
        <f>운전실적_원본!D293</f>
        <v>236817</v>
      </c>
      <c r="G293" s="16">
        <f t="shared" si="1301"/>
        <v>107</v>
      </c>
      <c r="H293" s="15">
        <f>운전실적_원본!E293</f>
        <v>16645.919999999998</v>
      </c>
      <c r="I293" s="16">
        <f t="shared" si="1302"/>
        <v>5.1599999999998545</v>
      </c>
      <c r="J293" s="15">
        <f>운전실적_원본!E293</f>
        <v>16645.919999999998</v>
      </c>
      <c r="K293" s="16">
        <f t="shared" si="1302"/>
        <v>5.1599999999998545</v>
      </c>
      <c r="L293" s="15">
        <f>운전실적_원본!G293</f>
        <v>3960.2</v>
      </c>
      <c r="M293" s="31">
        <f t="shared" ref="M293" si="1617">IF(OR(LEN(L293)=0,L293=0),"",L293-L292)</f>
        <v>1.1999999999998181</v>
      </c>
      <c r="N293" s="15">
        <f>운전실적_원본!H293</f>
        <v>24575</v>
      </c>
      <c r="O293" s="16">
        <f t="shared" ref="O293" si="1618">IF(OR(LEN(N293)=0,N293=0),"",N293-N292)</f>
        <v>216</v>
      </c>
      <c r="P293" s="15">
        <f>운전실적_원본!I293</f>
        <v>3631</v>
      </c>
      <c r="Q293" s="16">
        <f t="shared" ref="Q293" si="1619">IF(OR(LEN(P293)=0,P293=0),"",P293-P292)</f>
        <v>127</v>
      </c>
      <c r="R293" s="18">
        <f>운전실적_원본!J293</f>
        <v>33.200000000000003</v>
      </c>
      <c r="S293" s="19">
        <f t="shared" ref="S293" si="1620">IF(OR(LEN(R293)=0,R293=0),"",R293-R292)</f>
        <v>2.0000000000003126E-2</v>
      </c>
      <c r="T293" s="18">
        <f>운전실적_원본!K293</f>
        <v>33</v>
      </c>
      <c r="U293" s="19">
        <f t="shared" si="1307"/>
        <v>-4.9999999999997158E-2</v>
      </c>
      <c r="V293" s="12">
        <f>운전실적_원본!L293</f>
        <v>8590</v>
      </c>
      <c r="W293" s="16">
        <f t="shared" ref="W293" si="1621">IF(OR(LEN(V293)=0,V293=0),"",V293-V292)</f>
        <v>-30</v>
      </c>
      <c r="X293" s="10">
        <f>운전실적_원본!M293</f>
        <v>0</v>
      </c>
      <c r="Y293" s="10">
        <f>운전실적_원본!N293</f>
        <v>0</v>
      </c>
      <c r="Z293" s="10">
        <f>운전실적_원본!O293</f>
        <v>0</v>
      </c>
      <c r="AA293" s="10">
        <f>운전실적_원본!P293</f>
        <v>0</v>
      </c>
      <c r="AB293" s="10">
        <f>운전실적_원본!Q293</f>
        <v>0</v>
      </c>
      <c r="AC293" s="10">
        <f>운전실적_원본!R293</f>
        <v>0</v>
      </c>
      <c r="AD293" s="181">
        <f>운전실적_원본!S293</f>
        <v>0</v>
      </c>
      <c r="AE293" s="181">
        <f>운전실적_원본!T293</f>
        <v>0</v>
      </c>
      <c r="AF293" s="181">
        <f>운전실적_원본!U293</f>
        <v>0</v>
      </c>
      <c r="AG293" s="181">
        <f>운전실적_원본!V293</f>
        <v>0</v>
      </c>
      <c r="AH293" s="106">
        <f t="shared" si="1461"/>
        <v>0</v>
      </c>
      <c r="AI293" s="107">
        <f t="shared" si="1469"/>
        <v>0</v>
      </c>
      <c r="AJ293" s="107">
        <f t="shared" si="1470"/>
        <v>0</v>
      </c>
      <c r="AK293" s="204">
        <f t="shared" si="1471"/>
        <v>0</v>
      </c>
      <c r="AL293" s="103"/>
      <c r="AM293" s="103"/>
      <c r="AN293" s="103"/>
      <c r="AO293" s="103"/>
      <c r="AP293" s="103"/>
      <c r="AQ293" s="105"/>
      <c r="AR293" s="103"/>
      <c r="AS293" s="103"/>
      <c r="AT293" s="101"/>
      <c r="AU293" s="101"/>
      <c r="AV293" s="101"/>
      <c r="AW293" s="101"/>
      <c r="AX293" s="32">
        <f>운전실적_원본!W293</f>
        <v>0</v>
      </c>
      <c r="AY293" s="198">
        <f>운전실적_원본!X293</f>
        <v>0</v>
      </c>
      <c r="AZ293" s="198">
        <f>운전실적_원본!Y293</f>
        <v>0</v>
      </c>
      <c r="BA293" s="198">
        <f>운전실적_원본!Z293</f>
        <v>0</v>
      </c>
      <c r="BB293" s="198">
        <f>운전실적_원본!AA293</f>
        <v>0</v>
      </c>
      <c r="BC293" s="198">
        <f>운전실적_원본!AB293</f>
        <v>0</v>
      </c>
      <c r="BD293" s="32" t="str">
        <f t="shared" si="1454"/>
        <v>-</v>
      </c>
      <c r="BE293" s="11" t="str">
        <f t="shared" si="1462"/>
        <v>-</v>
      </c>
      <c r="BF293" s="11">
        <f>운전실적_원본!AE293</f>
        <v>0</v>
      </c>
      <c r="BG293" s="31">
        <f t="shared" si="1455"/>
        <v>0</v>
      </c>
    </row>
    <row r="294" spans="1:59">
      <c r="A294" s="6">
        <f t="shared" si="1463"/>
        <v>45946</v>
      </c>
      <c r="B294" s="15">
        <f>운전실적_원본!B294</f>
        <v>0.1</v>
      </c>
      <c r="C294" s="16">
        <f t="shared" si="1299"/>
        <v>0</v>
      </c>
      <c r="D294" s="9">
        <f>운전실적_원본!C294</f>
        <v>243599</v>
      </c>
      <c r="E294" s="199">
        <f t="shared" si="1300"/>
        <v>76</v>
      </c>
      <c r="F294" s="9">
        <f>운전실적_원본!D294</f>
        <v>236817</v>
      </c>
      <c r="G294" s="16">
        <f t="shared" si="1301"/>
        <v>0</v>
      </c>
      <c r="H294" s="15">
        <f>운전실적_원본!E294</f>
        <v>16650.490000000002</v>
      </c>
      <c r="I294" s="16">
        <f t="shared" si="1302"/>
        <v>4.5700000000033469</v>
      </c>
      <c r="J294" s="15">
        <f>운전실적_원본!E294</f>
        <v>16650.490000000002</v>
      </c>
      <c r="K294" s="16">
        <f t="shared" si="1302"/>
        <v>4.5700000000033469</v>
      </c>
      <c r="L294" s="15">
        <f>운전실적_원본!G294</f>
        <v>3961.1</v>
      </c>
      <c r="M294" s="31">
        <f t="shared" ref="M294" si="1622">IF(OR(LEN(L294)=0,L294=0),"",L294-L293)</f>
        <v>0.90000000000009095</v>
      </c>
      <c r="N294" s="15">
        <f>운전실적_원본!H294</f>
        <v>24692</v>
      </c>
      <c r="O294" s="16">
        <f t="shared" ref="O294" si="1623">IF(OR(LEN(N294)=0,N294=0),"",N294-N293)</f>
        <v>117</v>
      </c>
      <c r="P294" s="15">
        <f>운전실적_원본!I294</f>
        <v>3726</v>
      </c>
      <c r="Q294" s="16">
        <f t="shared" ref="Q294" si="1624">IF(OR(LEN(P294)=0,P294=0),"",P294-P293)</f>
        <v>95</v>
      </c>
      <c r="R294" s="18">
        <f>운전실적_원본!J294</f>
        <v>33.24</v>
      </c>
      <c r="S294" s="19">
        <f t="shared" ref="S294" si="1625">IF(OR(LEN(R294)=0,R294=0),"",R294-R293)</f>
        <v>3.9999999999999147E-2</v>
      </c>
      <c r="T294" s="18">
        <f>운전실적_원본!K294</f>
        <v>32.979999999999997</v>
      </c>
      <c r="U294" s="19">
        <f t="shared" si="1307"/>
        <v>-2.0000000000003126E-2</v>
      </c>
      <c r="V294" s="12">
        <f>운전실적_원본!L294</f>
        <v>8661</v>
      </c>
      <c r="W294" s="16">
        <f t="shared" ref="W294" si="1626">IF(OR(LEN(V294)=0,V294=0),"",V294-V293)</f>
        <v>71</v>
      </c>
      <c r="X294" s="10">
        <f>운전실적_원본!M294</f>
        <v>0</v>
      </c>
      <c r="Y294" s="10">
        <f>운전실적_원본!N294</f>
        <v>0</v>
      </c>
      <c r="Z294" s="10">
        <f>운전실적_원본!O294</f>
        <v>0</v>
      </c>
      <c r="AA294" s="10">
        <f>운전실적_원본!P294</f>
        <v>0</v>
      </c>
      <c r="AB294" s="10">
        <f>운전실적_원본!Q294</f>
        <v>0</v>
      </c>
      <c r="AC294" s="10">
        <f>운전실적_원본!R294</f>
        <v>0</v>
      </c>
      <c r="AD294" s="181">
        <f>운전실적_원본!S294</f>
        <v>0</v>
      </c>
      <c r="AE294" s="181">
        <f>운전실적_원본!T294</f>
        <v>0</v>
      </c>
      <c r="AF294" s="181">
        <f>운전실적_원본!U294</f>
        <v>0</v>
      </c>
      <c r="AG294" s="181">
        <f>운전실적_원본!V294</f>
        <v>0</v>
      </c>
      <c r="AH294" s="106">
        <f t="shared" si="1461"/>
        <v>0</v>
      </c>
      <c r="AI294" s="107">
        <f t="shared" si="1469"/>
        <v>0</v>
      </c>
      <c r="AJ294" s="107">
        <f t="shared" si="1470"/>
        <v>0</v>
      </c>
      <c r="AK294" s="204">
        <f t="shared" si="1471"/>
        <v>0</v>
      </c>
      <c r="AL294" s="103"/>
      <c r="AM294" s="103"/>
      <c r="AN294" s="103"/>
      <c r="AO294" s="103"/>
      <c r="AP294" s="103"/>
      <c r="AQ294" s="105"/>
      <c r="AR294" s="103"/>
      <c r="AS294" s="103"/>
      <c r="AT294" s="101"/>
      <c r="AU294" s="101"/>
      <c r="AV294" s="101"/>
      <c r="AW294" s="101"/>
      <c r="AX294" s="32">
        <f>운전실적_원본!W294</f>
        <v>0</v>
      </c>
      <c r="AY294" s="198">
        <f>운전실적_원본!X294</f>
        <v>0</v>
      </c>
      <c r="AZ294" s="198">
        <f>운전실적_원본!Y294</f>
        <v>0</v>
      </c>
      <c r="BA294" s="198">
        <f>운전실적_원본!Z294</f>
        <v>0</v>
      </c>
      <c r="BB294" s="198">
        <f>운전실적_원본!AA294</f>
        <v>0</v>
      </c>
      <c r="BC294" s="198">
        <f>운전실적_원본!AB294</f>
        <v>0</v>
      </c>
      <c r="BD294" s="32" t="str">
        <f t="shared" si="1454"/>
        <v>-</v>
      </c>
      <c r="BE294" s="11" t="str">
        <f t="shared" si="1462"/>
        <v>-</v>
      </c>
      <c r="BF294" s="11">
        <f>운전실적_원본!AE294</f>
        <v>0</v>
      </c>
      <c r="BG294" s="31">
        <f t="shared" si="1455"/>
        <v>0</v>
      </c>
    </row>
    <row r="295" spans="1:59">
      <c r="A295" s="6">
        <f t="shared" si="1463"/>
        <v>45947</v>
      </c>
      <c r="B295" s="15">
        <f>운전실적_원본!B295</f>
        <v>0.1</v>
      </c>
      <c r="C295" s="16">
        <f t="shared" si="1299"/>
        <v>0</v>
      </c>
      <c r="D295" s="9">
        <f>운전실적_원본!C295</f>
        <v>243681</v>
      </c>
      <c r="E295" s="199">
        <f t="shared" si="1300"/>
        <v>82</v>
      </c>
      <c r="F295" s="9">
        <f>운전실적_원본!D295</f>
        <v>236838</v>
      </c>
      <c r="G295" s="16">
        <f t="shared" si="1301"/>
        <v>21</v>
      </c>
      <c r="H295" s="15">
        <f>운전실적_원본!E295</f>
        <v>16656.03</v>
      </c>
      <c r="I295" s="16">
        <f t="shared" si="1302"/>
        <v>5.5399999999972351</v>
      </c>
      <c r="J295" s="15">
        <f>운전실적_원본!E295</f>
        <v>16656.03</v>
      </c>
      <c r="K295" s="16">
        <f t="shared" si="1302"/>
        <v>5.5399999999972351</v>
      </c>
      <c r="L295" s="15">
        <f>운전실적_원본!G295</f>
        <v>3962</v>
      </c>
      <c r="M295" s="31">
        <f t="shared" ref="M295" si="1627">IF(OR(LEN(L295)=0,L295=0),"",L295-L294)</f>
        <v>0.90000000000009095</v>
      </c>
      <c r="N295" s="15">
        <f>운전실적_원본!H295</f>
        <v>24803</v>
      </c>
      <c r="O295" s="16">
        <f t="shared" ref="O295" si="1628">IF(OR(LEN(N295)=0,N295=0),"",N295-N294)</f>
        <v>111</v>
      </c>
      <c r="P295" s="15">
        <f>운전실적_원본!I295</f>
        <v>3833</v>
      </c>
      <c r="Q295" s="16">
        <f t="shared" ref="Q295" si="1629">IF(OR(LEN(P295)=0,P295=0),"",P295-P294)</f>
        <v>107</v>
      </c>
      <c r="R295" s="18">
        <f>운전실적_원본!J295</f>
        <v>33.19</v>
      </c>
      <c r="S295" s="19">
        <f t="shared" ref="S295" si="1630">IF(OR(LEN(R295)=0,R295=0),"",R295-R294)</f>
        <v>-5.0000000000004263E-2</v>
      </c>
      <c r="T295" s="18">
        <f>운전실적_원본!K295</f>
        <v>32.979999999999997</v>
      </c>
      <c r="U295" s="19">
        <f t="shared" si="1307"/>
        <v>0</v>
      </c>
      <c r="V295" s="12">
        <f>운전실적_원본!L295</f>
        <v>7792</v>
      </c>
      <c r="W295" s="16">
        <f t="shared" ref="W295" si="1631">IF(OR(LEN(V295)=0,V295=0),"",V295-V294)</f>
        <v>-869</v>
      </c>
      <c r="X295" s="10">
        <f>운전실적_원본!M295</f>
        <v>0</v>
      </c>
      <c r="Y295" s="10">
        <f>운전실적_원본!N295</f>
        <v>0</v>
      </c>
      <c r="Z295" s="10">
        <f>운전실적_원본!O295</f>
        <v>0</v>
      </c>
      <c r="AA295" s="10">
        <f>운전실적_원본!P295</f>
        <v>0</v>
      </c>
      <c r="AB295" s="10">
        <f>운전실적_원본!Q295</f>
        <v>0</v>
      </c>
      <c r="AC295" s="10">
        <f>운전실적_원본!R295</f>
        <v>0</v>
      </c>
      <c r="AD295" s="181">
        <f>운전실적_원본!S295</f>
        <v>0</v>
      </c>
      <c r="AE295" s="181">
        <f>운전실적_원본!T295</f>
        <v>0</v>
      </c>
      <c r="AF295" s="181">
        <f>운전실적_원본!U295</f>
        <v>0</v>
      </c>
      <c r="AG295" s="181">
        <f>운전실적_원본!V295</f>
        <v>0</v>
      </c>
      <c r="AH295" s="106">
        <f t="shared" si="1461"/>
        <v>0</v>
      </c>
      <c r="AI295" s="107">
        <f t="shared" si="1469"/>
        <v>0</v>
      </c>
      <c r="AJ295" s="107">
        <f t="shared" si="1470"/>
        <v>0</v>
      </c>
      <c r="AK295" s="204">
        <f t="shared" si="1471"/>
        <v>0</v>
      </c>
      <c r="AL295" s="103"/>
      <c r="AM295" s="103"/>
      <c r="AN295" s="103"/>
      <c r="AO295" s="103"/>
      <c r="AP295" s="103"/>
      <c r="AQ295" s="105"/>
      <c r="AR295" s="103"/>
      <c r="AS295" s="103"/>
      <c r="AT295" s="101"/>
      <c r="AU295" s="101"/>
      <c r="AV295" s="101"/>
      <c r="AW295" s="101"/>
      <c r="AX295" s="32">
        <f>운전실적_원본!W295</f>
        <v>0</v>
      </c>
      <c r="AY295" s="198">
        <f>운전실적_원본!X295</f>
        <v>0</v>
      </c>
      <c r="AZ295" s="198">
        <f>운전실적_원본!Y295</f>
        <v>0</v>
      </c>
      <c r="BA295" s="198">
        <f>운전실적_원본!Z295</f>
        <v>0</v>
      </c>
      <c r="BB295" s="198">
        <f>운전실적_원본!AA295</f>
        <v>0</v>
      </c>
      <c r="BC295" s="198">
        <f>운전실적_원본!AB295</f>
        <v>0</v>
      </c>
      <c r="BD295" s="32" t="str">
        <f t="shared" si="1454"/>
        <v>-</v>
      </c>
      <c r="BE295" s="11" t="str">
        <f t="shared" si="1462"/>
        <v>-</v>
      </c>
      <c r="BF295" s="11">
        <f>운전실적_원본!AE295</f>
        <v>0</v>
      </c>
      <c r="BG295" s="31">
        <f t="shared" si="1455"/>
        <v>0</v>
      </c>
    </row>
    <row r="296" spans="1:59">
      <c r="A296" s="6">
        <f t="shared" si="1463"/>
        <v>45948</v>
      </c>
      <c r="B296" s="15">
        <f>운전실적_원본!B296</f>
        <v>0.1</v>
      </c>
      <c r="C296" s="16">
        <f t="shared" ref="C296:C359" si="1632">IF(OR(LEN(B296)=0,B296=0),"",B296-B295)</f>
        <v>0</v>
      </c>
      <c r="D296" s="9">
        <f>운전실적_원본!C296</f>
        <v>243681</v>
      </c>
      <c r="E296" s="199">
        <f t="shared" ref="E296:E359" si="1633">IF(OR(LEN(D296)=0,D296=0),"",D296-D295)</f>
        <v>0</v>
      </c>
      <c r="F296" s="9">
        <f>운전실적_원본!D296</f>
        <v>236861</v>
      </c>
      <c r="G296" s="16">
        <f t="shared" ref="G296:G359" si="1634">IF(OR(LEN(F296)=0,F296=0),"",F296-F295)</f>
        <v>23</v>
      </c>
      <c r="H296" s="15">
        <f>운전실적_원본!E296</f>
        <v>16658.63</v>
      </c>
      <c r="I296" s="16">
        <f t="shared" ref="I296:K359" si="1635">IF(OR(LEN(H296)=0,H296=0),"",H296-H295)</f>
        <v>2.6000000000021828</v>
      </c>
      <c r="J296" s="15">
        <f>운전실적_원본!E296</f>
        <v>16658.63</v>
      </c>
      <c r="K296" s="16">
        <f t="shared" si="1635"/>
        <v>2.6000000000021828</v>
      </c>
      <c r="L296" s="15">
        <f>운전실적_원본!G296</f>
        <v>3962.5</v>
      </c>
      <c r="M296" s="31">
        <f t="shared" ref="M296" si="1636">IF(OR(LEN(L296)=0,L296=0),"",L296-L295)</f>
        <v>0.5</v>
      </c>
      <c r="N296" s="15">
        <f>운전실적_원본!H296</f>
        <v>24852</v>
      </c>
      <c r="O296" s="16">
        <f t="shared" ref="O296" si="1637">IF(OR(LEN(N296)=0,N296=0),"",N296-N295)</f>
        <v>49</v>
      </c>
      <c r="P296" s="15">
        <f>운전실적_원본!I296</f>
        <v>3895</v>
      </c>
      <c r="Q296" s="16">
        <f t="shared" ref="Q296" si="1638">IF(OR(LEN(P296)=0,P296=0),"",P296-P295)</f>
        <v>62</v>
      </c>
      <c r="R296" s="18">
        <f>운전실적_원본!J296</f>
        <v>33.1</v>
      </c>
      <c r="S296" s="19">
        <f t="shared" ref="S296" si="1639">IF(OR(LEN(R296)=0,R296=0),"",R296-R295)</f>
        <v>-8.9999999999996305E-2</v>
      </c>
      <c r="T296" s="18">
        <f>운전실적_원본!K296</f>
        <v>32.92</v>
      </c>
      <c r="U296" s="19">
        <f t="shared" ref="U296:U359" si="1640">IF(OR(LEN(T296)=0,T296=0),"",T296-T295)</f>
        <v>-5.9999999999995168E-2</v>
      </c>
      <c r="V296" s="12">
        <f>운전실적_원본!L296</f>
        <v>8410</v>
      </c>
      <c r="W296" s="16">
        <f t="shared" ref="W296" si="1641">IF(OR(LEN(V296)=0,V296=0),"",V296-V295)</f>
        <v>618</v>
      </c>
      <c r="X296" s="10">
        <f>운전실적_원본!M296</f>
        <v>0</v>
      </c>
      <c r="Y296" s="10">
        <f>운전실적_원본!N296</f>
        <v>0</v>
      </c>
      <c r="Z296" s="10">
        <f>운전실적_원본!O296</f>
        <v>0</v>
      </c>
      <c r="AA296" s="10">
        <f>운전실적_원본!P296</f>
        <v>0</v>
      </c>
      <c r="AB296" s="10">
        <f>운전실적_원본!Q296</f>
        <v>0</v>
      </c>
      <c r="AC296" s="10">
        <f>운전실적_원본!R296</f>
        <v>0</v>
      </c>
      <c r="AD296" s="181">
        <f>운전실적_원본!S296</f>
        <v>0</v>
      </c>
      <c r="AE296" s="181">
        <f>운전실적_원본!T296</f>
        <v>0</v>
      </c>
      <c r="AF296" s="181">
        <f>운전실적_원본!U296</f>
        <v>0</v>
      </c>
      <c r="AG296" s="181">
        <f>운전실적_원본!V296</f>
        <v>0</v>
      </c>
      <c r="AH296" s="106">
        <f t="shared" si="1461"/>
        <v>0</v>
      </c>
      <c r="AI296" s="107">
        <f t="shared" si="1469"/>
        <v>0</v>
      </c>
      <c r="AJ296" s="107">
        <f t="shared" si="1470"/>
        <v>0</v>
      </c>
      <c r="AK296" s="204">
        <f t="shared" si="1471"/>
        <v>0</v>
      </c>
      <c r="AL296" s="103"/>
      <c r="AM296" s="103"/>
      <c r="AN296" s="103"/>
      <c r="AO296" s="103"/>
      <c r="AP296" s="103"/>
      <c r="AQ296" s="105"/>
      <c r="AR296" s="103"/>
      <c r="AS296" s="103"/>
      <c r="AT296" s="101"/>
      <c r="AU296" s="101"/>
      <c r="AV296" s="101"/>
      <c r="AW296" s="101"/>
      <c r="AX296" s="32">
        <f>운전실적_원본!W296</f>
        <v>0</v>
      </c>
      <c r="AY296" s="198">
        <f>운전실적_원본!X296</f>
        <v>0</v>
      </c>
      <c r="AZ296" s="198">
        <f>운전실적_원본!Y296</f>
        <v>0</v>
      </c>
      <c r="BA296" s="198">
        <f>운전실적_원본!Z296</f>
        <v>0</v>
      </c>
      <c r="BB296" s="198">
        <f>운전실적_원본!AA296</f>
        <v>0</v>
      </c>
      <c r="BC296" s="198">
        <f>운전실적_원본!AB296</f>
        <v>0</v>
      </c>
      <c r="BD296" s="32" t="str">
        <f t="shared" si="1454"/>
        <v>-</v>
      </c>
      <c r="BE296" s="11" t="str">
        <f t="shared" si="1462"/>
        <v>-</v>
      </c>
      <c r="BF296" s="11">
        <f>운전실적_원본!AE296</f>
        <v>0</v>
      </c>
      <c r="BG296" s="31">
        <f t="shared" si="1455"/>
        <v>0</v>
      </c>
    </row>
    <row r="297" spans="1:59">
      <c r="A297" s="6">
        <f t="shared" si="1463"/>
        <v>45949</v>
      </c>
      <c r="B297" s="15">
        <f>운전실적_원본!B297</f>
        <v>0.1</v>
      </c>
      <c r="C297" s="16">
        <f t="shared" si="1632"/>
        <v>0</v>
      </c>
      <c r="D297" s="9">
        <f>운전실적_원본!C297</f>
        <v>243681</v>
      </c>
      <c r="E297" s="199">
        <f t="shared" si="1633"/>
        <v>0</v>
      </c>
      <c r="F297" s="9">
        <f>운전실적_원본!D297</f>
        <v>236861</v>
      </c>
      <c r="G297" s="16">
        <f t="shared" si="1634"/>
        <v>0</v>
      </c>
      <c r="H297" s="15">
        <f>운전실적_원본!E297</f>
        <v>16660.72</v>
      </c>
      <c r="I297" s="16">
        <f t="shared" si="1635"/>
        <v>2.0900000000001455</v>
      </c>
      <c r="J297" s="15">
        <f>운전실적_원본!E297</f>
        <v>16660.72</v>
      </c>
      <c r="K297" s="16">
        <f t="shared" si="1635"/>
        <v>2.0900000000001455</v>
      </c>
      <c r="L297" s="15">
        <f>운전실적_원본!G297</f>
        <v>3963.1</v>
      </c>
      <c r="M297" s="31">
        <f t="shared" ref="M297" si="1642">IF(OR(LEN(L297)=0,L297=0),"",L297-L296)</f>
        <v>0.59999999999990905</v>
      </c>
      <c r="N297" s="15">
        <f>운전실적_원본!H297</f>
        <v>24882</v>
      </c>
      <c r="O297" s="16">
        <f t="shared" ref="O297" si="1643">IF(OR(LEN(N297)=0,N297=0),"",N297-N296)</f>
        <v>30</v>
      </c>
      <c r="P297" s="15">
        <f>운전실적_원본!I297</f>
        <v>3914</v>
      </c>
      <c r="Q297" s="16">
        <f t="shared" ref="Q297" si="1644">IF(OR(LEN(P297)=0,P297=0),"",P297-P296)</f>
        <v>19</v>
      </c>
      <c r="R297" s="18">
        <f>운전실적_원본!J297</f>
        <v>32.99</v>
      </c>
      <c r="S297" s="19">
        <f t="shared" ref="S297" si="1645">IF(OR(LEN(R297)=0,R297=0),"",R297-R296)</f>
        <v>-0.10999999999999943</v>
      </c>
      <c r="T297" s="18">
        <f>운전실적_원본!K297</f>
        <v>32.96</v>
      </c>
      <c r="U297" s="19">
        <f t="shared" si="1640"/>
        <v>3.9999999999999147E-2</v>
      </c>
      <c r="V297" s="12">
        <f>운전실적_원본!L297</f>
        <v>8007</v>
      </c>
      <c r="W297" s="16">
        <f t="shared" ref="W297" si="1646">IF(OR(LEN(V297)=0,V297=0),"",V297-V296)</f>
        <v>-403</v>
      </c>
      <c r="X297" s="10">
        <f>운전실적_원본!M297</f>
        <v>0</v>
      </c>
      <c r="Y297" s="10">
        <f>운전실적_원본!N297</f>
        <v>0</v>
      </c>
      <c r="Z297" s="10">
        <f>운전실적_원본!O297</f>
        <v>0</v>
      </c>
      <c r="AA297" s="10">
        <f>운전실적_원본!P297</f>
        <v>0</v>
      </c>
      <c r="AB297" s="10">
        <f>운전실적_원본!Q297</f>
        <v>0</v>
      </c>
      <c r="AC297" s="10">
        <f>운전실적_원본!R297</f>
        <v>0</v>
      </c>
      <c r="AD297" s="181">
        <f>운전실적_원본!S297</f>
        <v>0</v>
      </c>
      <c r="AE297" s="181">
        <f>운전실적_원본!T297</f>
        <v>0</v>
      </c>
      <c r="AF297" s="181">
        <f>운전실적_원본!U297</f>
        <v>0</v>
      </c>
      <c r="AG297" s="181">
        <f>운전실적_원본!V297</f>
        <v>0</v>
      </c>
      <c r="AH297" s="106">
        <f t="shared" si="1461"/>
        <v>0</v>
      </c>
      <c r="AI297" s="107">
        <f t="shared" si="1469"/>
        <v>0</v>
      </c>
      <c r="AJ297" s="107">
        <f t="shared" si="1470"/>
        <v>0</v>
      </c>
      <c r="AK297" s="204">
        <f t="shared" si="1471"/>
        <v>0</v>
      </c>
      <c r="AL297" s="103"/>
      <c r="AM297" s="103"/>
      <c r="AN297" s="103"/>
      <c r="AO297" s="103"/>
      <c r="AP297" s="103"/>
      <c r="AQ297" s="105"/>
      <c r="AR297" s="103"/>
      <c r="AS297" s="103"/>
      <c r="AT297" s="101"/>
      <c r="AU297" s="101"/>
      <c r="AV297" s="101"/>
      <c r="AW297" s="101"/>
      <c r="AX297" s="32">
        <f>운전실적_원본!W297</f>
        <v>0</v>
      </c>
      <c r="AY297" s="198">
        <f>운전실적_원본!X297</f>
        <v>0</v>
      </c>
      <c r="AZ297" s="198">
        <f>운전실적_원본!Y297</f>
        <v>0</v>
      </c>
      <c r="BA297" s="198">
        <f>운전실적_원본!Z297</f>
        <v>0</v>
      </c>
      <c r="BB297" s="198">
        <f>운전실적_원본!AA297</f>
        <v>0</v>
      </c>
      <c r="BC297" s="198">
        <f>운전실적_원본!AB297</f>
        <v>0</v>
      </c>
      <c r="BD297" s="32" t="str">
        <f t="shared" si="1454"/>
        <v>-</v>
      </c>
      <c r="BE297" s="11" t="str">
        <f t="shared" si="1462"/>
        <v>-</v>
      </c>
      <c r="BF297" s="11">
        <f>운전실적_원본!AE297</f>
        <v>0</v>
      </c>
      <c r="BG297" s="31">
        <f t="shared" si="1455"/>
        <v>0</v>
      </c>
    </row>
    <row r="298" spans="1:59">
      <c r="A298" s="6">
        <f t="shared" si="1463"/>
        <v>45950</v>
      </c>
      <c r="B298" s="15">
        <f>운전실적_원본!B298</f>
        <v>0.2</v>
      </c>
      <c r="C298" s="16">
        <f t="shared" si="1632"/>
        <v>0.1</v>
      </c>
      <c r="D298" s="9">
        <f>운전실적_원본!C298</f>
        <v>243718</v>
      </c>
      <c r="E298" s="199">
        <f t="shared" si="1633"/>
        <v>37</v>
      </c>
      <c r="F298" s="9">
        <f>운전실적_원본!D298</f>
        <v>236959</v>
      </c>
      <c r="G298" s="16">
        <f t="shared" si="1634"/>
        <v>98</v>
      </c>
      <c r="H298" s="15">
        <f>운전실적_원본!E298</f>
        <v>16665.14</v>
      </c>
      <c r="I298" s="16">
        <f t="shared" si="1635"/>
        <v>4.4199999999982538</v>
      </c>
      <c r="J298" s="15">
        <f>운전실적_원본!E298</f>
        <v>16665.14</v>
      </c>
      <c r="K298" s="16">
        <f t="shared" si="1635"/>
        <v>4.4199999999982538</v>
      </c>
      <c r="L298" s="15">
        <f>운전실적_원본!G298</f>
        <v>3964</v>
      </c>
      <c r="M298" s="31">
        <f t="shared" ref="M298" si="1647">IF(OR(LEN(L298)=0,L298=0),"",L298-L297)</f>
        <v>0.90000000000009095</v>
      </c>
      <c r="N298" s="15">
        <f>운전실적_원본!H298</f>
        <v>24940</v>
      </c>
      <c r="O298" s="16">
        <f t="shared" ref="O298" si="1648">IF(OR(LEN(N298)=0,N298=0),"",N298-N297)</f>
        <v>58</v>
      </c>
      <c r="P298" s="15">
        <f>운전실적_원본!I298</f>
        <v>4076</v>
      </c>
      <c r="Q298" s="16">
        <f t="shared" ref="Q298" si="1649">IF(OR(LEN(P298)=0,P298=0),"",P298-P297)</f>
        <v>162</v>
      </c>
      <c r="R298" s="18">
        <f>운전실적_원본!J298</f>
        <v>33.229999999999997</v>
      </c>
      <c r="S298" s="19">
        <f t="shared" ref="S298" si="1650">IF(OR(LEN(R298)=0,R298=0),"",R298-R297)</f>
        <v>0.23999999999999488</v>
      </c>
      <c r="T298" s="18">
        <f>운전실적_원본!K298</f>
        <v>32.9</v>
      </c>
      <c r="U298" s="19">
        <f t="shared" si="1640"/>
        <v>-6.0000000000002274E-2</v>
      </c>
      <c r="V298" s="12">
        <f>운전실적_원본!L298</f>
        <v>8654</v>
      </c>
      <c r="W298" s="16">
        <f t="shared" ref="W298" si="1651">IF(OR(LEN(V298)=0,V298=0),"",V298-V297)</f>
        <v>647</v>
      </c>
      <c r="X298" s="10">
        <f>운전실적_원본!M298</f>
        <v>53261.559999994934</v>
      </c>
      <c r="Y298" s="10">
        <f>운전실적_원본!N298</f>
        <v>0</v>
      </c>
      <c r="Z298" s="10">
        <f>운전실적_원본!O298</f>
        <v>0</v>
      </c>
      <c r="AA298" s="10">
        <f>운전실적_원본!P298</f>
        <v>0</v>
      </c>
      <c r="AB298" s="10">
        <f>운전실적_원본!Q298</f>
        <v>0</v>
      </c>
      <c r="AC298" s="10">
        <f>운전실적_원본!R298</f>
        <v>0</v>
      </c>
      <c r="AD298" s="181">
        <f>운전실적_원본!S298</f>
        <v>14</v>
      </c>
      <c r="AE298" s="181">
        <f>운전실적_원본!T298</f>
        <v>0</v>
      </c>
      <c r="AF298" s="181">
        <f>운전실적_원본!U298</f>
        <v>0</v>
      </c>
      <c r="AG298" s="181">
        <f>운전실적_원본!V298</f>
        <v>0</v>
      </c>
      <c r="AH298" s="106">
        <f t="shared" si="1461"/>
        <v>13.583333333255723</v>
      </c>
      <c r="AI298" s="107">
        <f t="shared" si="1469"/>
        <v>0</v>
      </c>
      <c r="AJ298" s="107">
        <f t="shared" si="1470"/>
        <v>0</v>
      </c>
      <c r="AK298" s="204">
        <f t="shared" si="1471"/>
        <v>0</v>
      </c>
      <c r="AL298" s="103">
        <v>45950.059027777781</v>
      </c>
      <c r="AM298" s="103">
        <v>45950.625</v>
      </c>
      <c r="AN298" s="103"/>
      <c r="AO298" s="103"/>
      <c r="AP298" s="103"/>
      <c r="AQ298" s="105"/>
      <c r="AR298" s="103"/>
      <c r="AS298" s="103"/>
      <c r="AT298" s="101"/>
      <c r="AU298" s="101"/>
      <c r="AV298" s="101"/>
      <c r="AW298" s="101"/>
      <c r="AX298" s="32">
        <f>운전실적_원본!W298</f>
        <v>313</v>
      </c>
      <c r="AY298" s="198">
        <f>운전실적_원본!X298</f>
        <v>0</v>
      </c>
      <c r="AZ298" s="198">
        <f>운전실적_원본!Y298</f>
        <v>0</v>
      </c>
      <c r="BA298" s="198">
        <f>운전실적_원본!Z298</f>
        <v>0</v>
      </c>
      <c r="BB298" s="198">
        <f>운전실적_원본!AA298</f>
        <v>0</v>
      </c>
      <c r="BC298" s="198">
        <f>운전실적_원본!AB298</f>
        <v>313</v>
      </c>
      <c r="BD298" s="32">
        <f t="shared" si="1454"/>
        <v>22.357142857142858</v>
      </c>
      <c r="BE298" s="11">
        <f t="shared" si="1462"/>
        <v>0.435048508603675</v>
      </c>
      <c r="BF298" s="11">
        <f>운전실적_원본!AE298</f>
        <v>0</v>
      </c>
      <c r="BG298" s="31">
        <f t="shared" si="1455"/>
        <v>0</v>
      </c>
    </row>
    <row r="299" spans="1:59">
      <c r="A299" s="6">
        <f t="shared" si="1463"/>
        <v>45951</v>
      </c>
      <c r="B299" s="15">
        <f>운전실적_원본!B299</f>
        <v>0.2</v>
      </c>
      <c r="C299" s="16">
        <f t="shared" si="1632"/>
        <v>0</v>
      </c>
      <c r="D299" s="9">
        <f>운전실적_원본!C299</f>
        <v>243809</v>
      </c>
      <c r="E299" s="199">
        <f t="shared" si="1633"/>
        <v>91</v>
      </c>
      <c r="F299" s="9">
        <f>운전실적_원본!D299</f>
        <v>236959</v>
      </c>
      <c r="G299" s="16">
        <f t="shared" si="1634"/>
        <v>0</v>
      </c>
      <c r="H299" s="15">
        <f>운전실적_원본!E299</f>
        <v>16669.63</v>
      </c>
      <c r="I299" s="16">
        <f t="shared" si="1635"/>
        <v>4.4900000000016007</v>
      </c>
      <c r="J299" s="15">
        <f>운전실적_원본!E299</f>
        <v>16669.63</v>
      </c>
      <c r="K299" s="16">
        <f t="shared" si="1635"/>
        <v>4.4900000000016007</v>
      </c>
      <c r="L299" s="15">
        <f>운전실적_원본!G299</f>
        <v>3965.3</v>
      </c>
      <c r="M299" s="31">
        <f t="shared" ref="M299" si="1652">IF(OR(LEN(L299)=0,L299=0),"",L299-L298)</f>
        <v>1.3000000000001819</v>
      </c>
      <c r="N299" s="15">
        <f>운전실적_원본!H299</f>
        <v>25048</v>
      </c>
      <c r="O299" s="16">
        <f t="shared" ref="O299" si="1653">IF(OR(LEN(N299)=0,N299=0),"",N299-N298)</f>
        <v>108</v>
      </c>
      <c r="P299" s="15">
        <f>운전실적_원본!I299</f>
        <v>4228</v>
      </c>
      <c r="Q299" s="16">
        <f t="shared" ref="Q299" si="1654">IF(OR(LEN(P299)=0,P299=0),"",P299-P298)</f>
        <v>152</v>
      </c>
      <c r="R299" s="18">
        <f>운전실적_원본!J299</f>
        <v>33.19</v>
      </c>
      <c r="S299" s="19">
        <f t="shared" ref="S299" si="1655">IF(OR(LEN(R299)=0,R299=0),"",R299-R298)</f>
        <v>-3.9999999999999147E-2</v>
      </c>
      <c r="T299" s="18">
        <f>운전실적_원본!K299</f>
        <v>32.909999999999997</v>
      </c>
      <c r="U299" s="19">
        <f t="shared" si="1640"/>
        <v>9.9999999999980105E-3</v>
      </c>
      <c r="V299" s="12">
        <f>운전실적_원본!L299</f>
        <v>8522</v>
      </c>
      <c r="W299" s="16">
        <f t="shared" ref="W299" si="1656">IF(OR(LEN(V299)=0,V299=0),"",V299-V298)</f>
        <v>-132</v>
      </c>
      <c r="X299" s="10">
        <f>운전실적_원본!M299</f>
        <v>0</v>
      </c>
      <c r="Y299" s="10">
        <f>운전실적_원본!N299</f>
        <v>0</v>
      </c>
      <c r="Z299" s="10">
        <f>운전실적_원본!O299</f>
        <v>0</v>
      </c>
      <c r="AA299" s="10">
        <f>운전실적_원본!P299</f>
        <v>0</v>
      </c>
      <c r="AB299" s="10">
        <f>운전실적_원본!Q299</f>
        <v>0</v>
      </c>
      <c r="AC299" s="10">
        <f>운전실적_원본!R299</f>
        <v>0</v>
      </c>
      <c r="AD299" s="181">
        <f>운전실적_원본!S299</f>
        <v>0</v>
      </c>
      <c r="AE299" s="181">
        <f>운전실적_원본!T299</f>
        <v>0</v>
      </c>
      <c r="AF299" s="181">
        <f>운전실적_원본!U299</f>
        <v>0</v>
      </c>
      <c r="AG299" s="181">
        <f>운전실적_원본!V299</f>
        <v>0</v>
      </c>
      <c r="AH299" s="106">
        <f t="shared" si="1461"/>
        <v>0</v>
      </c>
      <c r="AI299" s="107">
        <f t="shared" si="1469"/>
        <v>0</v>
      </c>
      <c r="AJ299" s="107">
        <f t="shared" si="1470"/>
        <v>0</v>
      </c>
      <c r="AK299" s="204">
        <f t="shared" si="1471"/>
        <v>0</v>
      </c>
      <c r="AL299" s="103"/>
      <c r="AM299" s="103"/>
      <c r="AN299" s="103"/>
      <c r="AO299" s="103"/>
      <c r="AP299" s="103"/>
      <c r="AQ299" s="105"/>
      <c r="AR299" s="103"/>
      <c r="AS299" s="103"/>
      <c r="AT299" s="101"/>
      <c r="AU299" s="101"/>
      <c r="AV299" s="101"/>
      <c r="AW299" s="101"/>
      <c r="AX299" s="32">
        <f>운전실적_원본!W299</f>
        <v>0</v>
      </c>
      <c r="AY299" s="198">
        <f>운전실적_원본!X299</f>
        <v>0</v>
      </c>
      <c r="AZ299" s="198">
        <f>운전실적_원본!Y299</f>
        <v>0</v>
      </c>
      <c r="BA299" s="198">
        <f>운전실적_원본!Z299</f>
        <v>0</v>
      </c>
      <c r="BB299" s="198">
        <f>운전실적_원본!AA299</f>
        <v>0</v>
      </c>
      <c r="BC299" s="198">
        <f>운전실적_원본!AB299</f>
        <v>0</v>
      </c>
      <c r="BD299" s="32" t="str">
        <f t="shared" si="1454"/>
        <v>-</v>
      </c>
      <c r="BE299" s="11" t="str">
        <f t="shared" si="1462"/>
        <v>-</v>
      </c>
      <c r="BF299" s="11">
        <f>운전실적_원본!AE299</f>
        <v>0</v>
      </c>
      <c r="BG299" s="31">
        <f t="shared" si="1455"/>
        <v>0</v>
      </c>
    </row>
    <row r="300" spans="1:59">
      <c r="A300" s="6">
        <f t="shared" si="1463"/>
        <v>45952</v>
      </c>
      <c r="B300" s="15">
        <f>운전실적_원본!B300</f>
        <v>0.2</v>
      </c>
      <c r="C300" s="16">
        <f t="shared" si="1632"/>
        <v>0</v>
      </c>
      <c r="D300" s="9">
        <f>운전실적_원본!C300</f>
        <v>243898</v>
      </c>
      <c r="E300" s="199">
        <f t="shared" si="1633"/>
        <v>89</v>
      </c>
      <c r="F300" s="9">
        <f>운전실적_원본!D300</f>
        <v>236983</v>
      </c>
      <c r="G300" s="16">
        <f t="shared" si="1634"/>
        <v>24</v>
      </c>
      <c r="H300" s="15">
        <f>운전실적_원본!E300</f>
        <v>16674.25</v>
      </c>
      <c r="I300" s="16">
        <f t="shared" si="1635"/>
        <v>4.6199999999989814</v>
      </c>
      <c r="J300" s="15">
        <f>운전실적_원본!E300</f>
        <v>16674.25</v>
      </c>
      <c r="K300" s="16">
        <f t="shared" si="1635"/>
        <v>4.6199999999989814</v>
      </c>
      <c r="L300" s="15">
        <f>운전실적_원본!G300</f>
        <v>3966.3</v>
      </c>
      <c r="M300" s="31">
        <f t="shared" ref="M300" si="1657">IF(OR(LEN(L300)=0,L300=0),"",L300-L299)</f>
        <v>1</v>
      </c>
      <c r="N300" s="15">
        <f>운전실적_원본!H300</f>
        <v>25212</v>
      </c>
      <c r="O300" s="16">
        <f t="shared" ref="O300" si="1658">IF(OR(LEN(N300)=0,N300=0),"",N300-N299)</f>
        <v>164</v>
      </c>
      <c r="P300" s="15">
        <f>운전실적_원본!I300</f>
        <v>4300</v>
      </c>
      <c r="Q300" s="16">
        <f t="shared" ref="Q300" si="1659">IF(OR(LEN(P300)=0,P300=0),"",P300-P299)</f>
        <v>72</v>
      </c>
      <c r="R300" s="18">
        <f>운전실적_원본!J300</f>
        <v>33.18</v>
      </c>
      <c r="S300" s="19">
        <f t="shared" ref="S300" si="1660">IF(OR(LEN(R300)=0,R300=0),"",R300-R299)</f>
        <v>-9.9999999999980105E-3</v>
      </c>
      <c r="T300" s="18">
        <f>운전실적_원본!K300</f>
        <v>32.869999999999997</v>
      </c>
      <c r="U300" s="19">
        <f t="shared" si="1640"/>
        <v>-3.9999999999999147E-2</v>
      </c>
      <c r="V300" s="12">
        <f>운전실적_원본!L300</f>
        <v>8621</v>
      </c>
      <c r="W300" s="16">
        <f t="shared" ref="W300" si="1661">IF(OR(LEN(V300)=0,V300=0),"",V300-V299)</f>
        <v>99</v>
      </c>
      <c r="X300" s="10">
        <f>운전실적_원본!M300</f>
        <v>0</v>
      </c>
      <c r="Y300" s="10">
        <f>운전실적_원본!N300</f>
        <v>0</v>
      </c>
      <c r="Z300" s="10">
        <f>운전실적_원본!O300</f>
        <v>0</v>
      </c>
      <c r="AA300" s="10">
        <f>운전실적_원본!P300</f>
        <v>0</v>
      </c>
      <c r="AB300" s="10">
        <f>운전실적_원본!Q300</f>
        <v>0</v>
      </c>
      <c r="AC300" s="10">
        <f>운전실적_원본!R300</f>
        <v>0</v>
      </c>
      <c r="AD300" s="181">
        <f>운전실적_원본!S300</f>
        <v>0</v>
      </c>
      <c r="AE300" s="181">
        <f>운전실적_원본!T300</f>
        <v>0</v>
      </c>
      <c r="AF300" s="181">
        <f>운전실적_원본!U300</f>
        <v>0</v>
      </c>
      <c r="AG300" s="181">
        <f>운전실적_원본!V300</f>
        <v>0</v>
      </c>
      <c r="AH300" s="106">
        <f t="shared" si="1461"/>
        <v>0</v>
      </c>
      <c r="AI300" s="107">
        <f t="shared" si="1469"/>
        <v>0</v>
      </c>
      <c r="AJ300" s="107">
        <f t="shared" si="1470"/>
        <v>0</v>
      </c>
      <c r="AK300" s="204">
        <f t="shared" si="1471"/>
        <v>0</v>
      </c>
      <c r="AL300" s="103"/>
      <c r="AM300" s="103"/>
      <c r="AN300" s="103"/>
      <c r="AO300" s="103"/>
      <c r="AP300" s="103"/>
      <c r="AQ300" s="105"/>
      <c r="AR300" s="103"/>
      <c r="AS300" s="103"/>
      <c r="AT300" s="101"/>
      <c r="AU300" s="101"/>
      <c r="AV300" s="101"/>
      <c r="AW300" s="101"/>
      <c r="AX300" s="32">
        <f>운전실적_원본!W300</f>
        <v>0</v>
      </c>
      <c r="AY300" s="198">
        <f>운전실적_원본!X300</f>
        <v>0</v>
      </c>
      <c r="AZ300" s="198">
        <f>운전실적_원본!Y300</f>
        <v>0</v>
      </c>
      <c r="BA300" s="198">
        <f>운전실적_원본!Z300</f>
        <v>0</v>
      </c>
      <c r="BB300" s="198">
        <f>운전실적_원본!AA300</f>
        <v>0</v>
      </c>
      <c r="BC300" s="198">
        <f>운전실적_원본!AB300</f>
        <v>0</v>
      </c>
      <c r="BD300" s="32" t="str">
        <f t="shared" si="1454"/>
        <v>-</v>
      </c>
      <c r="BE300" s="11" t="str">
        <f t="shared" si="1462"/>
        <v>-</v>
      </c>
      <c r="BF300" s="11">
        <f>운전실적_원본!AE300</f>
        <v>0</v>
      </c>
      <c r="BG300" s="31">
        <f t="shared" si="1455"/>
        <v>0</v>
      </c>
    </row>
    <row r="301" spans="1:59">
      <c r="A301" s="6">
        <f t="shared" si="1463"/>
        <v>45953</v>
      </c>
      <c r="B301" s="15">
        <f>운전실적_원본!B301</f>
        <v>0.2</v>
      </c>
      <c r="C301" s="16">
        <f t="shared" si="1632"/>
        <v>0</v>
      </c>
      <c r="D301" s="9">
        <f>운전실적_원본!C301</f>
        <v>243898</v>
      </c>
      <c r="E301" s="199">
        <f t="shared" si="1633"/>
        <v>0</v>
      </c>
      <c r="F301" s="9">
        <f>운전실적_원본!D301</f>
        <v>237051</v>
      </c>
      <c r="G301" s="16">
        <f t="shared" si="1634"/>
        <v>68</v>
      </c>
      <c r="H301" s="15">
        <f>운전실적_원본!E301</f>
        <v>16679.240000000002</v>
      </c>
      <c r="I301" s="16">
        <f t="shared" si="1635"/>
        <v>4.9900000000016007</v>
      </c>
      <c r="J301" s="15">
        <f>운전실적_원본!E301</f>
        <v>16679.240000000002</v>
      </c>
      <c r="K301" s="16">
        <f t="shared" si="1635"/>
        <v>4.9900000000016007</v>
      </c>
      <c r="L301" s="15">
        <f>운전실적_원본!G301</f>
        <v>3967.6</v>
      </c>
      <c r="M301" s="31">
        <f t="shared" ref="M301" si="1662">IF(OR(LEN(L301)=0,L301=0),"",L301-L300)</f>
        <v>1.2999999999997272</v>
      </c>
      <c r="N301" s="15">
        <f>운전실적_원본!H301</f>
        <v>25260</v>
      </c>
      <c r="O301" s="16">
        <f t="shared" ref="O301" si="1663">IF(OR(LEN(N301)=0,N301=0),"",N301-N300)</f>
        <v>48</v>
      </c>
      <c r="P301" s="15">
        <f>운전실적_원본!I301</f>
        <v>4412</v>
      </c>
      <c r="Q301" s="16">
        <f t="shared" ref="Q301" si="1664">IF(OR(LEN(P301)=0,P301=0),"",P301-P300)</f>
        <v>112</v>
      </c>
      <c r="R301" s="18">
        <f>운전실적_원본!J301</f>
        <v>33.07</v>
      </c>
      <c r="S301" s="19">
        <f t="shared" ref="S301" si="1665">IF(OR(LEN(R301)=0,R301=0),"",R301-R300)</f>
        <v>-0.10999999999999943</v>
      </c>
      <c r="T301" s="18">
        <f>운전실적_원본!K301</f>
        <v>32.840000000000003</v>
      </c>
      <c r="U301" s="19">
        <f t="shared" si="1640"/>
        <v>-2.9999999999994031E-2</v>
      </c>
      <c r="V301" s="12">
        <f>운전실적_원본!L301</f>
        <v>8643</v>
      </c>
      <c r="W301" s="16">
        <f t="shared" ref="W301" si="1666">IF(OR(LEN(V301)=0,V301=0),"",V301-V300)</f>
        <v>22</v>
      </c>
      <c r="X301" s="10">
        <f>운전실적_원본!M301</f>
        <v>0</v>
      </c>
      <c r="Y301" s="10">
        <f>운전실적_원본!N301</f>
        <v>0</v>
      </c>
      <c r="Z301" s="10">
        <f>운전실적_원본!O301</f>
        <v>0</v>
      </c>
      <c r="AA301" s="10">
        <f>운전실적_원본!P301</f>
        <v>0</v>
      </c>
      <c r="AB301" s="10">
        <f>운전실적_원본!Q301</f>
        <v>0</v>
      </c>
      <c r="AC301" s="10">
        <f>운전실적_원본!R301</f>
        <v>0</v>
      </c>
      <c r="AD301" s="181">
        <f>운전실적_원본!S301</f>
        <v>0</v>
      </c>
      <c r="AE301" s="181">
        <f>운전실적_원본!T301</f>
        <v>0</v>
      </c>
      <c r="AF301" s="181">
        <f>운전실적_원본!U301</f>
        <v>0</v>
      </c>
      <c r="AG301" s="181">
        <f>운전실적_원본!V301</f>
        <v>0</v>
      </c>
      <c r="AH301" s="106">
        <f t="shared" si="1461"/>
        <v>0</v>
      </c>
      <c r="AI301" s="107">
        <f t="shared" si="1469"/>
        <v>0</v>
      </c>
      <c r="AJ301" s="107">
        <f t="shared" si="1470"/>
        <v>0</v>
      </c>
      <c r="AK301" s="204">
        <f t="shared" si="1471"/>
        <v>0</v>
      </c>
      <c r="AL301" s="103"/>
      <c r="AM301" s="103"/>
      <c r="AN301" s="103"/>
      <c r="AO301" s="103"/>
      <c r="AP301" s="103"/>
      <c r="AQ301" s="105"/>
      <c r="AR301" s="103"/>
      <c r="AS301" s="103"/>
      <c r="AT301" s="101"/>
      <c r="AU301" s="101"/>
      <c r="AV301" s="101"/>
      <c r="AW301" s="101"/>
      <c r="AX301" s="32">
        <f>운전실적_원본!W301</f>
        <v>0</v>
      </c>
      <c r="AY301" s="198">
        <f>운전실적_원본!X301</f>
        <v>0</v>
      </c>
      <c r="AZ301" s="198">
        <f>운전실적_원본!Y301</f>
        <v>0</v>
      </c>
      <c r="BA301" s="198">
        <f>운전실적_원본!Z301</f>
        <v>0</v>
      </c>
      <c r="BB301" s="198">
        <f>운전실적_원본!AA301</f>
        <v>0</v>
      </c>
      <c r="BC301" s="198">
        <f>운전실적_원본!AB301</f>
        <v>0</v>
      </c>
      <c r="BD301" s="32" t="str">
        <f t="shared" si="1454"/>
        <v>-</v>
      </c>
      <c r="BE301" s="11" t="str">
        <f t="shared" si="1462"/>
        <v>-</v>
      </c>
      <c r="BF301" s="11">
        <f>운전실적_원본!AE301</f>
        <v>0</v>
      </c>
      <c r="BG301" s="31">
        <f t="shared" si="1455"/>
        <v>0</v>
      </c>
    </row>
    <row r="302" spans="1:59">
      <c r="A302" s="6">
        <f t="shared" si="1463"/>
        <v>45954</v>
      </c>
      <c r="B302" s="15">
        <f>운전실적_원본!B302</f>
        <v>0.2</v>
      </c>
      <c r="C302" s="16">
        <f t="shared" si="1632"/>
        <v>0</v>
      </c>
      <c r="D302" s="9">
        <f>운전실적_원본!C302</f>
        <v>244023</v>
      </c>
      <c r="E302" s="199">
        <f t="shared" si="1633"/>
        <v>125</v>
      </c>
      <c r="F302" s="9">
        <f>운전실적_원본!D302</f>
        <v>237054</v>
      </c>
      <c r="G302" s="16">
        <f t="shared" si="1634"/>
        <v>3</v>
      </c>
      <c r="H302" s="15">
        <f>운전실적_원본!E302</f>
        <v>16683.86</v>
      </c>
      <c r="I302" s="16">
        <f t="shared" si="1635"/>
        <v>4.6199999999989814</v>
      </c>
      <c r="J302" s="15">
        <f>운전실적_원본!E302</f>
        <v>16683.86</v>
      </c>
      <c r="K302" s="16">
        <f t="shared" si="1635"/>
        <v>4.6199999999989814</v>
      </c>
      <c r="L302" s="15">
        <f>운전실적_원본!G302</f>
        <v>3969.1</v>
      </c>
      <c r="M302" s="31">
        <f t="shared" ref="M302" si="1667">IF(OR(LEN(L302)=0,L302=0),"",L302-L301)</f>
        <v>1.5</v>
      </c>
      <c r="N302" s="15">
        <f>운전실적_원본!H302</f>
        <v>25534</v>
      </c>
      <c r="O302" s="16">
        <f t="shared" ref="O302" si="1668">IF(OR(LEN(N302)=0,N302=0),"",N302-N301)</f>
        <v>274</v>
      </c>
      <c r="P302" s="15">
        <f>운전실적_원본!I302</f>
        <v>4568</v>
      </c>
      <c r="Q302" s="16">
        <f t="shared" ref="Q302" si="1669">IF(OR(LEN(P302)=0,P302=0),"",P302-P301)</f>
        <v>156</v>
      </c>
      <c r="R302" s="18">
        <f>운전실적_원본!J302</f>
        <v>33.159999999999997</v>
      </c>
      <c r="S302" s="19">
        <f t="shared" ref="S302" si="1670">IF(OR(LEN(R302)=0,R302=0),"",R302-R301)</f>
        <v>8.9999999999996305E-2</v>
      </c>
      <c r="T302" s="18">
        <f>운전실적_원본!K302</f>
        <v>32.81</v>
      </c>
      <c r="U302" s="19">
        <f t="shared" si="1640"/>
        <v>-3.0000000000001137E-2</v>
      </c>
      <c r="V302" s="12">
        <f>운전실적_원본!L302</f>
        <v>8690</v>
      </c>
      <c r="W302" s="16">
        <f t="shared" ref="W302" si="1671">IF(OR(LEN(V302)=0,V302=0),"",V302-V301)</f>
        <v>47</v>
      </c>
      <c r="X302" s="10">
        <f>운전실적_원본!M302</f>
        <v>0</v>
      </c>
      <c r="Y302" s="10">
        <f>운전실적_원본!N302</f>
        <v>0</v>
      </c>
      <c r="Z302" s="10">
        <f>운전실적_원본!O302</f>
        <v>0</v>
      </c>
      <c r="AA302" s="10">
        <f>운전실적_원본!P302</f>
        <v>0</v>
      </c>
      <c r="AB302" s="10">
        <f>운전실적_원본!Q302</f>
        <v>0</v>
      </c>
      <c r="AC302" s="10">
        <f>운전실적_원본!R302</f>
        <v>0</v>
      </c>
      <c r="AD302" s="181">
        <f>운전실적_원본!S302</f>
        <v>0</v>
      </c>
      <c r="AE302" s="181">
        <f>운전실적_원본!T302</f>
        <v>0</v>
      </c>
      <c r="AF302" s="181">
        <f>운전실적_원본!U302</f>
        <v>0</v>
      </c>
      <c r="AG302" s="181">
        <f>운전실적_원본!V302</f>
        <v>0</v>
      </c>
      <c r="AH302" s="106">
        <f t="shared" si="1461"/>
        <v>0</v>
      </c>
      <c r="AI302" s="107">
        <f t="shared" si="1469"/>
        <v>0</v>
      </c>
      <c r="AJ302" s="107">
        <f t="shared" si="1470"/>
        <v>0</v>
      </c>
      <c r="AK302" s="204">
        <f t="shared" si="1471"/>
        <v>0</v>
      </c>
      <c r="AL302" s="103"/>
      <c r="AM302" s="103"/>
      <c r="AN302" s="103"/>
      <c r="AO302" s="103"/>
      <c r="AP302" s="103"/>
      <c r="AQ302" s="105"/>
      <c r="AR302" s="103"/>
      <c r="AS302" s="103"/>
      <c r="AT302" s="101"/>
      <c r="AU302" s="101"/>
      <c r="AV302" s="101"/>
      <c r="AW302" s="101"/>
      <c r="AX302" s="32">
        <f>운전실적_원본!W302</f>
        <v>0</v>
      </c>
      <c r="AY302" s="198">
        <f>운전실적_원본!X302</f>
        <v>0</v>
      </c>
      <c r="AZ302" s="198">
        <f>운전실적_원본!Y302</f>
        <v>0</v>
      </c>
      <c r="BA302" s="198">
        <f>운전실적_원본!Z302</f>
        <v>0</v>
      </c>
      <c r="BB302" s="198">
        <f>운전실적_원본!AA302</f>
        <v>0</v>
      </c>
      <c r="BC302" s="198">
        <f>운전실적_원본!AB302</f>
        <v>0</v>
      </c>
      <c r="BD302" s="32" t="str">
        <f t="shared" si="1454"/>
        <v>-</v>
      </c>
      <c r="BE302" s="11" t="str">
        <f t="shared" si="1462"/>
        <v>-</v>
      </c>
      <c r="BF302" s="11">
        <f>운전실적_원본!AE302</f>
        <v>0</v>
      </c>
      <c r="BG302" s="31">
        <f t="shared" si="1455"/>
        <v>0</v>
      </c>
    </row>
    <row r="303" spans="1:59">
      <c r="A303" s="6">
        <f t="shared" si="1463"/>
        <v>45955</v>
      </c>
      <c r="B303" s="15">
        <f>운전실적_원본!B303</f>
        <v>0.2</v>
      </c>
      <c r="C303" s="16">
        <f t="shared" si="1632"/>
        <v>0</v>
      </c>
      <c r="D303" s="9">
        <f>운전실적_원본!C303</f>
        <v>244023</v>
      </c>
      <c r="E303" s="199">
        <f t="shared" si="1633"/>
        <v>0</v>
      </c>
      <c r="F303" s="9">
        <f>운전실적_원본!D303</f>
        <v>237054</v>
      </c>
      <c r="G303" s="16">
        <f t="shared" si="1634"/>
        <v>0</v>
      </c>
      <c r="H303" s="15">
        <f>운전실적_원본!E303</f>
        <v>16686.240000000002</v>
      </c>
      <c r="I303" s="16">
        <f t="shared" si="1635"/>
        <v>2.3800000000010186</v>
      </c>
      <c r="J303" s="15">
        <f>운전실적_원본!E303</f>
        <v>16686.240000000002</v>
      </c>
      <c r="K303" s="16">
        <f t="shared" si="1635"/>
        <v>2.3800000000010186</v>
      </c>
      <c r="L303" s="15">
        <f>운전실적_원본!G303</f>
        <v>3969.5</v>
      </c>
      <c r="M303" s="31">
        <f t="shared" ref="M303" si="1672">IF(OR(LEN(L303)=0,L303=0),"",L303-L302)</f>
        <v>0.40000000000009095</v>
      </c>
      <c r="N303" s="15">
        <f>운전실적_원본!H303</f>
        <v>25546</v>
      </c>
      <c r="O303" s="16">
        <f t="shared" ref="O303" si="1673">IF(OR(LEN(N303)=0,N303=0),"",N303-N302)</f>
        <v>12</v>
      </c>
      <c r="P303" s="15">
        <f>운전실적_원본!I303</f>
        <v>4591</v>
      </c>
      <c r="Q303" s="16">
        <f t="shared" ref="Q303" si="1674">IF(OR(LEN(P303)=0,P303=0),"",P303-P302)</f>
        <v>23</v>
      </c>
      <c r="R303" s="18">
        <f>운전실적_원본!J303</f>
        <v>33.24</v>
      </c>
      <c r="S303" s="19">
        <f t="shared" ref="S303" si="1675">IF(OR(LEN(R303)=0,R303=0),"",R303-R302)</f>
        <v>8.00000000000054E-2</v>
      </c>
      <c r="T303" s="18">
        <f>운전실적_원본!K303</f>
        <v>32.78</v>
      </c>
      <c r="U303" s="19">
        <f t="shared" si="1640"/>
        <v>-3.0000000000001137E-2</v>
      </c>
      <c r="V303" s="12">
        <f>운전실적_원본!L303</f>
        <v>8293</v>
      </c>
      <c r="W303" s="16">
        <f t="shared" ref="W303" si="1676">IF(OR(LEN(V303)=0,V303=0),"",V303-V302)</f>
        <v>-397</v>
      </c>
      <c r="X303" s="10">
        <f>운전실적_원본!M303</f>
        <v>0</v>
      </c>
      <c r="Y303" s="10">
        <f>운전실적_원본!N303</f>
        <v>0</v>
      </c>
      <c r="Z303" s="10">
        <f>운전실적_원본!O303</f>
        <v>0</v>
      </c>
      <c r="AA303" s="10">
        <f>운전실적_원본!P303</f>
        <v>0</v>
      </c>
      <c r="AB303" s="10">
        <f>운전실적_원본!Q303</f>
        <v>0</v>
      </c>
      <c r="AC303" s="10">
        <f>운전실적_원본!R303</f>
        <v>0</v>
      </c>
      <c r="AD303" s="181">
        <f>운전실적_원본!S303</f>
        <v>0</v>
      </c>
      <c r="AE303" s="181">
        <f>운전실적_원본!T303</f>
        <v>0</v>
      </c>
      <c r="AF303" s="181">
        <f>운전실적_원본!U303</f>
        <v>0</v>
      </c>
      <c r="AG303" s="181">
        <f>운전실적_원본!V303</f>
        <v>0</v>
      </c>
      <c r="AH303" s="106">
        <f t="shared" si="1461"/>
        <v>0</v>
      </c>
      <c r="AI303" s="107">
        <f t="shared" si="1469"/>
        <v>0</v>
      </c>
      <c r="AJ303" s="107">
        <f t="shared" si="1470"/>
        <v>0</v>
      </c>
      <c r="AK303" s="204">
        <f t="shared" si="1471"/>
        <v>0</v>
      </c>
      <c r="AL303" s="103"/>
      <c r="AM303" s="103"/>
      <c r="AN303" s="103"/>
      <c r="AO303" s="103"/>
      <c r="AP303" s="103"/>
      <c r="AQ303" s="105"/>
      <c r="AR303" s="103"/>
      <c r="AS303" s="103"/>
      <c r="AT303" s="101"/>
      <c r="AU303" s="101"/>
      <c r="AV303" s="101"/>
      <c r="AW303" s="101"/>
      <c r="AX303" s="32">
        <f>운전실적_원본!W303</f>
        <v>0</v>
      </c>
      <c r="AY303" s="198">
        <f>운전실적_원본!X303</f>
        <v>0</v>
      </c>
      <c r="AZ303" s="198">
        <f>운전실적_원본!Y303</f>
        <v>0</v>
      </c>
      <c r="BA303" s="198">
        <f>운전실적_원본!Z303</f>
        <v>0</v>
      </c>
      <c r="BB303" s="198">
        <f>운전실적_원본!AA303</f>
        <v>0</v>
      </c>
      <c r="BC303" s="198">
        <f>운전실적_원본!AB303</f>
        <v>0</v>
      </c>
      <c r="BD303" s="32" t="str">
        <f t="shared" si="1454"/>
        <v>-</v>
      </c>
      <c r="BE303" s="11" t="str">
        <f t="shared" si="1462"/>
        <v>-</v>
      </c>
      <c r="BF303" s="11">
        <f>운전실적_원본!AE303</f>
        <v>0</v>
      </c>
      <c r="BG303" s="31">
        <f t="shared" si="1455"/>
        <v>0</v>
      </c>
    </row>
    <row r="304" spans="1:59">
      <c r="A304" s="6">
        <f t="shared" si="1463"/>
        <v>45956</v>
      </c>
      <c r="B304" s="15">
        <f>운전실적_원본!B304</f>
        <v>0.2</v>
      </c>
      <c r="C304" s="16">
        <f t="shared" si="1632"/>
        <v>0</v>
      </c>
      <c r="D304" s="9">
        <f>운전실적_원본!C304</f>
        <v>244023</v>
      </c>
      <c r="E304" s="199">
        <f t="shared" si="1633"/>
        <v>0</v>
      </c>
      <c r="F304" s="9">
        <f>운전실적_원본!D304</f>
        <v>237054</v>
      </c>
      <c r="G304" s="16">
        <f t="shared" si="1634"/>
        <v>0</v>
      </c>
      <c r="H304" s="15">
        <f>운전실적_원본!E304</f>
        <v>16688.16</v>
      </c>
      <c r="I304" s="16">
        <f t="shared" si="1635"/>
        <v>1.9199999999982538</v>
      </c>
      <c r="J304" s="15">
        <f>운전실적_원본!E304</f>
        <v>16688.16</v>
      </c>
      <c r="K304" s="16">
        <f t="shared" si="1635"/>
        <v>1.9199999999982538</v>
      </c>
      <c r="L304" s="15">
        <f>운전실적_원본!G304</f>
        <v>3969.9</v>
      </c>
      <c r="M304" s="31">
        <f t="shared" ref="M304" si="1677">IF(OR(LEN(L304)=0,L304=0),"",L304-L303)</f>
        <v>0.40000000000009095</v>
      </c>
      <c r="N304" s="15">
        <f>운전실적_원본!H304</f>
        <v>25546</v>
      </c>
      <c r="O304" s="16">
        <f t="shared" ref="O304" si="1678">IF(OR(LEN(N304)=0,N304=0),"",N304-N303)</f>
        <v>0</v>
      </c>
      <c r="P304" s="15">
        <f>운전실적_원본!I304</f>
        <v>4614</v>
      </c>
      <c r="Q304" s="16">
        <f t="shared" ref="Q304" si="1679">IF(OR(LEN(P304)=0,P304=0),"",P304-P303)</f>
        <v>23</v>
      </c>
      <c r="R304" s="18">
        <f>운전실적_원본!J304</f>
        <v>33.14</v>
      </c>
      <c r="S304" s="19">
        <f t="shared" ref="S304" si="1680">IF(OR(LEN(R304)=0,R304=0),"",R304-R303)</f>
        <v>-0.10000000000000142</v>
      </c>
      <c r="T304" s="18">
        <f>운전실적_원본!K304</f>
        <v>32.79</v>
      </c>
      <c r="U304" s="19">
        <f t="shared" si="1640"/>
        <v>9.9999999999980105E-3</v>
      </c>
      <c r="V304" s="12">
        <f>운전실적_원본!L304</f>
        <v>8008</v>
      </c>
      <c r="W304" s="16">
        <f t="shared" ref="W304" si="1681">IF(OR(LEN(V304)=0,V304=0),"",V304-V303)</f>
        <v>-285</v>
      </c>
      <c r="X304" s="10">
        <f>운전실적_원본!M304</f>
        <v>0</v>
      </c>
      <c r="Y304" s="10">
        <f>운전실적_원본!N304</f>
        <v>0</v>
      </c>
      <c r="Z304" s="10">
        <f>운전실적_원본!O304</f>
        <v>0</v>
      </c>
      <c r="AA304" s="10">
        <f>운전실적_원본!P304</f>
        <v>0</v>
      </c>
      <c r="AB304" s="10">
        <f>운전실적_원본!Q304</f>
        <v>0</v>
      </c>
      <c r="AC304" s="10">
        <f>운전실적_원본!R304</f>
        <v>0</v>
      </c>
      <c r="AD304" s="181">
        <f>운전실적_원본!S304</f>
        <v>0</v>
      </c>
      <c r="AE304" s="181">
        <f>운전실적_원본!T304</f>
        <v>0</v>
      </c>
      <c r="AF304" s="181">
        <f>운전실적_원본!U304</f>
        <v>0</v>
      </c>
      <c r="AG304" s="181">
        <f>운전실적_원본!V304</f>
        <v>0</v>
      </c>
      <c r="AH304" s="106">
        <f t="shared" si="1461"/>
        <v>0</v>
      </c>
      <c r="AI304" s="107">
        <f t="shared" si="1469"/>
        <v>0</v>
      </c>
      <c r="AJ304" s="107">
        <f t="shared" si="1470"/>
        <v>0</v>
      </c>
      <c r="AK304" s="204">
        <f t="shared" si="1471"/>
        <v>0</v>
      </c>
      <c r="AL304" s="103"/>
      <c r="AM304" s="103"/>
      <c r="AN304" s="103"/>
      <c r="AO304" s="103"/>
      <c r="AP304" s="103"/>
      <c r="AQ304" s="105"/>
      <c r="AR304" s="103"/>
      <c r="AS304" s="103"/>
      <c r="AT304" s="101"/>
      <c r="AU304" s="101"/>
      <c r="AV304" s="101"/>
      <c r="AW304" s="101"/>
      <c r="AX304" s="32">
        <f>운전실적_원본!W304</f>
        <v>0</v>
      </c>
      <c r="AY304" s="198">
        <f>운전실적_원본!X304</f>
        <v>0</v>
      </c>
      <c r="AZ304" s="198">
        <f>운전실적_원본!Y304</f>
        <v>0</v>
      </c>
      <c r="BA304" s="198">
        <f>운전실적_원본!Z304</f>
        <v>0</v>
      </c>
      <c r="BB304" s="198">
        <f>운전실적_원본!AA304</f>
        <v>0</v>
      </c>
      <c r="BC304" s="198">
        <f>운전실적_원본!AB304</f>
        <v>0</v>
      </c>
      <c r="BD304" s="32" t="str">
        <f t="shared" si="1454"/>
        <v>-</v>
      </c>
      <c r="BE304" s="11" t="str">
        <f t="shared" si="1462"/>
        <v>-</v>
      </c>
      <c r="BF304" s="11">
        <f>운전실적_원본!AE304</f>
        <v>0</v>
      </c>
      <c r="BG304" s="31">
        <f t="shared" si="1455"/>
        <v>0</v>
      </c>
    </row>
    <row r="305" spans="1:59">
      <c r="A305" s="6">
        <f t="shared" si="1463"/>
        <v>45957</v>
      </c>
      <c r="B305" s="15">
        <f>운전실적_원본!B305</f>
        <v>0.2</v>
      </c>
      <c r="C305" s="16">
        <f t="shared" si="1632"/>
        <v>0</v>
      </c>
      <c r="D305" s="9">
        <f>운전실적_원본!C305</f>
        <v>244112</v>
      </c>
      <c r="E305" s="199">
        <f t="shared" si="1633"/>
        <v>89</v>
      </c>
      <c r="F305" s="9">
        <f>운전실적_원본!D305</f>
        <v>237085</v>
      </c>
      <c r="G305" s="16">
        <f t="shared" si="1634"/>
        <v>31</v>
      </c>
      <c r="H305" s="15">
        <f>운전실적_원본!E305</f>
        <v>16692.310000000001</v>
      </c>
      <c r="I305" s="16">
        <f t="shared" si="1635"/>
        <v>4.1500000000014552</v>
      </c>
      <c r="J305" s="15">
        <f>운전실적_원본!E305</f>
        <v>16692.310000000001</v>
      </c>
      <c r="K305" s="16">
        <f t="shared" si="1635"/>
        <v>4.1500000000014552</v>
      </c>
      <c r="L305" s="15">
        <f>운전실적_원본!G305</f>
        <v>3970.7</v>
      </c>
      <c r="M305" s="31">
        <f t="shared" ref="M305" si="1682">IF(OR(LEN(L305)=0,L305=0),"",L305-L304)</f>
        <v>0.79999999999972715</v>
      </c>
      <c r="N305" s="15">
        <f>운전실적_원본!H305</f>
        <v>25606</v>
      </c>
      <c r="O305" s="16">
        <f t="shared" ref="O305" si="1683">IF(OR(LEN(N305)=0,N305=0),"",N305-N304)</f>
        <v>60</v>
      </c>
      <c r="P305" s="15">
        <f>운전실적_원본!I305</f>
        <v>4732</v>
      </c>
      <c r="Q305" s="16">
        <f t="shared" ref="Q305" si="1684">IF(OR(LEN(P305)=0,P305=0),"",P305-P304)</f>
        <v>118</v>
      </c>
      <c r="R305" s="18">
        <f>운전실적_원본!J305</f>
        <v>32.770000000000003</v>
      </c>
      <c r="S305" s="19">
        <f t="shared" ref="S305" si="1685">IF(OR(LEN(R305)=0,R305=0),"",R305-R304)</f>
        <v>-0.36999999999999744</v>
      </c>
      <c r="T305" s="18">
        <f>운전실적_원본!K305</f>
        <v>32.89</v>
      </c>
      <c r="U305" s="19">
        <f t="shared" si="1640"/>
        <v>0.10000000000000142</v>
      </c>
      <c r="V305" s="12">
        <f>운전실적_원본!L305</f>
        <v>8607</v>
      </c>
      <c r="W305" s="16">
        <f t="shared" ref="W305" si="1686">IF(OR(LEN(V305)=0,V305=0),"",V305-V304)</f>
        <v>599</v>
      </c>
      <c r="X305" s="10">
        <f>운전실적_원본!M305</f>
        <v>0</v>
      </c>
      <c r="Y305" s="10">
        <f>운전실적_원본!N305</f>
        <v>0</v>
      </c>
      <c r="Z305" s="10">
        <f>운전실적_원본!O305</f>
        <v>0</v>
      </c>
      <c r="AA305" s="10">
        <f>운전실적_원본!P305</f>
        <v>0</v>
      </c>
      <c r="AB305" s="10">
        <f>운전실적_원본!Q305</f>
        <v>0</v>
      </c>
      <c r="AC305" s="10">
        <f>운전실적_원본!R305</f>
        <v>0</v>
      </c>
      <c r="AD305" s="181">
        <f>운전실적_원본!S305</f>
        <v>0</v>
      </c>
      <c r="AE305" s="181">
        <f>운전실적_원본!T305</f>
        <v>0</v>
      </c>
      <c r="AF305" s="181">
        <f>운전실적_원본!U305</f>
        <v>0</v>
      </c>
      <c r="AG305" s="181">
        <f>운전실적_원본!V305</f>
        <v>0</v>
      </c>
      <c r="AH305" s="106">
        <f t="shared" si="1461"/>
        <v>0</v>
      </c>
      <c r="AI305" s="107">
        <f t="shared" si="1469"/>
        <v>0</v>
      </c>
      <c r="AJ305" s="107">
        <f t="shared" si="1470"/>
        <v>0</v>
      </c>
      <c r="AK305" s="204">
        <f t="shared" si="1471"/>
        <v>0</v>
      </c>
      <c r="AL305" s="103"/>
      <c r="AM305" s="103"/>
      <c r="AN305" s="103"/>
      <c r="AO305" s="103"/>
      <c r="AP305" s="103"/>
      <c r="AQ305" s="105"/>
      <c r="AR305" s="103"/>
      <c r="AS305" s="103"/>
      <c r="AT305" s="101"/>
      <c r="AU305" s="101"/>
      <c r="AV305" s="101"/>
      <c r="AW305" s="101"/>
      <c r="AX305" s="32">
        <f>운전실적_원본!W305</f>
        <v>0</v>
      </c>
      <c r="AY305" s="198">
        <f>운전실적_원본!X305</f>
        <v>0</v>
      </c>
      <c r="AZ305" s="198">
        <f>운전실적_원본!Y305</f>
        <v>0</v>
      </c>
      <c r="BA305" s="198">
        <f>운전실적_원본!Z305</f>
        <v>0</v>
      </c>
      <c r="BB305" s="198">
        <f>운전실적_원본!AA305</f>
        <v>0</v>
      </c>
      <c r="BC305" s="198">
        <f>운전실적_원본!AB305</f>
        <v>0</v>
      </c>
      <c r="BD305" s="32" t="str">
        <f t="shared" si="1454"/>
        <v>-</v>
      </c>
      <c r="BE305" s="11" t="str">
        <f t="shared" si="1462"/>
        <v>-</v>
      </c>
      <c r="BF305" s="11">
        <f>운전실적_원본!AE305</f>
        <v>0</v>
      </c>
      <c r="BG305" s="31">
        <f t="shared" si="1455"/>
        <v>0</v>
      </c>
    </row>
    <row r="306" spans="1:59">
      <c r="A306" s="6">
        <f t="shared" si="1463"/>
        <v>45958</v>
      </c>
      <c r="B306" s="15">
        <f>운전실적_원본!B306</f>
        <v>0.2</v>
      </c>
      <c r="C306" s="16">
        <f t="shared" si="1632"/>
        <v>0</v>
      </c>
      <c r="D306" s="9">
        <f>운전실적_원본!C306</f>
        <v>244112</v>
      </c>
      <c r="E306" s="199">
        <f t="shared" si="1633"/>
        <v>0</v>
      </c>
      <c r="F306" s="9">
        <f>운전실적_원본!D306</f>
        <v>237167</v>
      </c>
      <c r="G306" s="16">
        <f t="shared" si="1634"/>
        <v>82</v>
      </c>
      <c r="H306" s="15">
        <f>운전실적_원본!E306</f>
        <v>16696.38</v>
      </c>
      <c r="I306" s="16">
        <f t="shared" si="1635"/>
        <v>4.069999999999709</v>
      </c>
      <c r="J306" s="15">
        <f>운전실적_원본!E306</f>
        <v>16696.38</v>
      </c>
      <c r="K306" s="16">
        <f t="shared" si="1635"/>
        <v>4.069999999999709</v>
      </c>
      <c r="L306" s="15">
        <f>운전실적_원본!G306</f>
        <v>3971.7</v>
      </c>
      <c r="M306" s="31">
        <f t="shared" ref="M306" si="1687">IF(OR(LEN(L306)=0,L306=0),"",L306-L305)</f>
        <v>1</v>
      </c>
      <c r="N306" s="15">
        <f>운전실적_원본!H306</f>
        <v>25741</v>
      </c>
      <c r="O306" s="16">
        <f t="shared" ref="O306" si="1688">IF(OR(LEN(N306)=0,N306=0),"",N306-N305)</f>
        <v>135</v>
      </c>
      <c r="P306" s="15">
        <f>운전실적_원본!I306</f>
        <v>4845</v>
      </c>
      <c r="Q306" s="16">
        <f t="shared" ref="Q306" si="1689">IF(OR(LEN(P306)=0,P306=0),"",P306-P305)</f>
        <v>113</v>
      </c>
      <c r="R306" s="18">
        <f>운전실적_원본!J306</f>
        <v>33.01</v>
      </c>
      <c r="S306" s="19">
        <f t="shared" ref="S306" si="1690">IF(OR(LEN(R306)=0,R306=0),"",R306-R305)</f>
        <v>0.23999999999999488</v>
      </c>
      <c r="T306" s="18">
        <f>운전실적_원본!K306</f>
        <v>32.76</v>
      </c>
      <c r="U306" s="19">
        <f t="shared" si="1640"/>
        <v>-0.13000000000000256</v>
      </c>
      <c r="V306" s="12">
        <f>운전실적_원본!L306</f>
        <v>8640</v>
      </c>
      <c r="W306" s="16">
        <f t="shared" ref="W306" si="1691">IF(OR(LEN(V306)=0,V306=0),"",V306-V305)</f>
        <v>33</v>
      </c>
      <c r="X306" s="10">
        <f>운전실적_원본!M306</f>
        <v>0</v>
      </c>
      <c r="Y306" s="10">
        <f>운전실적_원본!N306</f>
        <v>0</v>
      </c>
      <c r="Z306" s="10">
        <f>운전실적_원본!O306</f>
        <v>0</v>
      </c>
      <c r="AA306" s="10">
        <f>운전실적_원본!P306</f>
        <v>0</v>
      </c>
      <c r="AB306" s="10">
        <f>운전실적_원본!Q306</f>
        <v>0</v>
      </c>
      <c r="AC306" s="10">
        <f>운전실적_원본!R306</f>
        <v>0</v>
      </c>
      <c r="AD306" s="181">
        <f>운전실적_원본!S306</f>
        <v>0</v>
      </c>
      <c r="AE306" s="181">
        <f>운전실적_원본!T306</f>
        <v>0</v>
      </c>
      <c r="AF306" s="181">
        <f>운전실적_원본!U306</f>
        <v>0</v>
      </c>
      <c r="AG306" s="181">
        <f>운전실적_원본!V306</f>
        <v>0</v>
      </c>
      <c r="AH306" s="106">
        <f t="shared" si="1461"/>
        <v>0</v>
      </c>
      <c r="AI306" s="107">
        <f t="shared" si="1469"/>
        <v>0</v>
      </c>
      <c r="AJ306" s="107">
        <f t="shared" si="1470"/>
        <v>0</v>
      </c>
      <c r="AK306" s="204">
        <f t="shared" si="1471"/>
        <v>0</v>
      </c>
      <c r="AL306" s="103"/>
      <c r="AM306" s="103"/>
      <c r="AN306" s="103"/>
      <c r="AO306" s="103"/>
      <c r="AP306" s="103"/>
      <c r="AQ306" s="105"/>
      <c r="AR306" s="103"/>
      <c r="AS306" s="103"/>
      <c r="AT306" s="101"/>
      <c r="AU306" s="101"/>
      <c r="AV306" s="101"/>
      <c r="AW306" s="101"/>
      <c r="AX306" s="32">
        <f>운전실적_원본!W306</f>
        <v>0</v>
      </c>
      <c r="AY306" s="198">
        <f>운전실적_원본!X306</f>
        <v>0</v>
      </c>
      <c r="AZ306" s="198">
        <f>운전실적_원본!Y306</f>
        <v>0</v>
      </c>
      <c r="BA306" s="198">
        <f>운전실적_원본!Z306</f>
        <v>0</v>
      </c>
      <c r="BB306" s="198">
        <f>운전실적_원본!AA306</f>
        <v>0</v>
      </c>
      <c r="BC306" s="198">
        <f>운전실적_원본!AB306</f>
        <v>0</v>
      </c>
      <c r="BD306" s="32" t="str">
        <f t="shared" si="1454"/>
        <v>-</v>
      </c>
      <c r="BE306" s="11" t="str">
        <f t="shared" si="1462"/>
        <v>-</v>
      </c>
      <c r="BF306" s="11">
        <f>운전실적_원본!AE306</f>
        <v>0</v>
      </c>
      <c r="BG306" s="31">
        <f t="shared" si="1455"/>
        <v>0</v>
      </c>
    </row>
    <row r="307" spans="1:59">
      <c r="A307" s="6">
        <f t="shared" si="1463"/>
        <v>45959</v>
      </c>
      <c r="B307" s="15">
        <f>운전실적_원본!B307</f>
        <v>30</v>
      </c>
      <c r="C307" s="16">
        <f t="shared" si="1632"/>
        <v>29.8</v>
      </c>
      <c r="D307" s="9">
        <f>운전실적_원본!C307</f>
        <v>244192</v>
      </c>
      <c r="E307" s="199">
        <f t="shared" si="1633"/>
        <v>80</v>
      </c>
      <c r="F307" s="9">
        <f>운전실적_원본!D307</f>
        <v>237207</v>
      </c>
      <c r="G307" s="16">
        <f t="shared" si="1634"/>
        <v>40</v>
      </c>
      <c r="H307" s="15">
        <f>운전실적_원본!E307</f>
        <v>16700.41</v>
      </c>
      <c r="I307" s="16">
        <f t="shared" si="1635"/>
        <v>4.0299999999988358</v>
      </c>
      <c r="J307" s="15">
        <f>운전실적_원본!E307</f>
        <v>16700.41</v>
      </c>
      <c r="K307" s="16">
        <f t="shared" si="1635"/>
        <v>4.0299999999988358</v>
      </c>
      <c r="L307" s="15">
        <f>운전실적_원본!G307</f>
        <v>3972.7</v>
      </c>
      <c r="M307" s="31">
        <f t="shared" ref="M307" si="1692">IF(OR(LEN(L307)=0,L307=0),"",L307-L306)</f>
        <v>1</v>
      </c>
      <c r="N307" s="15">
        <f>운전실적_원본!H307</f>
        <v>25899</v>
      </c>
      <c r="O307" s="16">
        <f t="shared" ref="O307" si="1693">IF(OR(LEN(N307)=0,N307=0),"",N307-N306)</f>
        <v>158</v>
      </c>
      <c r="P307" s="15">
        <f>운전실적_원본!I307</f>
        <v>4956</v>
      </c>
      <c r="Q307" s="16">
        <f t="shared" ref="Q307" si="1694">IF(OR(LEN(P307)=0,P307=0),"",P307-P306)</f>
        <v>111</v>
      </c>
      <c r="R307" s="18">
        <f>운전실적_원본!J307</f>
        <v>33.159999999999997</v>
      </c>
      <c r="S307" s="19">
        <f t="shared" ref="S307" si="1695">IF(OR(LEN(R307)=0,R307=0),"",R307-R306)</f>
        <v>0.14999999999999858</v>
      </c>
      <c r="T307" s="18">
        <f>운전실적_원본!K307</f>
        <v>32.78</v>
      </c>
      <c r="U307" s="19">
        <f t="shared" si="1640"/>
        <v>2.0000000000003126E-2</v>
      </c>
      <c r="V307" s="12">
        <f>운전실적_원본!L307</f>
        <v>8062</v>
      </c>
      <c r="W307" s="16">
        <f t="shared" ref="W307" si="1696">IF(OR(LEN(V307)=0,V307=0),"",V307-V306)</f>
        <v>-578</v>
      </c>
      <c r="X307" s="10">
        <f>운전실적_원본!M307</f>
        <v>0</v>
      </c>
      <c r="Y307" s="10">
        <f>운전실적_원본!N307</f>
        <v>0</v>
      </c>
      <c r="Z307" s="10">
        <f>운전실적_원본!O307</f>
        <v>0</v>
      </c>
      <c r="AA307" s="10">
        <f>운전실적_원본!P307</f>
        <v>0</v>
      </c>
      <c r="AB307" s="10">
        <f>운전실적_원본!Q307</f>
        <v>0</v>
      </c>
      <c r="AC307" s="10">
        <f>운전실적_원본!R307</f>
        <v>0</v>
      </c>
      <c r="AD307" s="181">
        <f>운전실적_원본!S307</f>
        <v>0</v>
      </c>
      <c r="AE307" s="181">
        <f>운전실적_원본!T307</f>
        <v>0</v>
      </c>
      <c r="AF307" s="181">
        <f>운전실적_원본!U307</f>
        <v>0</v>
      </c>
      <c r="AG307" s="181">
        <f>운전실적_원본!V307</f>
        <v>0</v>
      </c>
      <c r="AH307" s="106">
        <f t="shared" si="1461"/>
        <v>0</v>
      </c>
      <c r="AI307" s="107">
        <f t="shared" si="1469"/>
        <v>0</v>
      </c>
      <c r="AJ307" s="107">
        <f t="shared" si="1470"/>
        <v>0</v>
      </c>
      <c r="AK307" s="204">
        <f t="shared" si="1471"/>
        <v>0</v>
      </c>
      <c r="AL307" s="103"/>
      <c r="AM307" s="103"/>
      <c r="AN307" s="103"/>
      <c r="AO307" s="103"/>
      <c r="AP307" s="103"/>
      <c r="AQ307" s="105"/>
      <c r="AR307" s="103"/>
      <c r="AS307" s="103"/>
      <c r="AT307" s="101"/>
      <c r="AU307" s="101"/>
      <c r="AV307" s="101"/>
      <c r="AW307" s="101"/>
      <c r="AX307" s="32">
        <f>운전실적_원본!W307</f>
        <v>0</v>
      </c>
      <c r="AY307" s="198">
        <f>운전실적_원본!X307</f>
        <v>0</v>
      </c>
      <c r="AZ307" s="198">
        <f>운전실적_원본!Y307</f>
        <v>0</v>
      </c>
      <c r="BA307" s="198">
        <f>운전실적_원본!Z307</f>
        <v>0</v>
      </c>
      <c r="BB307" s="198">
        <f>운전실적_원본!AA307</f>
        <v>0</v>
      </c>
      <c r="BC307" s="198">
        <f>운전실적_원본!AB307</f>
        <v>0</v>
      </c>
      <c r="BD307" s="32" t="str">
        <f t="shared" si="1454"/>
        <v>-</v>
      </c>
      <c r="BE307" s="11" t="str">
        <f t="shared" si="1462"/>
        <v>-</v>
      </c>
      <c r="BF307" s="11">
        <f>운전실적_원본!AE307</f>
        <v>0</v>
      </c>
      <c r="BG307" s="31">
        <f t="shared" si="1455"/>
        <v>0</v>
      </c>
    </row>
    <row r="308" spans="1:59">
      <c r="A308" s="6">
        <f t="shared" si="1463"/>
        <v>45960</v>
      </c>
      <c r="B308" s="15">
        <f>운전실적_원본!B308</f>
        <v>121.2</v>
      </c>
      <c r="C308" s="16">
        <f t="shared" si="1632"/>
        <v>91.2</v>
      </c>
      <c r="D308" s="9">
        <f>운전실적_원본!C308</f>
        <v>244311</v>
      </c>
      <c r="E308" s="199">
        <f t="shared" si="1633"/>
        <v>119</v>
      </c>
      <c r="F308" s="9">
        <f>운전실적_원본!D308</f>
        <v>237207</v>
      </c>
      <c r="G308" s="16">
        <f t="shared" si="1634"/>
        <v>0</v>
      </c>
      <c r="H308" s="15">
        <f>운전실적_원본!E308</f>
        <v>16704.38</v>
      </c>
      <c r="I308" s="16">
        <f t="shared" si="1635"/>
        <v>3.9700000000011642</v>
      </c>
      <c r="J308" s="15">
        <f>운전실적_원본!E308</f>
        <v>16704.38</v>
      </c>
      <c r="K308" s="16">
        <f t="shared" si="1635"/>
        <v>3.9700000000011642</v>
      </c>
      <c r="L308" s="15">
        <f>운전실적_원본!G308</f>
        <v>3973.4</v>
      </c>
      <c r="M308" s="31">
        <f t="shared" ref="M308" si="1697">IF(OR(LEN(L308)=0,L308=0),"",L308-L307)</f>
        <v>0.70000000000027285</v>
      </c>
      <c r="N308" s="15">
        <f>운전실적_원본!H308</f>
        <v>25962</v>
      </c>
      <c r="O308" s="16">
        <f t="shared" ref="O308" si="1698">IF(OR(LEN(N308)=0,N308=0),"",N308-N307)</f>
        <v>63</v>
      </c>
      <c r="P308" s="15">
        <f>운전실적_원본!I308</f>
        <v>5111</v>
      </c>
      <c r="Q308" s="16">
        <f t="shared" ref="Q308" si="1699">IF(OR(LEN(P308)=0,P308=0),"",P308-P307)</f>
        <v>155</v>
      </c>
      <c r="R308" s="18">
        <f>운전실적_원본!J308</f>
        <v>33.450000000000003</v>
      </c>
      <c r="S308" s="19">
        <f t="shared" ref="S308" si="1700">IF(OR(LEN(R308)=0,R308=0),"",R308-R307)</f>
        <v>0.29000000000000625</v>
      </c>
      <c r="T308" s="18">
        <f>운전실적_원본!K308</f>
        <v>32.909999999999997</v>
      </c>
      <c r="U308" s="19">
        <f t="shared" si="1640"/>
        <v>0.12999999999999545</v>
      </c>
      <c r="V308" s="12">
        <f>운전실적_원본!L308</f>
        <v>8062</v>
      </c>
      <c r="W308" s="16">
        <f t="shared" ref="W308" si="1701">IF(OR(LEN(V308)=0,V308=0),"",V308-V307)</f>
        <v>0</v>
      </c>
      <c r="X308" s="10">
        <f>운전실적_원본!M308</f>
        <v>0</v>
      </c>
      <c r="Y308" s="10">
        <f>운전실적_원본!N308</f>
        <v>0</v>
      </c>
      <c r="Z308" s="10">
        <f>운전실적_원본!O308</f>
        <v>0</v>
      </c>
      <c r="AA308" s="10">
        <f>운전실적_원본!P308</f>
        <v>0</v>
      </c>
      <c r="AB308" s="10">
        <f>운전실적_원본!Q308</f>
        <v>0</v>
      </c>
      <c r="AC308" s="10">
        <f>운전실적_원본!R308</f>
        <v>0</v>
      </c>
      <c r="AD308" s="181">
        <f>운전실적_원본!S308</f>
        <v>0</v>
      </c>
      <c r="AE308" s="181">
        <f>운전실적_원본!T308</f>
        <v>0</v>
      </c>
      <c r="AF308" s="181">
        <f>운전실적_원본!U308</f>
        <v>0</v>
      </c>
      <c r="AG308" s="181">
        <f>운전실적_원본!V308</f>
        <v>0</v>
      </c>
      <c r="AH308" s="106">
        <f t="shared" si="1461"/>
        <v>0</v>
      </c>
      <c r="AI308" s="107">
        <f t="shared" si="1469"/>
        <v>0</v>
      </c>
      <c r="AJ308" s="107">
        <f t="shared" si="1470"/>
        <v>0</v>
      </c>
      <c r="AK308" s="204">
        <f t="shared" si="1471"/>
        <v>0</v>
      </c>
      <c r="AL308" s="103"/>
      <c r="AM308" s="103"/>
      <c r="AN308" s="103"/>
      <c r="AO308" s="103"/>
      <c r="AP308" s="103"/>
      <c r="AQ308" s="105"/>
      <c r="AR308" s="103"/>
      <c r="AS308" s="103"/>
      <c r="AT308" s="101"/>
      <c r="AU308" s="101"/>
      <c r="AV308" s="101"/>
      <c r="AW308" s="101"/>
      <c r="AX308" s="32">
        <f>운전실적_원본!W308</f>
        <v>0</v>
      </c>
      <c r="AY308" s="198">
        <f>운전실적_원본!X308</f>
        <v>0</v>
      </c>
      <c r="AZ308" s="198">
        <f>운전실적_원본!Y308</f>
        <v>0</v>
      </c>
      <c r="BA308" s="198">
        <f>운전실적_원본!Z308</f>
        <v>0</v>
      </c>
      <c r="BB308" s="198">
        <f>운전실적_원본!AA308</f>
        <v>0</v>
      </c>
      <c r="BC308" s="198">
        <f>운전실적_원본!AB308</f>
        <v>0</v>
      </c>
      <c r="BD308" s="32" t="str">
        <f t="shared" si="1454"/>
        <v>-</v>
      </c>
      <c r="BE308" s="11" t="str">
        <f t="shared" si="1462"/>
        <v>-</v>
      </c>
      <c r="BF308" s="11">
        <f>운전실적_원본!AE308</f>
        <v>0</v>
      </c>
      <c r="BG308" s="31">
        <f t="shared" si="1455"/>
        <v>0</v>
      </c>
    </row>
    <row r="309" spans="1:59" s="197" customFormat="1">
      <c r="A309" s="205">
        <f t="shared" si="1463"/>
        <v>45961</v>
      </c>
      <c r="B309" s="182">
        <f>운전실적_원본!B309</f>
        <v>210</v>
      </c>
      <c r="C309" s="183">
        <f t="shared" si="1632"/>
        <v>88.8</v>
      </c>
      <c r="D309" s="184">
        <f>운전실적_원본!C309</f>
        <v>244367</v>
      </c>
      <c r="E309" s="202">
        <f t="shared" si="1633"/>
        <v>56</v>
      </c>
      <c r="F309" s="184">
        <f>운전실적_원본!D309</f>
        <v>237332</v>
      </c>
      <c r="G309" s="183">
        <f t="shared" si="1634"/>
        <v>125</v>
      </c>
      <c r="H309" s="182">
        <f>운전실적_원본!E309</f>
        <v>16709.12</v>
      </c>
      <c r="I309" s="183">
        <f t="shared" si="1635"/>
        <v>4.7399999999979627</v>
      </c>
      <c r="J309" s="182">
        <f>운전실적_원본!E309</f>
        <v>16709.12</v>
      </c>
      <c r="K309" s="183">
        <f t="shared" si="1635"/>
        <v>4.7399999999979627</v>
      </c>
      <c r="L309" s="182">
        <f>운전실적_원본!G309</f>
        <v>3974.5</v>
      </c>
      <c r="M309" s="185">
        <f t="shared" ref="M309" si="1702">IF(OR(LEN(L309)=0,L309=0),"",L309-L308)</f>
        <v>1.0999999999999091</v>
      </c>
      <c r="N309" s="182">
        <f>운전실적_원본!H309</f>
        <v>26157</v>
      </c>
      <c r="O309" s="183">
        <f t="shared" ref="O309" si="1703">IF(OR(LEN(N309)=0,N309=0),"",N309-N308)</f>
        <v>195</v>
      </c>
      <c r="P309" s="182">
        <f>운전실적_원본!I309</f>
        <v>5358</v>
      </c>
      <c r="Q309" s="183">
        <f t="shared" ref="Q309" si="1704">IF(OR(LEN(P309)=0,P309=0),"",P309-P308)</f>
        <v>247</v>
      </c>
      <c r="R309" s="186">
        <f>운전실적_원본!J309</f>
        <v>33.74</v>
      </c>
      <c r="S309" s="187">
        <f t="shared" ref="S309" si="1705">IF(OR(LEN(R309)=0,R309=0),"",R309-R308)</f>
        <v>0.28999999999999915</v>
      </c>
      <c r="T309" s="186">
        <f>운전실적_원본!K309</f>
        <v>33.020000000000003</v>
      </c>
      <c r="U309" s="187">
        <f t="shared" si="1640"/>
        <v>0.11000000000000654</v>
      </c>
      <c r="V309" s="184">
        <f>운전실적_원본!L309</f>
        <v>4834</v>
      </c>
      <c r="W309" s="183">
        <f t="shared" ref="W309" si="1706">IF(OR(LEN(V309)=0,V309=0),"",V309-V308)</f>
        <v>-3228</v>
      </c>
      <c r="X309" s="188">
        <f>운전실적_원본!M309</f>
        <v>0</v>
      </c>
      <c r="Y309" s="188">
        <f>운전실적_원본!N309</f>
        <v>0</v>
      </c>
      <c r="Z309" s="188">
        <f>운전실적_원본!O309</f>
        <v>0</v>
      </c>
      <c r="AA309" s="188">
        <f>운전실적_원본!P309</f>
        <v>0</v>
      </c>
      <c r="AB309" s="188">
        <f>운전실적_원본!Q309</f>
        <v>0</v>
      </c>
      <c r="AC309" s="188">
        <f>운전실적_원본!R309</f>
        <v>0</v>
      </c>
      <c r="AD309" s="189">
        <f>운전실적_원본!S309</f>
        <v>0</v>
      </c>
      <c r="AE309" s="189">
        <f>운전실적_원본!T309</f>
        <v>0</v>
      </c>
      <c r="AF309" s="189">
        <f>운전실적_원본!U309</f>
        <v>0</v>
      </c>
      <c r="AG309" s="189">
        <f>운전실적_원본!V309</f>
        <v>0</v>
      </c>
      <c r="AH309" s="190">
        <f t="shared" si="1461"/>
        <v>0</v>
      </c>
      <c r="AI309" s="191">
        <f t="shared" si="1469"/>
        <v>0</v>
      </c>
      <c r="AJ309" s="191">
        <f t="shared" si="1470"/>
        <v>0</v>
      </c>
      <c r="AK309" s="206">
        <f t="shared" si="1471"/>
        <v>0</v>
      </c>
      <c r="AL309" s="192"/>
      <c r="AM309" s="192"/>
      <c r="AN309" s="192"/>
      <c r="AO309" s="192"/>
      <c r="AP309" s="192"/>
      <c r="AQ309" s="193"/>
      <c r="AR309" s="192"/>
      <c r="AS309" s="192"/>
      <c r="AT309" s="194"/>
      <c r="AU309" s="194"/>
      <c r="AV309" s="194"/>
      <c r="AW309" s="194"/>
      <c r="AX309" s="195">
        <f>운전실적_원본!W309</f>
        <v>0</v>
      </c>
      <c r="AY309" s="196">
        <f>운전실적_원본!X309</f>
        <v>0</v>
      </c>
      <c r="AZ309" s="196">
        <f>운전실적_원본!Y309</f>
        <v>0</v>
      </c>
      <c r="BA309" s="196">
        <f>운전실적_원본!Z309</f>
        <v>0</v>
      </c>
      <c r="BB309" s="196">
        <f>운전실적_원본!AA309</f>
        <v>0</v>
      </c>
      <c r="BC309" s="185">
        <f>운전실적_원본!AB309</f>
        <v>0</v>
      </c>
      <c r="BD309" s="195" t="str">
        <f t="shared" si="1454"/>
        <v>-</v>
      </c>
      <c r="BE309" s="196" t="str">
        <f t="shared" si="1462"/>
        <v>-</v>
      </c>
      <c r="BF309" s="196">
        <f>운전실적_원본!AE309</f>
        <v>0</v>
      </c>
      <c r="BG309" s="185">
        <f t="shared" si="1455"/>
        <v>0</v>
      </c>
    </row>
    <row r="310" spans="1:59">
      <c r="A310" s="6">
        <f t="shared" si="1463"/>
        <v>45962</v>
      </c>
      <c r="B310" s="15">
        <f>운전실적_원본!B310</f>
        <v>270.8</v>
      </c>
      <c r="C310" s="16">
        <f t="shared" si="1632"/>
        <v>60.800000000000011</v>
      </c>
      <c r="D310" s="9">
        <f>운전실적_원본!C310</f>
        <v>244522</v>
      </c>
      <c r="E310" s="199">
        <f t="shared" si="1633"/>
        <v>155</v>
      </c>
      <c r="F310" s="9">
        <f>운전실적_원본!D310</f>
        <v>237415</v>
      </c>
      <c r="G310" s="16">
        <f t="shared" si="1634"/>
        <v>83</v>
      </c>
      <c r="H310" s="15">
        <f>운전실적_원본!E310</f>
        <v>16710.89</v>
      </c>
      <c r="I310" s="16">
        <f t="shared" si="1635"/>
        <v>1.7700000000004366</v>
      </c>
      <c r="J310" s="15">
        <f>운전실적_원본!E310</f>
        <v>16710.89</v>
      </c>
      <c r="K310" s="16">
        <f t="shared" si="1635"/>
        <v>1.7700000000004366</v>
      </c>
      <c r="L310" s="15">
        <f>운전실적_원본!G310</f>
        <v>3975.2</v>
      </c>
      <c r="M310" s="31">
        <f t="shared" ref="M310" si="1707">IF(OR(LEN(L310)=0,L310=0),"",L310-L309)</f>
        <v>0.6999999999998181</v>
      </c>
      <c r="N310" s="15">
        <f>운전실적_원본!H310</f>
        <v>26174</v>
      </c>
      <c r="O310" s="16">
        <f t="shared" ref="O310" si="1708">IF(OR(LEN(N310)=0,N310=0),"",N310-N309)</f>
        <v>17</v>
      </c>
      <c r="P310" s="15">
        <f>운전실적_원본!I310</f>
        <v>5610</v>
      </c>
      <c r="Q310" s="16">
        <f t="shared" ref="Q310" si="1709">IF(OR(LEN(P310)=0,P310=0),"",P310-P309)</f>
        <v>252</v>
      </c>
      <c r="R310" s="18">
        <f>운전실적_원본!J310</f>
        <v>33.68</v>
      </c>
      <c r="S310" s="19">
        <f t="shared" ref="S310" si="1710">IF(OR(LEN(R310)=0,R310=0),"",R310-R309)</f>
        <v>-6.0000000000002274E-2</v>
      </c>
      <c r="T310" s="18">
        <f>운전실적_원본!K310</f>
        <v>33.14</v>
      </c>
      <c r="U310" s="19">
        <f t="shared" si="1640"/>
        <v>0.11999999999999744</v>
      </c>
      <c r="V310" s="12">
        <f>운전실적_원본!L310</f>
        <v>7404</v>
      </c>
      <c r="W310" s="16">
        <f t="shared" ref="W310" si="1711">IF(OR(LEN(V310)=0,V310=0),"",V310-V309)</f>
        <v>2570</v>
      </c>
      <c r="X310" s="10">
        <f>운전실적_원본!M310</f>
        <v>0</v>
      </c>
      <c r="Y310" s="10">
        <f>운전실적_원본!N310</f>
        <v>0</v>
      </c>
      <c r="Z310" s="10">
        <f>운전실적_원본!O310</f>
        <v>0</v>
      </c>
      <c r="AA310" s="10">
        <f>운전실적_원본!P310</f>
        <v>0</v>
      </c>
      <c r="AB310" s="10">
        <f>운전실적_원본!Q310</f>
        <v>0</v>
      </c>
      <c r="AC310" s="10">
        <f>운전실적_원본!R310</f>
        <v>0</v>
      </c>
      <c r="AD310" s="181">
        <f>운전실적_원본!S310</f>
        <v>0</v>
      </c>
      <c r="AE310" s="181">
        <f>운전실적_원본!T310</f>
        <v>0</v>
      </c>
      <c r="AF310" s="181">
        <f>운전실적_원본!U310</f>
        <v>0</v>
      </c>
      <c r="AG310" s="181">
        <f>운전실적_원본!V310</f>
        <v>0</v>
      </c>
      <c r="AH310" s="106">
        <f t="shared" si="1461"/>
        <v>0</v>
      </c>
      <c r="AI310" s="107">
        <f t="shared" si="1469"/>
        <v>0</v>
      </c>
      <c r="AJ310" s="107">
        <f t="shared" si="1470"/>
        <v>0</v>
      </c>
      <c r="AK310" s="204">
        <f t="shared" si="1471"/>
        <v>0</v>
      </c>
      <c r="AL310" s="103"/>
      <c r="AM310" s="103"/>
      <c r="AN310" s="103"/>
      <c r="AO310" s="103"/>
      <c r="AP310" s="103"/>
      <c r="AQ310" s="105"/>
      <c r="AR310" s="103"/>
      <c r="AS310" s="103"/>
      <c r="AT310" s="101"/>
      <c r="AU310" s="101"/>
      <c r="AV310" s="101"/>
      <c r="AW310" s="101"/>
      <c r="AX310" s="32">
        <f>운전실적_원본!W310</f>
        <v>0</v>
      </c>
      <c r="AY310" s="198">
        <f>운전실적_원본!X310</f>
        <v>0</v>
      </c>
      <c r="AZ310" s="198">
        <f>운전실적_원본!Y310</f>
        <v>0</v>
      </c>
      <c r="BA310" s="198">
        <f>운전실적_원본!Z310</f>
        <v>0</v>
      </c>
      <c r="BB310" s="198">
        <f>운전실적_원본!AA310</f>
        <v>0</v>
      </c>
      <c r="BC310" s="198">
        <f>운전실적_원본!AB310</f>
        <v>0</v>
      </c>
      <c r="BD310" s="32" t="str">
        <f t="shared" si="1454"/>
        <v>-</v>
      </c>
      <c r="BE310" s="11" t="str">
        <f t="shared" si="1462"/>
        <v>-</v>
      </c>
      <c r="BF310" s="11">
        <f>운전실적_원본!AE310</f>
        <v>0</v>
      </c>
      <c r="BG310" s="31">
        <f t="shared" si="1455"/>
        <v>0</v>
      </c>
    </row>
    <row r="311" spans="1:59">
      <c r="A311" s="6">
        <f t="shared" si="1463"/>
        <v>45963</v>
      </c>
      <c r="B311" s="15">
        <f>운전실적_원본!B311</f>
        <v>270.8</v>
      </c>
      <c r="C311" s="16">
        <f t="shared" si="1632"/>
        <v>0</v>
      </c>
      <c r="D311" s="9">
        <f>운전실적_원본!C311</f>
        <v>244529</v>
      </c>
      <c r="E311" s="199">
        <f t="shared" si="1633"/>
        <v>7</v>
      </c>
      <c r="F311" s="9">
        <f>운전실적_원본!D311</f>
        <v>237442</v>
      </c>
      <c r="G311" s="16">
        <f t="shared" si="1634"/>
        <v>27</v>
      </c>
      <c r="H311" s="15">
        <f>운전실적_원본!E311</f>
        <v>16715.55</v>
      </c>
      <c r="I311" s="16">
        <f t="shared" si="1635"/>
        <v>4.6599999999998545</v>
      </c>
      <c r="J311" s="15">
        <f>운전실적_원본!E311</f>
        <v>16715.55</v>
      </c>
      <c r="K311" s="16">
        <f t="shared" si="1635"/>
        <v>4.6599999999998545</v>
      </c>
      <c r="L311" s="15">
        <f>운전실적_원본!G311</f>
        <v>3975.6</v>
      </c>
      <c r="M311" s="31">
        <f t="shared" ref="M311" si="1712">IF(OR(LEN(L311)=0,L311=0),"",L311-L310)</f>
        <v>0.40000000000009095</v>
      </c>
      <c r="N311" s="15">
        <f>운전실적_원본!H311</f>
        <v>26174</v>
      </c>
      <c r="O311" s="16">
        <f t="shared" ref="O311" si="1713">IF(OR(LEN(N311)=0,N311=0),"",N311-N310)</f>
        <v>0</v>
      </c>
      <c r="P311" s="15">
        <f>운전실적_원본!I311</f>
        <v>5680</v>
      </c>
      <c r="Q311" s="16">
        <f t="shared" ref="Q311" si="1714">IF(OR(LEN(P311)=0,P311=0),"",P311-P310)</f>
        <v>70</v>
      </c>
      <c r="R311" s="18">
        <f>운전실적_원본!J311</f>
        <v>33.729999999999997</v>
      </c>
      <c r="S311" s="19">
        <f t="shared" ref="S311" si="1715">IF(OR(LEN(R311)=0,R311=0),"",R311-R310)</f>
        <v>4.9999999999997158E-2</v>
      </c>
      <c r="T311" s="18">
        <f>운전실적_원본!K311</f>
        <v>33.130000000000003</v>
      </c>
      <c r="U311" s="19">
        <f t="shared" si="1640"/>
        <v>-9.9999999999980105E-3</v>
      </c>
      <c r="V311" s="12">
        <f>운전실적_원본!L311</f>
        <v>8842</v>
      </c>
      <c r="W311" s="16">
        <f t="shared" ref="W311" si="1716">IF(OR(LEN(V311)=0,V311=0),"",V311-V310)</f>
        <v>1438</v>
      </c>
      <c r="X311" s="10">
        <f>운전실적_원본!M311</f>
        <v>0</v>
      </c>
      <c r="Y311" s="10">
        <f>운전실적_원본!N311</f>
        <v>0</v>
      </c>
      <c r="Z311" s="10">
        <f>운전실적_원본!O311</f>
        <v>0</v>
      </c>
      <c r="AA311" s="10">
        <f>운전실적_원본!P311</f>
        <v>0</v>
      </c>
      <c r="AB311" s="10">
        <f>운전실적_원본!Q311</f>
        <v>0</v>
      </c>
      <c r="AC311" s="10">
        <f>운전실적_원본!R311</f>
        <v>0</v>
      </c>
      <c r="AD311" s="181">
        <f>운전실적_원본!S311</f>
        <v>0</v>
      </c>
      <c r="AE311" s="181">
        <f>운전실적_원본!T311</f>
        <v>0</v>
      </c>
      <c r="AF311" s="181">
        <f>운전실적_원본!U311</f>
        <v>0</v>
      </c>
      <c r="AG311" s="181">
        <f>운전실적_원본!V311</f>
        <v>0</v>
      </c>
      <c r="AH311" s="106">
        <f t="shared" si="1461"/>
        <v>0</v>
      </c>
      <c r="AI311" s="107">
        <f t="shared" si="1469"/>
        <v>0</v>
      </c>
      <c r="AJ311" s="107">
        <f t="shared" si="1470"/>
        <v>0</v>
      </c>
      <c r="AK311" s="204">
        <f t="shared" si="1471"/>
        <v>0</v>
      </c>
      <c r="AL311" s="103"/>
      <c r="AM311" s="103"/>
      <c r="AN311" s="103"/>
      <c r="AO311" s="103"/>
      <c r="AP311" s="103"/>
      <c r="AQ311" s="105"/>
      <c r="AR311" s="103"/>
      <c r="AS311" s="103"/>
      <c r="AT311" s="101"/>
      <c r="AU311" s="101"/>
      <c r="AV311" s="101"/>
      <c r="AW311" s="101"/>
      <c r="AX311" s="32">
        <f>운전실적_원본!W311</f>
        <v>0</v>
      </c>
      <c r="AY311" s="198">
        <f>운전실적_원본!X311</f>
        <v>0</v>
      </c>
      <c r="AZ311" s="198">
        <f>운전실적_원본!Y311</f>
        <v>0</v>
      </c>
      <c r="BA311" s="198">
        <f>운전실적_원본!Z311</f>
        <v>0</v>
      </c>
      <c r="BB311" s="198">
        <f>운전실적_원본!AA311</f>
        <v>0</v>
      </c>
      <c r="BC311" s="198">
        <f>운전실적_원본!AB311</f>
        <v>0</v>
      </c>
      <c r="BD311" s="32" t="str">
        <f t="shared" si="1454"/>
        <v>-</v>
      </c>
      <c r="BE311" s="11" t="str">
        <f t="shared" si="1462"/>
        <v>-</v>
      </c>
      <c r="BF311" s="11">
        <f>운전실적_원본!AE311</f>
        <v>0</v>
      </c>
      <c r="BG311" s="31">
        <f t="shared" si="1455"/>
        <v>0</v>
      </c>
    </row>
    <row r="312" spans="1:59">
      <c r="A312" s="6">
        <f t="shared" si="1463"/>
        <v>45964</v>
      </c>
      <c r="B312" s="15">
        <f>운전실적_원본!B312</f>
        <v>270.8</v>
      </c>
      <c r="C312" s="16">
        <f t="shared" si="1632"/>
        <v>0</v>
      </c>
      <c r="D312" s="9">
        <f>운전실적_원본!C312</f>
        <v>244529</v>
      </c>
      <c r="E312" s="199">
        <f t="shared" si="1633"/>
        <v>0</v>
      </c>
      <c r="F312" s="9">
        <f>운전실적_원본!D312</f>
        <v>237485</v>
      </c>
      <c r="G312" s="16">
        <f t="shared" si="1634"/>
        <v>43</v>
      </c>
      <c r="H312" s="15">
        <f>운전실적_원본!E312</f>
        <v>16719.8</v>
      </c>
      <c r="I312" s="16">
        <f t="shared" si="1635"/>
        <v>4.25</v>
      </c>
      <c r="J312" s="15">
        <f>운전실적_원본!E312</f>
        <v>16719.8</v>
      </c>
      <c r="K312" s="16">
        <f t="shared" si="1635"/>
        <v>4.25</v>
      </c>
      <c r="L312" s="15">
        <f>운전실적_원본!G312</f>
        <v>3976.6</v>
      </c>
      <c r="M312" s="31">
        <f t="shared" ref="M312" si="1717">IF(OR(LEN(L312)=0,L312=0),"",L312-L311)</f>
        <v>1</v>
      </c>
      <c r="N312" s="15">
        <f>운전실적_원본!H312</f>
        <v>26343</v>
      </c>
      <c r="O312" s="16">
        <f t="shared" ref="O312" si="1718">IF(OR(LEN(N312)=0,N312=0),"",N312-N311)</f>
        <v>169</v>
      </c>
      <c r="P312" s="15">
        <f>운전실적_원본!I312</f>
        <v>5750</v>
      </c>
      <c r="Q312" s="16">
        <f t="shared" ref="Q312" si="1719">IF(OR(LEN(P312)=0,P312=0),"",P312-P311)</f>
        <v>70</v>
      </c>
      <c r="R312" s="18">
        <f>운전실적_원본!J312</f>
        <v>33.51</v>
      </c>
      <c r="S312" s="19">
        <f t="shared" ref="S312" si="1720">IF(OR(LEN(R312)=0,R312=0),"",R312-R311)</f>
        <v>-0.21999999999999886</v>
      </c>
      <c r="T312" s="18">
        <f>운전실적_원본!K312</f>
        <v>33.130000000000003</v>
      </c>
      <c r="U312" s="19">
        <f t="shared" si="1640"/>
        <v>0</v>
      </c>
      <c r="V312" s="12">
        <f>운전실적_원본!L312</f>
        <v>8558</v>
      </c>
      <c r="W312" s="16">
        <f t="shared" ref="W312" si="1721">IF(OR(LEN(V312)=0,V312=0),"",V312-V311)</f>
        <v>-284</v>
      </c>
      <c r="X312" s="10">
        <f>운전실적_원본!M312</f>
        <v>0</v>
      </c>
      <c r="Y312" s="10">
        <f>운전실적_원본!N312</f>
        <v>0</v>
      </c>
      <c r="Z312" s="10">
        <f>운전실적_원본!O312</f>
        <v>0</v>
      </c>
      <c r="AA312" s="10">
        <f>운전실적_원본!P312</f>
        <v>0</v>
      </c>
      <c r="AB312" s="10">
        <f>운전실적_원본!Q312</f>
        <v>0</v>
      </c>
      <c r="AC312" s="10">
        <f>운전실적_원본!R312</f>
        <v>0</v>
      </c>
      <c r="AD312" s="181">
        <f>운전실적_원본!S312</f>
        <v>0</v>
      </c>
      <c r="AE312" s="181">
        <f>운전실적_원본!T312</f>
        <v>0</v>
      </c>
      <c r="AF312" s="181">
        <f>운전실적_원본!U312</f>
        <v>0</v>
      </c>
      <c r="AG312" s="181">
        <f>운전실적_원본!V312</f>
        <v>0</v>
      </c>
      <c r="AH312" s="106">
        <f t="shared" si="1461"/>
        <v>0</v>
      </c>
      <c r="AI312" s="107">
        <f t="shared" si="1469"/>
        <v>0</v>
      </c>
      <c r="AJ312" s="107">
        <f t="shared" si="1470"/>
        <v>0</v>
      </c>
      <c r="AK312" s="204">
        <f t="shared" si="1471"/>
        <v>0</v>
      </c>
      <c r="AL312" s="103"/>
      <c r="AM312" s="103"/>
      <c r="AN312" s="103"/>
      <c r="AO312" s="103"/>
      <c r="AP312" s="103"/>
      <c r="AQ312" s="105"/>
      <c r="AR312" s="103"/>
      <c r="AS312" s="103"/>
      <c r="AT312" s="101"/>
      <c r="AU312" s="101"/>
      <c r="AV312" s="101"/>
      <c r="AW312" s="101"/>
      <c r="AX312" s="32">
        <f>운전실적_원본!W312</f>
        <v>0</v>
      </c>
      <c r="AY312" s="198">
        <f>운전실적_원본!X312</f>
        <v>0</v>
      </c>
      <c r="AZ312" s="198">
        <f>운전실적_원본!Y312</f>
        <v>0</v>
      </c>
      <c r="BA312" s="198">
        <f>운전실적_원본!Z312</f>
        <v>0</v>
      </c>
      <c r="BB312" s="198">
        <f>운전실적_원본!AA312</f>
        <v>0</v>
      </c>
      <c r="BC312" s="198">
        <f>운전실적_원본!AB312</f>
        <v>0</v>
      </c>
      <c r="BD312" s="32" t="str">
        <f t="shared" si="1454"/>
        <v>-</v>
      </c>
      <c r="BE312" s="11" t="str">
        <f t="shared" si="1462"/>
        <v>-</v>
      </c>
      <c r="BF312" s="11">
        <f>운전실적_원본!AE312</f>
        <v>0</v>
      </c>
      <c r="BG312" s="31">
        <f t="shared" si="1455"/>
        <v>0</v>
      </c>
    </row>
    <row r="313" spans="1:59">
      <c r="A313" s="6">
        <f t="shared" si="1463"/>
        <v>45965</v>
      </c>
      <c r="B313" s="15">
        <f>운전실적_원본!B313</f>
        <v>270.8</v>
      </c>
      <c r="C313" s="16">
        <f t="shared" si="1632"/>
        <v>0</v>
      </c>
      <c r="D313" s="9">
        <f>운전실적_원본!C313</f>
        <v>244600</v>
      </c>
      <c r="E313" s="199">
        <f t="shared" si="1633"/>
        <v>71</v>
      </c>
      <c r="F313" s="9">
        <f>운전실적_원본!D313</f>
        <v>237501</v>
      </c>
      <c r="G313" s="16">
        <f t="shared" si="1634"/>
        <v>16</v>
      </c>
      <c r="H313" s="15">
        <f>운전실적_원본!E313</f>
        <v>16723.39</v>
      </c>
      <c r="I313" s="16">
        <f t="shared" si="1635"/>
        <v>3.5900000000001455</v>
      </c>
      <c r="J313" s="15">
        <f>운전실적_원본!E313</f>
        <v>16723.39</v>
      </c>
      <c r="K313" s="16">
        <f t="shared" si="1635"/>
        <v>3.5900000000001455</v>
      </c>
      <c r="L313" s="15">
        <f>운전실적_원본!G313</f>
        <v>3977.4</v>
      </c>
      <c r="M313" s="31">
        <f t="shared" ref="M313" si="1722">IF(OR(LEN(L313)=0,L313=0),"",L313-L312)</f>
        <v>0.8000000000001819</v>
      </c>
      <c r="N313" s="15">
        <f>운전실적_원본!H313</f>
        <v>26405</v>
      </c>
      <c r="O313" s="16">
        <f t="shared" ref="O313" si="1723">IF(OR(LEN(N313)=0,N313=0),"",N313-N312)</f>
        <v>62</v>
      </c>
      <c r="P313" s="15">
        <f>운전실적_원본!I313</f>
        <v>5911</v>
      </c>
      <c r="Q313" s="16">
        <f t="shared" ref="Q313" si="1724">IF(OR(LEN(P313)=0,P313=0),"",P313-P312)</f>
        <v>161</v>
      </c>
      <c r="R313" s="18">
        <f>운전실적_원본!J313</f>
        <v>33.43</v>
      </c>
      <c r="S313" s="19">
        <f t="shared" ref="S313" si="1725">IF(OR(LEN(R313)=0,R313=0),"",R313-R312)</f>
        <v>-7.9999999999998295E-2</v>
      </c>
      <c r="T313" s="18">
        <f>운전실적_원본!K313</f>
        <v>33.130000000000003</v>
      </c>
      <c r="U313" s="19">
        <f t="shared" si="1640"/>
        <v>0</v>
      </c>
      <c r="V313" s="12">
        <f>운전실적_원본!L313</f>
        <v>8666</v>
      </c>
      <c r="W313" s="16">
        <f t="shared" ref="W313" si="1726">IF(OR(LEN(V313)=0,V313=0),"",V313-V312)</f>
        <v>108</v>
      </c>
      <c r="X313" s="10">
        <f>운전실적_원본!M313</f>
        <v>18151</v>
      </c>
      <c r="Y313" s="10">
        <f>운전실적_원본!N313</f>
        <v>0</v>
      </c>
      <c r="Z313" s="10">
        <f>운전실적_원본!O313</f>
        <v>0</v>
      </c>
      <c r="AA313" s="10">
        <f>운전실적_원본!P313</f>
        <v>0</v>
      </c>
      <c r="AB313" s="10">
        <f>운전실적_원본!Q313</f>
        <v>0</v>
      </c>
      <c r="AC313" s="10">
        <f>운전실적_원본!R313</f>
        <v>0</v>
      </c>
      <c r="AD313" s="181">
        <f>운전실적_원본!S313</f>
        <v>10</v>
      </c>
      <c r="AE313" s="181">
        <f>운전실적_원본!T313</f>
        <v>0</v>
      </c>
      <c r="AF313" s="181">
        <f>운전실적_원본!U313</f>
        <v>0</v>
      </c>
      <c r="AG313" s="181">
        <f>운전실적_원본!V313</f>
        <v>0</v>
      </c>
      <c r="AH313" s="106">
        <f t="shared" si="1461"/>
        <v>9.4166666666278616</v>
      </c>
      <c r="AI313" s="107">
        <f t="shared" si="1469"/>
        <v>0</v>
      </c>
      <c r="AJ313" s="107">
        <f t="shared" si="1470"/>
        <v>0</v>
      </c>
      <c r="AK313" s="204">
        <f t="shared" si="1471"/>
        <v>0</v>
      </c>
      <c r="AL313" s="103">
        <v>45965.461805555555</v>
      </c>
      <c r="AM313" s="103">
        <v>45965.854166666664</v>
      </c>
      <c r="AN313" s="103"/>
      <c r="AO313" s="103"/>
      <c r="AP313" s="103"/>
      <c r="AQ313" s="105"/>
      <c r="AR313" s="103"/>
      <c r="AS313" s="103"/>
      <c r="AT313" s="101"/>
      <c r="AU313" s="101"/>
      <c r="AV313" s="101"/>
      <c r="AW313" s="101"/>
      <c r="AX313" s="32">
        <f>운전실적_원본!W313</f>
        <v>95</v>
      </c>
      <c r="AY313" s="198">
        <f>운전실적_원본!X313</f>
        <v>0</v>
      </c>
      <c r="AZ313" s="198">
        <f>운전실적_원본!Y313</f>
        <v>0</v>
      </c>
      <c r="BA313" s="198">
        <f>운전실적_원본!Z313</f>
        <v>0</v>
      </c>
      <c r="BB313" s="198">
        <f>운전실적_원본!AA313</f>
        <v>0</v>
      </c>
      <c r="BC313" s="198">
        <f>운전실적_원본!AB313</f>
        <v>95</v>
      </c>
      <c r="BD313" s="32">
        <f t="shared" si="1454"/>
        <v>9.5</v>
      </c>
      <c r="BE313" s="11">
        <f t="shared" si="1462"/>
        <v>0.18486086787312705</v>
      </c>
      <c r="BF313" s="11">
        <f>운전실적_원본!AE313</f>
        <v>0</v>
      </c>
      <c r="BG313" s="31">
        <f t="shared" si="1455"/>
        <v>0</v>
      </c>
    </row>
    <row r="314" spans="1:59">
      <c r="A314" s="6">
        <f t="shared" si="1463"/>
        <v>45966</v>
      </c>
      <c r="B314" s="15">
        <f>운전실적_원본!B314</f>
        <v>270.8</v>
      </c>
      <c r="C314" s="16">
        <f t="shared" si="1632"/>
        <v>0</v>
      </c>
      <c r="D314" s="9">
        <f>운전실적_원본!C314</f>
        <v>244600</v>
      </c>
      <c r="E314" s="199">
        <f t="shared" si="1633"/>
        <v>0</v>
      </c>
      <c r="F314" s="9">
        <f>운전실적_원본!D314</f>
        <v>237598</v>
      </c>
      <c r="G314" s="16">
        <f t="shared" si="1634"/>
        <v>97</v>
      </c>
      <c r="H314" s="15">
        <f>운전실적_원본!E314</f>
        <v>16733.099999999999</v>
      </c>
      <c r="I314" s="16">
        <f t="shared" si="1635"/>
        <v>9.7099999999991269</v>
      </c>
      <c r="J314" s="15">
        <f>운전실적_원본!E314</f>
        <v>16733.099999999999</v>
      </c>
      <c r="K314" s="16">
        <f t="shared" si="1635"/>
        <v>9.7099999999991269</v>
      </c>
      <c r="L314" s="15">
        <f>운전실적_원본!G314</f>
        <v>3978.5</v>
      </c>
      <c r="M314" s="31">
        <f t="shared" ref="M314" si="1727">IF(OR(LEN(L314)=0,L314=0),"",L314-L313)</f>
        <v>1.0999999999999091</v>
      </c>
      <c r="N314" s="15">
        <f>운전실적_원본!H314</f>
        <v>26486</v>
      </c>
      <c r="O314" s="16">
        <f t="shared" ref="O314" si="1728">IF(OR(LEN(N314)=0,N314=0),"",N314-N313)</f>
        <v>81</v>
      </c>
      <c r="P314" s="15">
        <f>운전실적_원본!I314</f>
        <v>6059</v>
      </c>
      <c r="Q314" s="16">
        <f t="shared" ref="Q314" si="1729">IF(OR(LEN(P314)=0,P314=0),"",P314-P313)</f>
        <v>148</v>
      </c>
      <c r="R314" s="18">
        <f>운전실적_원본!J314</f>
        <v>33.54</v>
      </c>
      <c r="S314" s="19">
        <f t="shared" ref="S314" si="1730">IF(OR(LEN(R314)=0,R314=0),"",R314-R313)</f>
        <v>0.10999999999999943</v>
      </c>
      <c r="T314" s="18">
        <f>운전실적_원본!K314</f>
        <v>33.15</v>
      </c>
      <c r="U314" s="19">
        <f t="shared" si="1640"/>
        <v>1.9999999999996021E-2</v>
      </c>
      <c r="V314" s="12">
        <f>운전실적_원본!L314</f>
        <v>8656</v>
      </c>
      <c r="W314" s="16">
        <f t="shared" ref="W314" si="1731">IF(OR(LEN(V314)=0,V314=0),"",V314-V313)</f>
        <v>-10</v>
      </c>
      <c r="X314" s="10">
        <f>운전실적_원본!M314</f>
        <v>0</v>
      </c>
      <c r="Y314" s="10">
        <f>운전실적_원본!N314</f>
        <v>0</v>
      </c>
      <c r="Z314" s="10">
        <f>운전실적_원본!O314</f>
        <v>0</v>
      </c>
      <c r="AA314" s="10">
        <f>운전실적_원본!P314</f>
        <v>0</v>
      </c>
      <c r="AB314" s="10">
        <f>운전실적_원본!Q314</f>
        <v>0</v>
      </c>
      <c r="AC314" s="10">
        <f>운전실적_원본!R314</f>
        <v>0</v>
      </c>
      <c r="AD314" s="181">
        <f>운전실적_원본!S314</f>
        <v>0</v>
      </c>
      <c r="AE314" s="181">
        <f>운전실적_원본!T314</f>
        <v>0</v>
      </c>
      <c r="AF314" s="181">
        <f>운전실적_원본!U314</f>
        <v>0</v>
      </c>
      <c r="AG314" s="181">
        <f>운전실적_원본!V314</f>
        <v>0</v>
      </c>
      <c r="AH314" s="106">
        <f t="shared" si="1461"/>
        <v>0</v>
      </c>
      <c r="AI314" s="107">
        <f t="shared" si="1469"/>
        <v>0</v>
      </c>
      <c r="AJ314" s="107">
        <f t="shared" si="1470"/>
        <v>0</v>
      </c>
      <c r="AK314" s="204">
        <f t="shared" si="1471"/>
        <v>0</v>
      </c>
      <c r="AL314" s="103"/>
      <c r="AM314" s="103"/>
      <c r="AN314" s="103"/>
      <c r="AO314" s="103"/>
      <c r="AP314" s="103"/>
      <c r="AQ314" s="105"/>
      <c r="AR314" s="103"/>
      <c r="AS314" s="103"/>
      <c r="AT314" s="101"/>
      <c r="AU314" s="101"/>
      <c r="AV314" s="101"/>
      <c r="AW314" s="101"/>
      <c r="AX314" s="32">
        <f>운전실적_원본!W314</f>
        <v>0</v>
      </c>
      <c r="AY314" s="198">
        <f>운전실적_원본!X314</f>
        <v>0</v>
      </c>
      <c r="AZ314" s="198">
        <f>운전실적_원본!Y314</f>
        <v>0</v>
      </c>
      <c r="BA314" s="198">
        <f>운전실적_원본!Z314</f>
        <v>0</v>
      </c>
      <c r="BB314" s="198">
        <f>운전실적_원본!AA314</f>
        <v>0</v>
      </c>
      <c r="BC314" s="198">
        <f>운전실적_원본!AB314</f>
        <v>0</v>
      </c>
      <c r="BD314" s="32" t="str">
        <f t="shared" si="1454"/>
        <v>-</v>
      </c>
      <c r="BE314" s="11" t="str">
        <f t="shared" si="1462"/>
        <v>-</v>
      </c>
      <c r="BF314" s="11">
        <f>운전실적_원본!AE314</f>
        <v>0</v>
      </c>
      <c r="BG314" s="31">
        <f t="shared" si="1455"/>
        <v>0</v>
      </c>
    </row>
    <row r="315" spans="1:59">
      <c r="A315" s="6">
        <f t="shared" si="1463"/>
        <v>45967</v>
      </c>
      <c r="B315" s="15">
        <f>운전실적_원본!B315</f>
        <v>288.8</v>
      </c>
      <c r="C315" s="16">
        <f t="shared" si="1632"/>
        <v>18</v>
      </c>
      <c r="D315" s="9">
        <f>운전실적_원본!C315</f>
        <v>244698</v>
      </c>
      <c r="E315" s="199">
        <f t="shared" si="1633"/>
        <v>98</v>
      </c>
      <c r="F315" s="9">
        <f>운전실적_원본!D315</f>
        <v>237622</v>
      </c>
      <c r="G315" s="16">
        <f t="shared" si="1634"/>
        <v>24</v>
      </c>
      <c r="H315" s="15">
        <f>운전실적_원본!E315</f>
        <v>16737.099999999999</v>
      </c>
      <c r="I315" s="16">
        <f t="shared" si="1635"/>
        <v>4</v>
      </c>
      <c r="J315" s="15">
        <f>운전실적_원본!E315</f>
        <v>16737.099999999999</v>
      </c>
      <c r="K315" s="16">
        <f t="shared" si="1635"/>
        <v>4</v>
      </c>
      <c r="L315" s="15">
        <f>운전실적_원본!G315</f>
        <v>3979.8</v>
      </c>
      <c r="M315" s="31">
        <f t="shared" ref="M315" si="1732">IF(OR(LEN(L315)=0,L315=0),"",L315-L314)</f>
        <v>1.3000000000001819</v>
      </c>
      <c r="N315" s="15">
        <f>운전실적_원본!H315</f>
        <v>26700</v>
      </c>
      <c r="O315" s="16">
        <f t="shared" ref="O315" si="1733">IF(OR(LEN(N315)=0,N315=0),"",N315-N314)</f>
        <v>214</v>
      </c>
      <c r="P315" s="15">
        <f>운전실적_원본!I315</f>
        <v>6218</v>
      </c>
      <c r="Q315" s="16">
        <f t="shared" ref="Q315" si="1734">IF(OR(LEN(P315)=0,P315=0),"",P315-P314)</f>
        <v>159</v>
      </c>
      <c r="R315" s="18">
        <f>운전실적_원본!J315</f>
        <v>33.74</v>
      </c>
      <c r="S315" s="19">
        <f t="shared" ref="S315" si="1735">IF(OR(LEN(R315)=0,R315=0),"",R315-R314)</f>
        <v>0.20000000000000284</v>
      </c>
      <c r="T315" s="18">
        <f>운전실적_원본!K315</f>
        <v>33.19</v>
      </c>
      <c r="U315" s="19">
        <f t="shared" si="1640"/>
        <v>3.9999999999999147E-2</v>
      </c>
      <c r="V315" s="12">
        <f>운전실적_원본!L315</f>
        <v>8631</v>
      </c>
      <c r="W315" s="16">
        <f t="shared" ref="W315" si="1736">IF(OR(LEN(V315)=0,V315=0),"",V315-V314)</f>
        <v>-25</v>
      </c>
      <c r="X315" s="10">
        <f>운전실적_원본!M315</f>
        <v>0</v>
      </c>
      <c r="Y315" s="10">
        <f>운전실적_원본!N315</f>
        <v>0</v>
      </c>
      <c r="Z315" s="10">
        <f>운전실적_원본!O315</f>
        <v>0</v>
      </c>
      <c r="AA315" s="10">
        <f>운전실적_원본!P315</f>
        <v>0</v>
      </c>
      <c r="AB315" s="10">
        <f>운전실적_원본!Q315</f>
        <v>0</v>
      </c>
      <c r="AC315" s="10">
        <f>운전실적_원본!R315</f>
        <v>0</v>
      </c>
      <c r="AD315" s="181">
        <f>운전실적_원본!S315</f>
        <v>0</v>
      </c>
      <c r="AE315" s="181">
        <f>운전실적_원본!T315</f>
        <v>0</v>
      </c>
      <c r="AF315" s="181">
        <f>운전실적_원본!U315</f>
        <v>0</v>
      </c>
      <c r="AG315" s="181">
        <f>운전실적_원본!V315</f>
        <v>0</v>
      </c>
      <c r="AH315" s="106">
        <f t="shared" si="1461"/>
        <v>0</v>
      </c>
      <c r="AI315" s="107">
        <f t="shared" si="1469"/>
        <v>0</v>
      </c>
      <c r="AJ315" s="107">
        <f t="shared" si="1470"/>
        <v>0</v>
      </c>
      <c r="AK315" s="204">
        <f t="shared" si="1471"/>
        <v>0</v>
      </c>
      <c r="AL315" s="103"/>
      <c r="AM315" s="103"/>
      <c r="AN315" s="103"/>
      <c r="AO315" s="103"/>
      <c r="AP315" s="103"/>
      <c r="AQ315" s="105"/>
      <c r="AR315" s="103"/>
      <c r="AS315" s="103"/>
      <c r="AT315" s="101"/>
      <c r="AU315" s="101"/>
      <c r="AV315" s="101"/>
      <c r="AW315" s="101"/>
      <c r="AX315" s="32">
        <f>운전실적_원본!W315</f>
        <v>0</v>
      </c>
      <c r="AY315" s="198">
        <f>운전실적_원본!X315</f>
        <v>0</v>
      </c>
      <c r="AZ315" s="198">
        <f>운전실적_원본!Y315</f>
        <v>0</v>
      </c>
      <c r="BA315" s="198">
        <f>운전실적_원본!Z315</f>
        <v>0</v>
      </c>
      <c r="BB315" s="198">
        <f>운전실적_원본!AA315</f>
        <v>0</v>
      </c>
      <c r="BC315" s="198">
        <f>운전실적_원본!AB315</f>
        <v>0</v>
      </c>
      <c r="BD315" s="32" t="str">
        <f t="shared" si="1454"/>
        <v>-</v>
      </c>
      <c r="BE315" s="11" t="str">
        <f t="shared" si="1462"/>
        <v>-</v>
      </c>
      <c r="BF315" s="11">
        <f>운전실적_원본!AE315</f>
        <v>0</v>
      </c>
      <c r="BG315" s="31">
        <f t="shared" si="1455"/>
        <v>0</v>
      </c>
    </row>
    <row r="316" spans="1:59">
      <c r="A316" s="6">
        <f t="shared" si="1463"/>
        <v>45968</v>
      </c>
      <c r="B316" s="15">
        <f>운전실적_원본!B316</f>
        <v>372.9</v>
      </c>
      <c r="C316" s="16">
        <f t="shared" si="1632"/>
        <v>84.099999999999966</v>
      </c>
      <c r="D316" s="9">
        <f>운전실적_원본!C316</f>
        <v>244738</v>
      </c>
      <c r="E316" s="199">
        <f t="shared" si="1633"/>
        <v>40</v>
      </c>
      <c r="F316" s="9">
        <f>운전실적_원본!D316</f>
        <v>237755</v>
      </c>
      <c r="G316" s="16">
        <f t="shared" si="1634"/>
        <v>133</v>
      </c>
      <c r="H316" s="15">
        <f>운전실적_원본!E316</f>
        <v>16741.21</v>
      </c>
      <c r="I316" s="16">
        <f t="shared" si="1635"/>
        <v>4.1100000000005821</v>
      </c>
      <c r="J316" s="15">
        <f>운전실적_원본!E316</f>
        <v>16741.21</v>
      </c>
      <c r="K316" s="16">
        <f t="shared" si="1635"/>
        <v>4.1100000000005821</v>
      </c>
      <c r="L316" s="15">
        <f>운전실적_원본!G316</f>
        <v>3980.9</v>
      </c>
      <c r="M316" s="31">
        <f t="shared" ref="M316" si="1737">IF(OR(LEN(L316)=0,L316=0),"",L316-L315)</f>
        <v>1.0999999999999091</v>
      </c>
      <c r="N316" s="15">
        <f>운전실적_원본!H316</f>
        <v>26866</v>
      </c>
      <c r="O316" s="16">
        <f t="shared" ref="O316" si="1738">IF(OR(LEN(N316)=0,N316=0),"",N316-N315)</f>
        <v>166</v>
      </c>
      <c r="P316" s="15">
        <f>운전실적_원본!I316</f>
        <v>6431</v>
      </c>
      <c r="Q316" s="16">
        <f t="shared" ref="Q316" si="1739">IF(OR(LEN(P316)=0,P316=0),"",P316-P315)</f>
        <v>213</v>
      </c>
      <c r="R316" s="18">
        <f>운전실적_원본!J316</f>
        <v>34.11</v>
      </c>
      <c r="S316" s="19">
        <f t="shared" ref="S316" si="1740">IF(OR(LEN(R316)=0,R316=0),"",R316-R315)</f>
        <v>0.36999999999999744</v>
      </c>
      <c r="T316" s="18">
        <f>운전실적_원본!K316</f>
        <v>33.340000000000003</v>
      </c>
      <c r="U316" s="19">
        <f t="shared" si="1640"/>
        <v>0.15000000000000568</v>
      </c>
      <c r="V316" s="12">
        <f>운전실적_원본!L316</f>
        <v>8678</v>
      </c>
      <c r="W316" s="16">
        <f t="shared" ref="W316" si="1741">IF(OR(LEN(V316)=0,V316=0),"",V316-V315)</f>
        <v>47</v>
      </c>
      <c r="X316" s="10">
        <f>운전실적_원본!M316</f>
        <v>0</v>
      </c>
      <c r="Y316" s="10">
        <f>운전실적_원본!N316</f>
        <v>0</v>
      </c>
      <c r="Z316" s="10">
        <f>운전실적_원본!O316</f>
        <v>0</v>
      </c>
      <c r="AA316" s="10">
        <f>운전실적_원본!P316</f>
        <v>0</v>
      </c>
      <c r="AB316" s="10">
        <f>운전실적_원본!Q316</f>
        <v>0</v>
      </c>
      <c r="AC316" s="10">
        <f>운전실적_원본!R316</f>
        <v>0</v>
      </c>
      <c r="AD316" s="181">
        <f>운전실적_원본!S316</f>
        <v>0</v>
      </c>
      <c r="AE316" s="181">
        <f>운전실적_원본!T316</f>
        <v>0</v>
      </c>
      <c r="AF316" s="181">
        <f>운전실적_원본!U316</f>
        <v>0</v>
      </c>
      <c r="AG316" s="181">
        <f>운전실적_원본!V316</f>
        <v>0</v>
      </c>
      <c r="AH316" s="106">
        <f t="shared" si="1461"/>
        <v>0</v>
      </c>
      <c r="AI316" s="107">
        <f t="shared" si="1469"/>
        <v>0</v>
      </c>
      <c r="AJ316" s="107">
        <f t="shared" si="1470"/>
        <v>0</v>
      </c>
      <c r="AK316" s="204">
        <f t="shared" si="1471"/>
        <v>0</v>
      </c>
      <c r="AL316" s="103"/>
      <c r="AM316" s="103"/>
      <c r="AN316" s="103"/>
      <c r="AO316" s="103"/>
      <c r="AP316" s="103"/>
      <c r="AQ316" s="105"/>
      <c r="AR316" s="103"/>
      <c r="AS316" s="103"/>
      <c r="AT316" s="101"/>
      <c r="AU316" s="101"/>
      <c r="AV316" s="101"/>
      <c r="AW316" s="101"/>
      <c r="AX316" s="32">
        <f>운전실적_원본!W316</f>
        <v>0</v>
      </c>
      <c r="AY316" s="198">
        <f>운전실적_원본!X316</f>
        <v>0</v>
      </c>
      <c r="AZ316" s="198">
        <f>운전실적_원본!Y316</f>
        <v>0</v>
      </c>
      <c r="BA316" s="198">
        <f>운전실적_원본!Z316</f>
        <v>0</v>
      </c>
      <c r="BB316" s="198">
        <f>운전실적_원본!AA316</f>
        <v>0</v>
      </c>
      <c r="BC316" s="198">
        <f>운전실적_원본!AB316</f>
        <v>0</v>
      </c>
      <c r="BD316" s="32" t="str">
        <f t="shared" si="1454"/>
        <v>-</v>
      </c>
      <c r="BE316" s="11" t="str">
        <f t="shared" si="1462"/>
        <v>-</v>
      </c>
      <c r="BF316" s="11">
        <f>운전실적_원본!AE316</f>
        <v>0</v>
      </c>
      <c r="BG316" s="31">
        <f t="shared" si="1455"/>
        <v>0</v>
      </c>
    </row>
    <row r="317" spans="1:59">
      <c r="A317" s="6">
        <f t="shared" si="1463"/>
        <v>45969</v>
      </c>
      <c r="B317" s="15">
        <f>운전실적_원본!B317</f>
        <v>372.9</v>
      </c>
      <c r="C317" s="16">
        <f t="shared" si="1632"/>
        <v>0</v>
      </c>
      <c r="D317" s="9">
        <f>운전실적_원본!C317</f>
        <v>244805</v>
      </c>
      <c r="E317" s="199">
        <f t="shared" si="1633"/>
        <v>67</v>
      </c>
      <c r="F317" s="9">
        <f>운전실적_원본!D317</f>
        <v>237765</v>
      </c>
      <c r="G317" s="16">
        <f t="shared" si="1634"/>
        <v>10</v>
      </c>
      <c r="H317" s="15">
        <f>운전실적_원본!E317</f>
        <v>16742.86</v>
      </c>
      <c r="I317" s="16">
        <f t="shared" si="1635"/>
        <v>1.6500000000014552</v>
      </c>
      <c r="J317" s="15">
        <f>운전실적_원본!E317</f>
        <v>16742.86</v>
      </c>
      <c r="K317" s="16">
        <f t="shared" si="1635"/>
        <v>1.6500000000014552</v>
      </c>
      <c r="L317" s="15">
        <f>운전실적_원본!G317</f>
        <v>3981.6</v>
      </c>
      <c r="M317" s="31">
        <f t="shared" ref="M317" si="1742">IF(OR(LEN(L317)=0,L317=0),"",L317-L316)</f>
        <v>0.6999999999998181</v>
      </c>
      <c r="N317" s="15">
        <f>운전실적_원본!H317</f>
        <v>26924</v>
      </c>
      <c r="O317" s="16">
        <f t="shared" ref="O317" si="1743">IF(OR(LEN(N317)=0,N317=0),"",N317-N316)</f>
        <v>58</v>
      </c>
      <c r="P317" s="15">
        <f>운전실적_원본!I317</f>
        <v>6579</v>
      </c>
      <c r="Q317" s="16">
        <f t="shared" ref="Q317" si="1744">IF(OR(LEN(P317)=0,P317=0),"",P317-P316)</f>
        <v>148</v>
      </c>
      <c r="R317" s="18">
        <f>운전실적_원본!J317</f>
        <v>34.07</v>
      </c>
      <c r="S317" s="19">
        <f t="shared" ref="S317" si="1745">IF(OR(LEN(R317)=0,R317=0),"",R317-R316)</f>
        <v>-3.9999999999999147E-2</v>
      </c>
      <c r="T317" s="18">
        <f>운전실적_원본!K317</f>
        <v>33.299999999999997</v>
      </c>
      <c r="U317" s="19">
        <f t="shared" si="1640"/>
        <v>-4.0000000000006253E-2</v>
      </c>
      <c r="V317" s="12">
        <f>운전실적_원본!L317</f>
        <v>8662</v>
      </c>
      <c r="W317" s="16">
        <f t="shared" ref="W317" si="1746">IF(OR(LEN(V317)=0,V317=0),"",V317-V316)</f>
        <v>-16</v>
      </c>
      <c r="X317" s="10">
        <f>운전실적_원본!M317</f>
        <v>0</v>
      </c>
      <c r="Y317" s="10">
        <f>운전실적_원본!N317</f>
        <v>0</v>
      </c>
      <c r="Z317" s="10">
        <f>운전실적_원본!O317</f>
        <v>0</v>
      </c>
      <c r="AA317" s="10">
        <f>운전실적_원본!P317</f>
        <v>0</v>
      </c>
      <c r="AB317" s="10">
        <f>운전실적_원본!Q317</f>
        <v>0</v>
      </c>
      <c r="AC317" s="10">
        <f>운전실적_원본!R317</f>
        <v>0</v>
      </c>
      <c r="AD317" s="181">
        <f>운전실적_원본!S317</f>
        <v>0</v>
      </c>
      <c r="AE317" s="181">
        <f>운전실적_원본!T317</f>
        <v>0</v>
      </c>
      <c r="AF317" s="181">
        <f>운전실적_원본!U317</f>
        <v>0</v>
      </c>
      <c r="AG317" s="181">
        <f>운전실적_원본!V317</f>
        <v>0</v>
      </c>
      <c r="AH317" s="106">
        <f t="shared" si="1461"/>
        <v>0</v>
      </c>
      <c r="AI317" s="107">
        <f t="shared" si="1469"/>
        <v>0</v>
      </c>
      <c r="AJ317" s="107">
        <f t="shared" si="1470"/>
        <v>0</v>
      </c>
      <c r="AK317" s="204">
        <f t="shared" si="1471"/>
        <v>0</v>
      </c>
      <c r="AL317" s="103"/>
      <c r="AM317" s="103"/>
      <c r="AN317" s="103"/>
      <c r="AO317" s="103"/>
      <c r="AP317" s="103"/>
      <c r="AQ317" s="105"/>
      <c r="AR317" s="103"/>
      <c r="AS317" s="103"/>
      <c r="AT317" s="101"/>
      <c r="AU317" s="101"/>
      <c r="AV317" s="101"/>
      <c r="AW317" s="101"/>
      <c r="AX317" s="32">
        <f>운전실적_원본!W317</f>
        <v>0</v>
      </c>
      <c r="AY317" s="198">
        <f>운전실적_원본!X317</f>
        <v>0</v>
      </c>
      <c r="AZ317" s="198">
        <f>운전실적_원본!Y317</f>
        <v>0</v>
      </c>
      <c r="BA317" s="198">
        <f>운전실적_원본!Z317</f>
        <v>0</v>
      </c>
      <c r="BB317" s="198">
        <f>운전실적_원본!AA317</f>
        <v>0</v>
      </c>
      <c r="BC317" s="198">
        <f>운전실적_원본!AB317</f>
        <v>0</v>
      </c>
      <c r="BD317" s="32" t="str">
        <f t="shared" si="1454"/>
        <v>-</v>
      </c>
      <c r="BE317" s="11" t="str">
        <f t="shared" si="1462"/>
        <v>-</v>
      </c>
      <c r="BF317" s="11">
        <f>운전실적_원본!AE317</f>
        <v>0</v>
      </c>
      <c r="BG317" s="31">
        <f t="shared" si="1455"/>
        <v>0</v>
      </c>
    </row>
    <row r="318" spans="1:59">
      <c r="A318" s="6">
        <f t="shared" si="1463"/>
        <v>45970</v>
      </c>
      <c r="B318" s="15">
        <f>운전실적_원본!B318</f>
        <v>372.9</v>
      </c>
      <c r="C318" s="16">
        <f t="shared" si="1632"/>
        <v>0</v>
      </c>
      <c r="D318" s="9">
        <f>운전실적_원본!C318</f>
        <v>244870</v>
      </c>
      <c r="E318" s="199">
        <f t="shared" si="1633"/>
        <v>65</v>
      </c>
      <c r="F318" s="9">
        <f>운전실적_원본!D318</f>
        <v>237765</v>
      </c>
      <c r="G318" s="16">
        <f t="shared" si="1634"/>
        <v>0</v>
      </c>
      <c r="H318" s="15">
        <f>운전실적_원본!E318</f>
        <v>16744.490000000002</v>
      </c>
      <c r="I318" s="16">
        <f t="shared" si="1635"/>
        <v>1.6300000000010186</v>
      </c>
      <c r="J318" s="15">
        <f>운전실적_원본!E318</f>
        <v>16744.490000000002</v>
      </c>
      <c r="K318" s="16">
        <f t="shared" si="1635"/>
        <v>1.6300000000010186</v>
      </c>
      <c r="L318" s="15">
        <f>운전실적_원본!G318</f>
        <v>3982.4</v>
      </c>
      <c r="M318" s="31">
        <f t="shared" ref="M318" si="1747">IF(OR(LEN(L318)=0,L318=0),"",L318-L317)</f>
        <v>0.8000000000001819</v>
      </c>
      <c r="N318" s="15">
        <f>운전실적_원본!H318</f>
        <v>26991</v>
      </c>
      <c r="O318" s="16">
        <f t="shared" ref="O318" si="1748">IF(OR(LEN(N318)=0,N318=0),"",N318-N317)</f>
        <v>67</v>
      </c>
      <c r="P318" s="15">
        <f>운전실적_원본!I318</f>
        <v>6645</v>
      </c>
      <c r="Q318" s="16">
        <f t="shared" ref="Q318" si="1749">IF(OR(LEN(P318)=0,P318=0),"",P318-P317)</f>
        <v>66</v>
      </c>
      <c r="R318" s="18">
        <f>운전실적_원본!J318</f>
        <v>33.979999999999997</v>
      </c>
      <c r="S318" s="19">
        <f t="shared" ref="S318" si="1750">IF(OR(LEN(R318)=0,R318=0),"",R318-R317)</f>
        <v>-9.0000000000003411E-2</v>
      </c>
      <c r="T318" s="18">
        <f>운전실적_원본!K318</f>
        <v>33.270000000000003</v>
      </c>
      <c r="U318" s="19">
        <f t="shared" si="1640"/>
        <v>-2.9999999999994031E-2</v>
      </c>
      <c r="V318" s="12">
        <f>운전실적_원본!L318</f>
        <v>8662</v>
      </c>
      <c r="W318" s="16">
        <f t="shared" ref="W318" si="1751">IF(OR(LEN(V318)=0,V318=0),"",V318-V317)</f>
        <v>0</v>
      </c>
      <c r="X318" s="10">
        <f>운전실적_원본!M318</f>
        <v>0</v>
      </c>
      <c r="Y318" s="10">
        <f>운전실적_원본!N318</f>
        <v>0</v>
      </c>
      <c r="Z318" s="10">
        <f>운전실적_원본!O318</f>
        <v>0</v>
      </c>
      <c r="AA318" s="10">
        <f>운전실적_원본!P318</f>
        <v>0</v>
      </c>
      <c r="AB318" s="10">
        <f>운전실적_원본!Q318</f>
        <v>0</v>
      </c>
      <c r="AC318" s="10">
        <f>운전실적_원본!R318</f>
        <v>0</v>
      </c>
      <c r="AD318" s="181">
        <f>운전실적_원본!S318</f>
        <v>0</v>
      </c>
      <c r="AE318" s="181">
        <f>운전실적_원본!T318</f>
        <v>0</v>
      </c>
      <c r="AF318" s="181">
        <f>운전실적_원본!U318</f>
        <v>0</v>
      </c>
      <c r="AG318" s="181">
        <f>운전실적_원본!V318</f>
        <v>0</v>
      </c>
      <c r="AH318" s="106">
        <f t="shared" si="1461"/>
        <v>0</v>
      </c>
      <c r="AI318" s="107">
        <f t="shared" si="1469"/>
        <v>0</v>
      </c>
      <c r="AJ318" s="107">
        <f t="shared" si="1470"/>
        <v>0</v>
      </c>
      <c r="AK318" s="204">
        <f t="shared" si="1471"/>
        <v>0</v>
      </c>
      <c r="AL318" s="103"/>
      <c r="AM318" s="103"/>
      <c r="AN318" s="103"/>
      <c r="AO318" s="103"/>
      <c r="AP318" s="103"/>
      <c r="AQ318" s="105"/>
      <c r="AR318" s="103"/>
      <c r="AS318" s="103"/>
      <c r="AT318" s="101"/>
      <c r="AU318" s="101"/>
      <c r="AV318" s="101"/>
      <c r="AW318" s="101"/>
      <c r="AX318" s="32">
        <f>운전실적_원본!W318</f>
        <v>0</v>
      </c>
      <c r="AY318" s="198">
        <f>운전실적_원본!X318</f>
        <v>0</v>
      </c>
      <c r="AZ318" s="198">
        <f>운전실적_원본!Y318</f>
        <v>0</v>
      </c>
      <c r="BA318" s="198">
        <f>운전실적_원본!Z318</f>
        <v>0</v>
      </c>
      <c r="BB318" s="198">
        <f>운전실적_원본!AA318</f>
        <v>0</v>
      </c>
      <c r="BC318" s="198">
        <f>운전실적_원본!AB318</f>
        <v>0</v>
      </c>
      <c r="BD318" s="32" t="str">
        <f t="shared" si="1454"/>
        <v>-</v>
      </c>
      <c r="BE318" s="11" t="str">
        <f t="shared" si="1462"/>
        <v>-</v>
      </c>
      <c r="BF318" s="11">
        <f>운전실적_원본!AE318</f>
        <v>0</v>
      </c>
      <c r="BG318" s="31">
        <f t="shared" si="1455"/>
        <v>0</v>
      </c>
    </row>
    <row r="319" spans="1:59">
      <c r="A319" s="6">
        <f t="shared" si="1463"/>
        <v>45971</v>
      </c>
      <c r="B319" s="15">
        <f>운전실적_원본!B319</f>
        <v>372.9</v>
      </c>
      <c r="C319" s="16">
        <f t="shared" si="1632"/>
        <v>0</v>
      </c>
      <c r="D319" s="9">
        <f>운전실적_원본!C319</f>
        <v>244907</v>
      </c>
      <c r="E319" s="199">
        <f t="shared" si="1633"/>
        <v>37</v>
      </c>
      <c r="F319" s="9">
        <f>운전실적_원본!D319</f>
        <v>237837</v>
      </c>
      <c r="G319" s="16">
        <f t="shared" si="1634"/>
        <v>72</v>
      </c>
      <c r="H319" s="15">
        <f>운전실적_원본!E319</f>
        <v>16751.3</v>
      </c>
      <c r="I319" s="16">
        <f t="shared" si="1635"/>
        <v>6.8099999999976717</v>
      </c>
      <c r="J319" s="15">
        <f>운전실적_원본!E319</f>
        <v>16751.3</v>
      </c>
      <c r="K319" s="16">
        <f t="shared" si="1635"/>
        <v>6.8099999999976717</v>
      </c>
      <c r="L319" s="15">
        <f>운전실적_원본!G319</f>
        <v>3983.3</v>
      </c>
      <c r="M319" s="31">
        <f t="shared" ref="M319" si="1752">IF(OR(LEN(L319)=0,L319=0),"",L319-L318)</f>
        <v>0.90000000000009095</v>
      </c>
      <c r="N319" s="15">
        <f>운전실적_원본!H319</f>
        <v>27110</v>
      </c>
      <c r="O319" s="16">
        <f t="shared" ref="O319" si="1753">IF(OR(LEN(N319)=0,N319=0),"",N319-N318)</f>
        <v>119</v>
      </c>
      <c r="P319" s="15">
        <f>운전실적_원본!I319</f>
        <v>6810</v>
      </c>
      <c r="Q319" s="16">
        <f t="shared" ref="Q319" si="1754">IF(OR(LEN(P319)=0,P319=0),"",P319-P318)</f>
        <v>165</v>
      </c>
      <c r="R319" s="18">
        <f>운전실적_원본!J319</f>
        <v>33.78</v>
      </c>
      <c r="S319" s="19">
        <f t="shared" ref="S319" si="1755">IF(OR(LEN(R319)=0,R319=0),"",R319-R318)</f>
        <v>-0.19999999999999574</v>
      </c>
      <c r="T319" s="18">
        <f>운전실적_원본!K319</f>
        <v>33.25</v>
      </c>
      <c r="U319" s="19">
        <f t="shared" si="1640"/>
        <v>-2.0000000000003126E-2</v>
      </c>
      <c r="V319" s="12">
        <f>운전실적_원본!L319</f>
        <v>8598</v>
      </c>
      <c r="W319" s="16">
        <f t="shared" ref="W319" si="1756">IF(OR(LEN(V319)=0,V319=0),"",V319-V318)</f>
        <v>-64</v>
      </c>
      <c r="X319" s="10">
        <f>운전실적_원본!M319</f>
        <v>31.119999997317791</v>
      </c>
      <c r="Y319" s="10">
        <f>운전실적_원본!N319</f>
        <v>0</v>
      </c>
      <c r="Z319" s="10">
        <f>운전실적_원본!O319</f>
        <v>0</v>
      </c>
      <c r="AA319" s="10">
        <f>운전실적_원본!P319</f>
        <v>0</v>
      </c>
      <c r="AB319" s="10">
        <f>운전실적_원본!Q319</f>
        <v>0</v>
      </c>
      <c r="AC319" s="10">
        <f>운전실적_원본!R319</f>
        <v>0</v>
      </c>
      <c r="AD319" s="181">
        <f>운전실적_원본!S319</f>
        <v>0</v>
      </c>
      <c r="AE319" s="181">
        <f>운전실적_원본!T319</f>
        <v>0</v>
      </c>
      <c r="AF319" s="181">
        <f>운전실적_원본!U319</f>
        <v>0</v>
      </c>
      <c r="AG319" s="181">
        <f>운전실적_원본!V319</f>
        <v>0</v>
      </c>
      <c r="AH319" s="106">
        <f t="shared" si="1461"/>
        <v>0</v>
      </c>
      <c r="AI319" s="107">
        <f t="shared" si="1469"/>
        <v>0</v>
      </c>
      <c r="AJ319" s="107">
        <f t="shared" si="1470"/>
        <v>0</v>
      </c>
      <c r="AK319" s="204">
        <f t="shared" si="1471"/>
        <v>0</v>
      </c>
      <c r="AL319" s="103"/>
      <c r="AM319" s="103"/>
      <c r="AN319" s="103"/>
      <c r="AO319" s="103"/>
      <c r="AP319" s="103"/>
      <c r="AQ319" s="105"/>
      <c r="AR319" s="103"/>
      <c r="AS319" s="103"/>
      <c r="AT319" s="101"/>
      <c r="AU319" s="101"/>
      <c r="AV319" s="101"/>
      <c r="AW319" s="101"/>
      <c r="AX319" s="32">
        <f>운전실적_원본!W319</f>
        <v>0</v>
      </c>
      <c r="AY319" s="198">
        <f>운전실적_원본!X319</f>
        <v>0</v>
      </c>
      <c r="AZ319" s="198">
        <f>운전실적_원본!Y319</f>
        <v>0</v>
      </c>
      <c r="BA319" s="198">
        <f>운전실적_원본!Z319</f>
        <v>0</v>
      </c>
      <c r="BB319" s="198">
        <f>운전실적_원본!AA319</f>
        <v>0</v>
      </c>
      <c r="BC319" s="198">
        <f>운전실적_원본!AB319</f>
        <v>0</v>
      </c>
      <c r="BD319" s="32" t="str">
        <f t="shared" si="1454"/>
        <v>-</v>
      </c>
      <c r="BE319" s="11" t="str">
        <f t="shared" si="1462"/>
        <v>-</v>
      </c>
      <c r="BF319" s="11">
        <f>운전실적_원본!AE319</f>
        <v>0</v>
      </c>
      <c r="BG319" s="31">
        <f t="shared" si="1455"/>
        <v>0</v>
      </c>
    </row>
    <row r="320" spans="1:59">
      <c r="A320" s="6">
        <f t="shared" si="1463"/>
        <v>45972</v>
      </c>
      <c r="B320" s="15">
        <f>운전실적_원본!B320</f>
        <v>372.9</v>
      </c>
      <c r="C320" s="16">
        <f t="shared" si="1632"/>
        <v>0</v>
      </c>
      <c r="D320" s="9">
        <f>운전실적_원본!C320</f>
        <v>244947</v>
      </c>
      <c r="E320" s="199">
        <f t="shared" si="1633"/>
        <v>40</v>
      </c>
      <c r="F320" s="9">
        <f>운전실적_원본!D320</f>
        <v>237859</v>
      </c>
      <c r="G320" s="16">
        <f t="shared" si="1634"/>
        <v>22</v>
      </c>
      <c r="H320" s="15">
        <f>운전실적_원본!E320</f>
        <v>16755.62</v>
      </c>
      <c r="I320" s="16">
        <f t="shared" si="1635"/>
        <v>4.319999999999709</v>
      </c>
      <c r="J320" s="15">
        <f>운전실적_원본!E320</f>
        <v>16755.62</v>
      </c>
      <c r="K320" s="16">
        <f t="shared" si="1635"/>
        <v>4.319999999999709</v>
      </c>
      <c r="L320" s="15">
        <f>운전실적_원본!G320</f>
        <v>3984.2</v>
      </c>
      <c r="M320" s="31">
        <f t="shared" ref="M320" si="1757">IF(OR(LEN(L320)=0,L320=0),"",L320-L319)</f>
        <v>0.8999999999996362</v>
      </c>
      <c r="N320" s="15">
        <f>운전실적_원본!H320</f>
        <v>27203</v>
      </c>
      <c r="O320" s="16">
        <f t="shared" ref="O320" si="1758">IF(OR(LEN(N320)=0,N320=0),"",N320-N319)</f>
        <v>93</v>
      </c>
      <c r="P320" s="15">
        <f>운전실적_원본!I320</f>
        <v>6906</v>
      </c>
      <c r="Q320" s="16">
        <f t="shared" ref="Q320" si="1759">IF(OR(LEN(P320)=0,P320=0),"",P320-P319)</f>
        <v>96</v>
      </c>
      <c r="R320" s="18">
        <f>운전실적_원본!J320</f>
        <v>33.83</v>
      </c>
      <c r="S320" s="19">
        <f t="shared" ref="S320" si="1760">IF(OR(LEN(R320)=0,R320=0),"",R320-R319)</f>
        <v>4.9999999999997158E-2</v>
      </c>
      <c r="T320" s="18">
        <f>운전실적_원본!K320</f>
        <v>33.270000000000003</v>
      </c>
      <c r="U320" s="19">
        <f t="shared" si="1640"/>
        <v>2.0000000000003126E-2</v>
      </c>
      <c r="V320" s="12">
        <f>운전실적_원본!L320</f>
        <v>8667</v>
      </c>
      <c r="W320" s="16">
        <f t="shared" ref="W320" si="1761">IF(OR(LEN(V320)=0,V320=0),"",V320-V319)</f>
        <v>69</v>
      </c>
      <c r="X320" s="10">
        <f>운전실적_원본!M320</f>
        <v>0</v>
      </c>
      <c r="Y320" s="10">
        <f>운전실적_원본!N320</f>
        <v>0</v>
      </c>
      <c r="Z320" s="10">
        <f>운전실적_원본!O320</f>
        <v>0</v>
      </c>
      <c r="AA320" s="10">
        <f>운전실적_원본!P320</f>
        <v>0</v>
      </c>
      <c r="AB320" s="10">
        <f>운전실적_원본!Q320</f>
        <v>0</v>
      </c>
      <c r="AC320" s="10">
        <f>운전실적_원본!R320</f>
        <v>0</v>
      </c>
      <c r="AD320" s="181">
        <f>운전실적_원본!S320</f>
        <v>0</v>
      </c>
      <c r="AE320" s="181">
        <f>운전실적_원본!T320</f>
        <v>0</v>
      </c>
      <c r="AF320" s="181">
        <f>운전실적_원본!U320</f>
        <v>0</v>
      </c>
      <c r="AG320" s="181">
        <f>운전실적_원본!V320</f>
        <v>0</v>
      </c>
      <c r="AH320" s="106">
        <f t="shared" si="1461"/>
        <v>0</v>
      </c>
      <c r="AI320" s="107">
        <f t="shared" si="1469"/>
        <v>0</v>
      </c>
      <c r="AJ320" s="107">
        <f t="shared" si="1470"/>
        <v>0</v>
      </c>
      <c r="AK320" s="204">
        <f t="shared" si="1471"/>
        <v>0</v>
      </c>
      <c r="AL320" s="103"/>
      <c r="AM320" s="103"/>
      <c r="AN320" s="103"/>
      <c r="AO320" s="103"/>
      <c r="AP320" s="103"/>
      <c r="AQ320" s="105"/>
      <c r="AR320" s="103"/>
      <c r="AS320" s="103"/>
      <c r="AT320" s="101"/>
      <c r="AU320" s="101"/>
      <c r="AV320" s="101"/>
      <c r="AW320" s="101"/>
      <c r="AX320" s="32">
        <f>운전실적_원본!W320</f>
        <v>0</v>
      </c>
      <c r="AY320" s="198">
        <f>운전실적_원본!X320</f>
        <v>0</v>
      </c>
      <c r="AZ320" s="198">
        <f>운전실적_원본!Y320</f>
        <v>0</v>
      </c>
      <c r="BA320" s="198">
        <f>운전실적_원본!Z320</f>
        <v>0</v>
      </c>
      <c r="BB320" s="198">
        <f>운전실적_원본!AA320</f>
        <v>0</v>
      </c>
      <c r="BC320" s="198">
        <f>운전실적_원본!AB320</f>
        <v>0</v>
      </c>
      <c r="BD320" s="32" t="str">
        <f t="shared" si="1454"/>
        <v>-</v>
      </c>
      <c r="BE320" s="11" t="str">
        <f t="shared" si="1462"/>
        <v>-</v>
      </c>
      <c r="BF320" s="11">
        <f>운전실적_원본!AE320</f>
        <v>0</v>
      </c>
      <c r="BG320" s="31">
        <f t="shared" si="1455"/>
        <v>0</v>
      </c>
    </row>
    <row r="321" spans="1:59">
      <c r="A321" s="6">
        <f t="shared" si="1463"/>
        <v>45973</v>
      </c>
      <c r="B321" s="15">
        <f>운전실적_원본!B321</f>
        <v>372.9</v>
      </c>
      <c r="C321" s="16">
        <f t="shared" si="1632"/>
        <v>0</v>
      </c>
      <c r="D321" s="9">
        <f>운전실적_원본!C321</f>
        <v>245003</v>
      </c>
      <c r="E321" s="199">
        <f t="shared" si="1633"/>
        <v>56</v>
      </c>
      <c r="F321" s="9">
        <f>운전실적_원본!D321</f>
        <v>237859</v>
      </c>
      <c r="G321" s="16">
        <f t="shared" si="1634"/>
        <v>0</v>
      </c>
      <c r="H321" s="15">
        <f>운전실적_원본!E321</f>
        <v>16759.78</v>
      </c>
      <c r="I321" s="16">
        <f t="shared" si="1635"/>
        <v>4.1599999999998545</v>
      </c>
      <c r="J321" s="15">
        <f>운전실적_원본!E321</f>
        <v>16759.78</v>
      </c>
      <c r="K321" s="16">
        <f t="shared" si="1635"/>
        <v>4.1599999999998545</v>
      </c>
      <c r="L321" s="15">
        <f>운전실적_원본!G321</f>
        <v>3985.4</v>
      </c>
      <c r="M321" s="31">
        <f t="shared" ref="M321" si="1762">IF(OR(LEN(L321)=0,L321=0),"",L321-L320)</f>
        <v>1.2000000000002728</v>
      </c>
      <c r="N321" s="15">
        <f>운전실적_원본!H321</f>
        <v>27286</v>
      </c>
      <c r="O321" s="16">
        <f t="shared" ref="O321" si="1763">IF(OR(LEN(N321)=0,N321=0),"",N321-N320)</f>
        <v>83</v>
      </c>
      <c r="P321" s="15">
        <f>운전실적_원본!I321</f>
        <v>7031</v>
      </c>
      <c r="Q321" s="16">
        <f t="shared" ref="Q321" si="1764">IF(OR(LEN(P321)=0,P321=0),"",P321-P320)</f>
        <v>125</v>
      </c>
      <c r="R321" s="18">
        <f>운전실적_원본!J321</f>
        <v>34.03</v>
      </c>
      <c r="S321" s="19">
        <f t="shared" ref="S321" si="1765">IF(OR(LEN(R321)=0,R321=0),"",R321-R320)</f>
        <v>0.20000000000000284</v>
      </c>
      <c r="T321" s="18">
        <f>운전실적_원본!K321</f>
        <v>33.229999999999997</v>
      </c>
      <c r="U321" s="19">
        <f t="shared" si="1640"/>
        <v>-4.0000000000006253E-2</v>
      </c>
      <c r="V321" s="12">
        <f>운전실적_원본!L321</f>
        <v>8603</v>
      </c>
      <c r="W321" s="16">
        <f t="shared" ref="W321" si="1766">IF(OR(LEN(V321)=0,V321=0),"",V321-V320)</f>
        <v>-64</v>
      </c>
      <c r="X321" s="10">
        <f>운전실적_원본!M321</f>
        <v>0</v>
      </c>
      <c r="Y321" s="10">
        <f>운전실적_원본!N321</f>
        <v>0</v>
      </c>
      <c r="Z321" s="10">
        <f>운전실적_원본!O321</f>
        <v>0</v>
      </c>
      <c r="AA321" s="10">
        <f>운전실적_원본!P321</f>
        <v>0</v>
      </c>
      <c r="AB321" s="10">
        <f>운전실적_원본!Q321</f>
        <v>0</v>
      </c>
      <c r="AC321" s="10">
        <f>운전실적_원본!R321</f>
        <v>0</v>
      </c>
      <c r="AD321" s="181">
        <f>운전실적_원본!S321</f>
        <v>0</v>
      </c>
      <c r="AE321" s="181">
        <f>운전실적_원본!T321</f>
        <v>0</v>
      </c>
      <c r="AF321" s="181">
        <f>운전실적_원본!U321</f>
        <v>0</v>
      </c>
      <c r="AG321" s="181">
        <f>운전실적_원본!V321</f>
        <v>0</v>
      </c>
      <c r="AH321" s="106">
        <f t="shared" si="1461"/>
        <v>0</v>
      </c>
      <c r="AI321" s="107">
        <f t="shared" si="1469"/>
        <v>0</v>
      </c>
      <c r="AJ321" s="107">
        <f t="shared" si="1470"/>
        <v>0</v>
      </c>
      <c r="AK321" s="204">
        <f t="shared" si="1471"/>
        <v>0</v>
      </c>
      <c r="AL321" s="103"/>
      <c r="AM321" s="103"/>
      <c r="AN321" s="103"/>
      <c r="AO321" s="103"/>
      <c r="AP321" s="103"/>
      <c r="AQ321" s="105"/>
      <c r="AR321" s="103"/>
      <c r="AS321" s="103"/>
      <c r="AT321" s="101"/>
      <c r="AU321" s="101"/>
      <c r="AV321" s="101"/>
      <c r="AW321" s="101"/>
      <c r="AX321" s="32">
        <f>운전실적_원본!W321</f>
        <v>0</v>
      </c>
      <c r="AY321" s="198">
        <f>운전실적_원본!X321</f>
        <v>0</v>
      </c>
      <c r="AZ321" s="198">
        <f>운전실적_원본!Y321</f>
        <v>0</v>
      </c>
      <c r="BA321" s="198">
        <f>운전실적_원본!Z321</f>
        <v>0</v>
      </c>
      <c r="BB321" s="198">
        <f>운전실적_원본!AA321</f>
        <v>0</v>
      </c>
      <c r="BC321" s="198">
        <f>운전실적_원본!AB321</f>
        <v>0</v>
      </c>
      <c r="BD321" s="32" t="str">
        <f t="shared" si="1454"/>
        <v>-</v>
      </c>
      <c r="BE321" s="11" t="str">
        <f t="shared" si="1462"/>
        <v>-</v>
      </c>
      <c r="BF321" s="11">
        <f>운전실적_원본!AE321</f>
        <v>0</v>
      </c>
      <c r="BG321" s="31">
        <f t="shared" si="1455"/>
        <v>0</v>
      </c>
    </row>
    <row r="322" spans="1:59">
      <c r="A322" s="6">
        <f t="shared" si="1463"/>
        <v>45974</v>
      </c>
      <c r="B322" s="15">
        <f>운전실적_원본!B322</f>
        <v>372.9</v>
      </c>
      <c r="C322" s="16">
        <f t="shared" si="1632"/>
        <v>0</v>
      </c>
      <c r="D322" s="9">
        <f>운전실적_원본!C322</f>
        <v>245073</v>
      </c>
      <c r="E322" s="199">
        <f t="shared" si="1633"/>
        <v>70</v>
      </c>
      <c r="F322" s="9">
        <f>운전실적_원본!D322</f>
        <v>237883</v>
      </c>
      <c r="G322" s="16">
        <f t="shared" si="1634"/>
        <v>24</v>
      </c>
      <c r="H322" s="15">
        <f>운전실적_원본!E322</f>
        <v>16763.77</v>
      </c>
      <c r="I322" s="16">
        <f t="shared" si="1635"/>
        <v>3.9900000000016007</v>
      </c>
      <c r="J322" s="15">
        <f>운전실적_원본!E322</f>
        <v>16763.77</v>
      </c>
      <c r="K322" s="16">
        <f t="shared" si="1635"/>
        <v>3.9900000000016007</v>
      </c>
      <c r="L322" s="15">
        <f>운전실적_원본!G322</f>
        <v>3986.2</v>
      </c>
      <c r="M322" s="31">
        <f t="shared" ref="M322" si="1767">IF(OR(LEN(L322)=0,L322=0),"",L322-L321)</f>
        <v>0.79999999999972715</v>
      </c>
      <c r="N322" s="15">
        <f>운전실적_원본!H322</f>
        <v>27367</v>
      </c>
      <c r="O322" s="16">
        <f t="shared" ref="O322" si="1768">IF(OR(LEN(N322)=0,N322=0),"",N322-N321)</f>
        <v>81</v>
      </c>
      <c r="P322" s="15">
        <f>운전실적_원본!I322</f>
        <v>7157</v>
      </c>
      <c r="Q322" s="16">
        <f t="shared" ref="Q322" si="1769">IF(OR(LEN(P322)=0,P322=0),"",P322-P321)</f>
        <v>126</v>
      </c>
      <c r="R322" s="18">
        <f>운전실적_원본!J322</f>
        <v>34.049999999999997</v>
      </c>
      <c r="S322" s="19">
        <f t="shared" ref="S322" si="1770">IF(OR(LEN(R322)=0,R322=0),"",R322-R321)</f>
        <v>1.9999999999996021E-2</v>
      </c>
      <c r="T322" s="18">
        <f>운전실적_원본!K322</f>
        <v>33.24</v>
      </c>
      <c r="U322" s="19">
        <f t="shared" si="1640"/>
        <v>1.0000000000005116E-2</v>
      </c>
      <c r="V322" s="12">
        <f>운전실적_원본!L322</f>
        <v>8633</v>
      </c>
      <c r="W322" s="16">
        <f t="shared" ref="W322" si="1771">IF(OR(LEN(V322)=0,V322=0),"",V322-V321)</f>
        <v>30</v>
      </c>
      <c r="X322" s="10">
        <f>운전실적_원본!M322</f>
        <v>0</v>
      </c>
      <c r="Y322" s="10">
        <f>운전실적_원본!N322</f>
        <v>0</v>
      </c>
      <c r="Z322" s="10">
        <f>운전실적_원본!O322</f>
        <v>0</v>
      </c>
      <c r="AA322" s="10">
        <f>운전실적_원본!P322</f>
        <v>0</v>
      </c>
      <c r="AB322" s="10">
        <f>운전실적_원본!Q322</f>
        <v>0</v>
      </c>
      <c r="AC322" s="10">
        <f>운전실적_원본!R322</f>
        <v>0</v>
      </c>
      <c r="AD322" s="181">
        <f>운전실적_원본!S322</f>
        <v>0</v>
      </c>
      <c r="AE322" s="181">
        <f>운전실적_원본!T322</f>
        <v>0</v>
      </c>
      <c r="AF322" s="181">
        <f>운전실적_원본!U322</f>
        <v>0</v>
      </c>
      <c r="AG322" s="181">
        <f>운전실적_원본!V322</f>
        <v>0</v>
      </c>
      <c r="AH322" s="106">
        <f t="shared" si="1461"/>
        <v>0</v>
      </c>
      <c r="AI322" s="107">
        <f t="shared" si="1469"/>
        <v>0</v>
      </c>
      <c r="AJ322" s="107">
        <f t="shared" si="1470"/>
        <v>0</v>
      </c>
      <c r="AK322" s="204">
        <f t="shared" si="1471"/>
        <v>0</v>
      </c>
      <c r="AL322" s="103"/>
      <c r="AM322" s="103"/>
      <c r="AN322" s="103"/>
      <c r="AO322" s="103"/>
      <c r="AP322" s="103"/>
      <c r="AQ322" s="105"/>
      <c r="AR322" s="103"/>
      <c r="AS322" s="103"/>
      <c r="AT322" s="101"/>
      <c r="AU322" s="101"/>
      <c r="AV322" s="101"/>
      <c r="AW322" s="101"/>
      <c r="AX322" s="32">
        <f>운전실적_원본!W322</f>
        <v>0</v>
      </c>
      <c r="AY322" s="198">
        <f>운전실적_원본!X322</f>
        <v>0</v>
      </c>
      <c r="AZ322" s="198">
        <f>운전실적_원본!Y322</f>
        <v>0</v>
      </c>
      <c r="BA322" s="198">
        <f>운전실적_원본!Z322</f>
        <v>0</v>
      </c>
      <c r="BB322" s="198">
        <f>운전실적_원본!AA322</f>
        <v>0</v>
      </c>
      <c r="BC322" s="198">
        <f>운전실적_원본!AB322</f>
        <v>0</v>
      </c>
      <c r="BD322" s="32" t="str">
        <f t="shared" si="1454"/>
        <v>-</v>
      </c>
      <c r="BE322" s="11" t="str">
        <f t="shared" si="1462"/>
        <v>-</v>
      </c>
      <c r="BF322" s="11">
        <f>운전실적_원본!AE322</f>
        <v>0</v>
      </c>
      <c r="BG322" s="31">
        <f t="shared" si="1455"/>
        <v>0</v>
      </c>
    </row>
    <row r="323" spans="1:59">
      <c r="A323" s="6">
        <f t="shared" si="1463"/>
        <v>45975</v>
      </c>
      <c r="B323" s="15">
        <f>운전실적_원본!B323</f>
        <v>372.9</v>
      </c>
      <c r="C323" s="16">
        <f t="shared" si="1632"/>
        <v>0</v>
      </c>
      <c r="D323" s="9">
        <f>운전실적_원본!C323</f>
        <v>245073</v>
      </c>
      <c r="E323" s="199">
        <f t="shared" si="1633"/>
        <v>0</v>
      </c>
      <c r="F323" s="9">
        <f>운전실적_원본!D323</f>
        <v>237945</v>
      </c>
      <c r="G323" s="16">
        <f t="shared" si="1634"/>
        <v>62</v>
      </c>
      <c r="H323" s="15">
        <f>운전실적_원본!E323</f>
        <v>16767.98</v>
      </c>
      <c r="I323" s="16">
        <f t="shared" si="1635"/>
        <v>4.2099999999991269</v>
      </c>
      <c r="J323" s="15">
        <f>운전실적_원본!E323</f>
        <v>16767.98</v>
      </c>
      <c r="K323" s="16">
        <f t="shared" si="1635"/>
        <v>4.2099999999991269</v>
      </c>
      <c r="L323" s="15">
        <f>운전실적_원본!G323</f>
        <v>3987.3</v>
      </c>
      <c r="M323" s="31">
        <f t="shared" ref="M323" si="1772">IF(OR(LEN(L323)=0,L323=0),"",L323-L322)</f>
        <v>1.1000000000003638</v>
      </c>
      <c r="N323" s="15">
        <f>운전실적_원본!H323</f>
        <v>27383</v>
      </c>
      <c r="O323" s="16">
        <f t="shared" ref="O323" si="1773">IF(OR(LEN(N323)=0,N323=0),"",N323-N322)</f>
        <v>16</v>
      </c>
      <c r="P323" s="15">
        <f>운전실적_원본!I323</f>
        <v>7234</v>
      </c>
      <c r="Q323" s="16">
        <f t="shared" ref="Q323" si="1774">IF(OR(LEN(P323)=0,P323=0),"",P323-P322)</f>
        <v>77</v>
      </c>
      <c r="R323" s="18">
        <f>운전실적_원본!J323</f>
        <v>33.840000000000003</v>
      </c>
      <c r="S323" s="19">
        <f t="shared" ref="S323" si="1775">IF(OR(LEN(R323)=0,R323=0),"",R323-R322)</f>
        <v>-0.20999999999999375</v>
      </c>
      <c r="T323" s="18">
        <f>운전실적_원본!K323</f>
        <v>33.22</v>
      </c>
      <c r="U323" s="19">
        <f t="shared" si="1640"/>
        <v>-2.0000000000003126E-2</v>
      </c>
      <c r="V323" s="12">
        <f>운전실적_원본!L323</f>
        <v>8624</v>
      </c>
      <c r="W323" s="16">
        <f t="shared" ref="W323" si="1776">IF(OR(LEN(V323)=0,V323=0),"",V323-V322)</f>
        <v>-9</v>
      </c>
      <c r="X323" s="10">
        <f>운전실적_원본!M323</f>
        <v>0</v>
      </c>
      <c r="Y323" s="10">
        <f>운전실적_원본!N323</f>
        <v>0</v>
      </c>
      <c r="Z323" s="10">
        <f>운전실적_원본!O323</f>
        <v>0</v>
      </c>
      <c r="AA323" s="10">
        <f>운전실적_원본!P323</f>
        <v>0</v>
      </c>
      <c r="AB323" s="10">
        <f>운전실적_원본!Q323</f>
        <v>0</v>
      </c>
      <c r="AC323" s="10">
        <f>운전실적_원본!R323</f>
        <v>0</v>
      </c>
      <c r="AD323" s="181">
        <f>운전실적_원본!S323</f>
        <v>0</v>
      </c>
      <c r="AE323" s="181">
        <f>운전실적_원본!T323</f>
        <v>0</v>
      </c>
      <c r="AF323" s="181">
        <f>운전실적_원본!U323</f>
        <v>0</v>
      </c>
      <c r="AG323" s="181">
        <f>운전실적_원본!V323</f>
        <v>0</v>
      </c>
      <c r="AH323" s="106">
        <f t="shared" si="1461"/>
        <v>0</v>
      </c>
      <c r="AI323" s="107">
        <f t="shared" si="1469"/>
        <v>0</v>
      </c>
      <c r="AJ323" s="107">
        <f t="shared" si="1470"/>
        <v>0</v>
      </c>
      <c r="AK323" s="204">
        <f t="shared" si="1471"/>
        <v>0</v>
      </c>
      <c r="AL323" s="103"/>
      <c r="AM323" s="103"/>
      <c r="AN323" s="103"/>
      <c r="AO323" s="103"/>
      <c r="AP323" s="103"/>
      <c r="AQ323" s="105"/>
      <c r="AR323" s="103"/>
      <c r="AS323" s="103"/>
      <c r="AT323" s="101"/>
      <c r="AU323" s="101"/>
      <c r="AV323" s="101"/>
      <c r="AW323" s="101"/>
      <c r="AX323" s="32">
        <f>운전실적_원본!W323</f>
        <v>0</v>
      </c>
      <c r="AY323" s="198">
        <f>운전실적_원본!X323</f>
        <v>0</v>
      </c>
      <c r="AZ323" s="198">
        <f>운전실적_원본!Y323</f>
        <v>0</v>
      </c>
      <c r="BA323" s="198">
        <f>운전실적_원본!Z323</f>
        <v>0</v>
      </c>
      <c r="BB323" s="198">
        <f>운전실적_원본!AA323</f>
        <v>0</v>
      </c>
      <c r="BC323" s="198">
        <f>운전실적_원본!AB323</f>
        <v>0</v>
      </c>
      <c r="BD323" s="32" t="str">
        <f t="shared" si="1454"/>
        <v>-</v>
      </c>
      <c r="BE323" s="11" t="str">
        <f t="shared" si="1462"/>
        <v>-</v>
      </c>
      <c r="BF323" s="11">
        <f>운전실적_원본!AE323</f>
        <v>0</v>
      </c>
      <c r="BG323" s="31">
        <f t="shared" si="1455"/>
        <v>0</v>
      </c>
    </row>
    <row r="324" spans="1:59">
      <c r="A324" s="6">
        <f t="shared" si="1463"/>
        <v>45976</v>
      </c>
      <c r="B324" s="15">
        <f>운전실적_원본!B324</f>
        <v>372.9</v>
      </c>
      <c r="C324" s="16">
        <f t="shared" si="1632"/>
        <v>0</v>
      </c>
      <c r="D324" s="9">
        <f>운전실적_원본!C324</f>
        <v>245073</v>
      </c>
      <c r="E324" s="199">
        <f t="shared" si="1633"/>
        <v>0</v>
      </c>
      <c r="F324" s="9">
        <f>운전실적_원본!D324</f>
        <v>237945</v>
      </c>
      <c r="G324" s="16">
        <f t="shared" si="1634"/>
        <v>0</v>
      </c>
      <c r="H324" s="15">
        <f>운전실적_원본!E324</f>
        <v>16769.849999999999</v>
      </c>
      <c r="I324" s="16">
        <f t="shared" si="1635"/>
        <v>1.8699999999989814</v>
      </c>
      <c r="J324" s="15">
        <f>운전실적_원본!E324</f>
        <v>16769.849999999999</v>
      </c>
      <c r="K324" s="16">
        <f t="shared" si="1635"/>
        <v>1.8699999999989814</v>
      </c>
      <c r="L324" s="15">
        <f>운전실적_원본!G324</f>
        <v>3988.5</v>
      </c>
      <c r="M324" s="31">
        <f t="shared" ref="M324" si="1777">IF(OR(LEN(L324)=0,L324=0),"",L324-L323)</f>
        <v>1.1999999999998181</v>
      </c>
      <c r="N324" s="15">
        <f>운전실적_원본!H324</f>
        <v>27481</v>
      </c>
      <c r="O324" s="16">
        <f t="shared" ref="O324" si="1778">IF(OR(LEN(N324)=0,N324=0),"",N324-N323)</f>
        <v>98</v>
      </c>
      <c r="P324" s="15">
        <f>운전실적_원본!I324</f>
        <v>7257</v>
      </c>
      <c r="Q324" s="16">
        <f t="shared" ref="Q324" si="1779">IF(OR(LEN(P324)=0,P324=0),"",P324-P323)</f>
        <v>23</v>
      </c>
      <c r="R324" s="18">
        <f>운전실적_원본!J324</f>
        <v>33.72</v>
      </c>
      <c r="S324" s="19">
        <f t="shared" ref="S324" si="1780">IF(OR(LEN(R324)=0,R324=0),"",R324-R323)</f>
        <v>-0.12000000000000455</v>
      </c>
      <c r="T324" s="18">
        <f>운전실적_원본!K324</f>
        <v>33.200000000000003</v>
      </c>
      <c r="U324" s="19">
        <f t="shared" si="1640"/>
        <v>-1.9999999999996021E-2</v>
      </c>
      <c r="V324" s="12">
        <f>운전실적_원본!L324</f>
        <v>8292</v>
      </c>
      <c r="W324" s="16">
        <f t="shared" ref="W324" si="1781">IF(OR(LEN(V324)=0,V324=0),"",V324-V323)</f>
        <v>-332</v>
      </c>
      <c r="X324" s="10">
        <f>운전실적_원본!M324</f>
        <v>0</v>
      </c>
      <c r="Y324" s="10">
        <f>운전실적_원본!N324</f>
        <v>0</v>
      </c>
      <c r="Z324" s="10">
        <f>운전실적_원본!O324</f>
        <v>0</v>
      </c>
      <c r="AA324" s="10">
        <f>운전실적_원본!P324</f>
        <v>0</v>
      </c>
      <c r="AB324" s="10">
        <f>운전실적_원본!Q324</f>
        <v>0</v>
      </c>
      <c r="AC324" s="10">
        <f>운전실적_원본!R324</f>
        <v>0</v>
      </c>
      <c r="AD324" s="181">
        <f>운전실적_원본!S324</f>
        <v>0</v>
      </c>
      <c r="AE324" s="181">
        <f>운전실적_원본!T324</f>
        <v>0</v>
      </c>
      <c r="AF324" s="181">
        <f>운전실적_원본!U324</f>
        <v>0</v>
      </c>
      <c r="AG324" s="181">
        <f>운전실적_원본!V324</f>
        <v>0</v>
      </c>
      <c r="AH324" s="106">
        <f t="shared" si="1461"/>
        <v>0</v>
      </c>
      <c r="AI324" s="107">
        <f t="shared" si="1469"/>
        <v>0</v>
      </c>
      <c r="AJ324" s="107">
        <f t="shared" si="1470"/>
        <v>0</v>
      </c>
      <c r="AK324" s="204">
        <f t="shared" si="1471"/>
        <v>0</v>
      </c>
      <c r="AL324" s="103"/>
      <c r="AM324" s="103"/>
      <c r="AN324" s="103"/>
      <c r="AO324" s="103"/>
      <c r="AP324" s="103"/>
      <c r="AQ324" s="105"/>
      <c r="AR324" s="103"/>
      <c r="AS324" s="103"/>
      <c r="AT324" s="101"/>
      <c r="AU324" s="101"/>
      <c r="AV324" s="101"/>
      <c r="AW324" s="101"/>
      <c r="AX324" s="32">
        <f>운전실적_원본!W324</f>
        <v>0</v>
      </c>
      <c r="AY324" s="198">
        <f>운전실적_원본!X324</f>
        <v>0</v>
      </c>
      <c r="AZ324" s="198">
        <f>운전실적_원본!Y324</f>
        <v>0</v>
      </c>
      <c r="BA324" s="198">
        <f>운전실적_원본!Z324</f>
        <v>0</v>
      </c>
      <c r="BB324" s="198">
        <f>운전실적_원본!AA324</f>
        <v>0</v>
      </c>
      <c r="BC324" s="198">
        <f>운전실적_원본!AB324</f>
        <v>0</v>
      </c>
      <c r="BD324" s="32" t="str">
        <f t="shared" si="1454"/>
        <v>-</v>
      </c>
      <c r="BE324" s="11" t="str">
        <f t="shared" si="1462"/>
        <v>-</v>
      </c>
      <c r="BF324" s="11">
        <f>운전실적_원본!AE324</f>
        <v>0</v>
      </c>
      <c r="BG324" s="31">
        <f t="shared" si="1455"/>
        <v>0</v>
      </c>
    </row>
    <row r="325" spans="1:59">
      <c r="A325" s="6">
        <f t="shared" si="1463"/>
        <v>45977</v>
      </c>
      <c r="B325" s="15">
        <f>운전실적_원본!B325</f>
        <v>372.9</v>
      </c>
      <c r="C325" s="16">
        <f t="shared" si="1632"/>
        <v>0</v>
      </c>
      <c r="D325" s="9">
        <f>운전실적_원본!C325</f>
        <v>245073</v>
      </c>
      <c r="E325" s="199">
        <f t="shared" si="1633"/>
        <v>0</v>
      </c>
      <c r="F325" s="9">
        <f>운전실적_원본!D325</f>
        <v>237962</v>
      </c>
      <c r="G325" s="16">
        <f t="shared" si="1634"/>
        <v>17</v>
      </c>
      <c r="H325" s="15">
        <f>운전실적_원본!E325</f>
        <v>16771.099999999999</v>
      </c>
      <c r="I325" s="16">
        <f t="shared" si="1635"/>
        <v>1.25</v>
      </c>
      <c r="J325" s="15">
        <f>운전실적_원본!E325</f>
        <v>16771.099999999999</v>
      </c>
      <c r="K325" s="16">
        <f t="shared" si="1635"/>
        <v>1.25</v>
      </c>
      <c r="L325" s="15">
        <f>운전실적_원본!G325</f>
        <v>3989</v>
      </c>
      <c r="M325" s="31">
        <f t="shared" ref="M325" si="1782">IF(OR(LEN(L325)=0,L325=0),"",L325-L324)</f>
        <v>0.5</v>
      </c>
      <c r="N325" s="15">
        <f>운전실적_원본!H325</f>
        <v>27490</v>
      </c>
      <c r="O325" s="16">
        <f t="shared" ref="O325" si="1783">IF(OR(LEN(N325)=0,N325=0),"",N325-N324)</f>
        <v>9</v>
      </c>
      <c r="P325" s="15">
        <f>운전실적_원본!I325</f>
        <v>7279</v>
      </c>
      <c r="Q325" s="16">
        <f t="shared" ref="Q325" si="1784">IF(OR(LEN(P325)=0,P325=0),"",P325-P324)</f>
        <v>22</v>
      </c>
      <c r="R325" s="18">
        <f>운전실적_원본!J325</f>
        <v>33.619999999999997</v>
      </c>
      <c r="S325" s="19">
        <f t="shared" ref="S325" si="1785">IF(OR(LEN(R325)=0,R325=0),"",R325-R324)</f>
        <v>-0.10000000000000142</v>
      </c>
      <c r="T325" s="18">
        <f>운전실적_원본!K325</f>
        <v>33.19</v>
      </c>
      <c r="U325" s="19">
        <f t="shared" si="1640"/>
        <v>-1.0000000000005116E-2</v>
      </c>
      <c r="V325" s="12">
        <f>운전실적_원본!L325</f>
        <v>8683</v>
      </c>
      <c r="W325" s="16">
        <f t="shared" ref="W325" si="1786">IF(OR(LEN(V325)=0,V325=0),"",V325-V324)</f>
        <v>391</v>
      </c>
      <c r="X325" s="10">
        <f>운전실적_원본!M325</f>
        <v>0</v>
      </c>
      <c r="Y325" s="10">
        <f>운전실적_원본!N325</f>
        <v>0</v>
      </c>
      <c r="Z325" s="10">
        <f>운전실적_원본!O325</f>
        <v>0</v>
      </c>
      <c r="AA325" s="10">
        <f>운전실적_원본!P325</f>
        <v>0</v>
      </c>
      <c r="AB325" s="10">
        <f>운전실적_원본!Q325</f>
        <v>0</v>
      </c>
      <c r="AC325" s="10">
        <f>운전실적_원본!R325</f>
        <v>0</v>
      </c>
      <c r="AD325" s="181">
        <f>운전실적_원본!S325</f>
        <v>0</v>
      </c>
      <c r="AE325" s="181">
        <f>운전실적_원본!T325</f>
        <v>0</v>
      </c>
      <c r="AF325" s="181">
        <f>운전실적_원본!U325</f>
        <v>0</v>
      </c>
      <c r="AG325" s="181">
        <f>운전실적_원본!V325</f>
        <v>0</v>
      </c>
      <c r="AH325" s="106">
        <f t="shared" si="1461"/>
        <v>0</v>
      </c>
      <c r="AI325" s="107">
        <f t="shared" si="1469"/>
        <v>0</v>
      </c>
      <c r="AJ325" s="107">
        <f t="shared" si="1470"/>
        <v>0</v>
      </c>
      <c r="AK325" s="204">
        <f t="shared" si="1471"/>
        <v>0</v>
      </c>
      <c r="AL325" s="103"/>
      <c r="AM325" s="103"/>
      <c r="AN325" s="103"/>
      <c r="AO325" s="103"/>
      <c r="AP325" s="103"/>
      <c r="AQ325" s="105"/>
      <c r="AR325" s="103"/>
      <c r="AS325" s="103"/>
      <c r="AT325" s="101"/>
      <c r="AU325" s="101"/>
      <c r="AV325" s="101"/>
      <c r="AW325" s="101"/>
      <c r="AX325" s="32">
        <f>운전실적_원본!W325</f>
        <v>0</v>
      </c>
      <c r="AY325" s="198">
        <f>운전실적_원본!X325</f>
        <v>0</v>
      </c>
      <c r="AZ325" s="198">
        <f>운전실적_원본!Y325</f>
        <v>0</v>
      </c>
      <c r="BA325" s="198">
        <f>운전실적_원본!Z325</f>
        <v>0</v>
      </c>
      <c r="BB325" s="198">
        <f>운전실적_원본!AA325</f>
        <v>0</v>
      </c>
      <c r="BC325" s="198">
        <f>운전실적_원본!AB325</f>
        <v>0</v>
      </c>
      <c r="BD325" s="32" t="str">
        <f t="shared" ref="BD325:BD370" si="1787">IFERROR(AX325/AD325,"-")</f>
        <v>-</v>
      </c>
      <c r="BE325" s="11" t="str">
        <f t="shared" si="1462"/>
        <v>-</v>
      </c>
      <c r="BF325" s="11">
        <f>운전실적_원본!AE325</f>
        <v>0</v>
      </c>
      <c r="BG325" s="31">
        <f t="shared" ref="BG325:BG370" si="1788">IFERROR(BF325/$BG$4,"-")</f>
        <v>0</v>
      </c>
    </row>
    <row r="326" spans="1:59">
      <c r="A326" s="6">
        <f t="shared" si="1463"/>
        <v>45978</v>
      </c>
      <c r="B326" s="15">
        <f>운전실적_원본!B326</f>
        <v>391.9</v>
      </c>
      <c r="C326" s="16">
        <f t="shared" si="1632"/>
        <v>19</v>
      </c>
      <c r="D326" s="9">
        <f>운전실적_원본!C326</f>
        <v>245199</v>
      </c>
      <c r="E326" s="199">
        <f t="shared" si="1633"/>
        <v>126</v>
      </c>
      <c r="F326" s="9">
        <f>운전실적_원본!D326</f>
        <v>237963</v>
      </c>
      <c r="G326" s="16">
        <f t="shared" si="1634"/>
        <v>1</v>
      </c>
      <c r="H326" s="15">
        <f>운전실적_원본!E326</f>
        <v>16775.43</v>
      </c>
      <c r="I326" s="16">
        <f t="shared" si="1635"/>
        <v>4.3300000000017462</v>
      </c>
      <c r="J326" s="15">
        <f>운전실적_원본!E326</f>
        <v>16775.43</v>
      </c>
      <c r="K326" s="16">
        <f t="shared" si="1635"/>
        <v>4.3300000000017462</v>
      </c>
      <c r="L326" s="15">
        <f>운전실적_원본!G326</f>
        <v>3989.8</v>
      </c>
      <c r="M326" s="31">
        <f t="shared" ref="M326" si="1789">IF(OR(LEN(L326)=0,L326=0),"",L326-L325)</f>
        <v>0.8000000000001819</v>
      </c>
      <c r="N326" s="15">
        <f>운전실적_원본!H326</f>
        <v>27523</v>
      </c>
      <c r="O326" s="16">
        <f t="shared" ref="O326" si="1790">IF(OR(LEN(N326)=0,N326=0),"",N326-N325)</f>
        <v>33</v>
      </c>
      <c r="P326" s="15">
        <f>운전실적_원본!I326</f>
        <v>7471</v>
      </c>
      <c r="Q326" s="16">
        <f t="shared" ref="Q326" si="1791">IF(OR(LEN(P326)=0,P326=0),"",P326-P325)</f>
        <v>192</v>
      </c>
      <c r="R326" s="18">
        <f>운전실적_원본!J326</f>
        <v>33.409999999999997</v>
      </c>
      <c r="S326" s="19">
        <f t="shared" ref="S326" si="1792">IF(OR(LEN(R326)=0,R326=0),"",R326-R325)</f>
        <v>-0.21000000000000085</v>
      </c>
      <c r="T326" s="18">
        <f>운전실적_원본!K326</f>
        <v>33.299999999999997</v>
      </c>
      <c r="U326" s="19">
        <f t="shared" si="1640"/>
        <v>0.10999999999999943</v>
      </c>
      <c r="V326" s="12">
        <f>운전실적_원본!L326</f>
        <v>7803</v>
      </c>
      <c r="W326" s="16">
        <f t="shared" ref="W326" si="1793">IF(OR(LEN(V326)=0,V326=0),"",V326-V325)</f>
        <v>-880</v>
      </c>
      <c r="X326" s="10">
        <f>운전실적_원본!M326</f>
        <v>94613.740000002086</v>
      </c>
      <c r="Y326" s="10">
        <f>운전실적_원본!N326</f>
        <v>0</v>
      </c>
      <c r="Z326" s="10">
        <f>운전실적_원본!O326</f>
        <v>0</v>
      </c>
      <c r="AA326" s="10">
        <f>운전실적_원본!P326</f>
        <v>0</v>
      </c>
      <c r="AB326" s="10">
        <f>운전실적_원본!Q326</f>
        <v>0</v>
      </c>
      <c r="AC326" s="10">
        <f>운전실적_원본!R326</f>
        <v>0</v>
      </c>
      <c r="AD326" s="181">
        <f>운전실적_원본!S326</f>
        <v>18</v>
      </c>
      <c r="AE326" s="181">
        <f>운전실적_원본!T326</f>
        <v>0</v>
      </c>
      <c r="AF326" s="181">
        <f>운전실적_원본!U326</f>
        <v>0</v>
      </c>
      <c r="AG326" s="181">
        <f>운전실적_원본!V326</f>
        <v>0</v>
      </c>
      <c r="AH326" s="106">
        <f t="shared" ref="AH326:AH370" si="1794">((AM326-AL326)+(AO326-AN326)+(AQ326-AP326))*24</f>
        <v>18.083333333255723</v>
      </c>
      <c r="AI326" s="107">
        <f t="shared" si="1469"/>
        <v>0</v>
      </c>
      <c r="AJ326" s="107">
        <f t="shared" si="1470"/>
        <v>0</v>
      </c>
      <c r="AK326" s="204">
        <f t="shared" si="1471"/>
        <v>0</v>
      </c>
      <c r="AL326" s="103">
        <v>45978.246527777781</v>
      </c>
      <c r="AM326" s="103">
        <v>45979</v>
      </c>
      <c r="AN326" s="103"/>
      <c r="AO326" s="103"/>
      <c r="AP326" s="103"/>
      <c r="AQ326" s="105"/>
      <c r="AR326" s="103"/>
      <c r="AS326" s="103"/>
      <c r="AT326" s="101"/>
      <c r="AU326" s="101"/>
      <c r="AV326" s="101"/>
      <c r="AW326" s="101"/>
      <c r="AX326" s="32">
        <f>운전실적_원본!W326</f>
        <v>573</v>
      </c>
      <c r="AY326" s="198">
        <f>운전실적_원본!X326</f>
        <v>0</v>
      </c>
      <c r="AZ326" s="198">
        <f>운전실적_원본!Y326</f>
        <v>0</v>
      </c>
      <c r="BA326" s="198">
        <f>운전실적_원본!Z326</f>
        <v>0</v>
      </c>
      <c r="BB326" s="198">
        <f>운전실적_원본!AA326</f>
        <v>0</v>
      </c>
      <c r="BC326" s="198">
        <f>운전실적_원본!AB326</f>
        <v>573</v>
      </c>
      <c r="BD326" s="32">
        <f t="shared" si="1787"/>
        <v>31.833333333333332</v>
      </c>
      <c r="BE326" s="11">
        <f t="shared" ref="BE326:BE370" si="1795">IFERROR(BD326/$BE$4,"-")</f>
        <v>0.61944606603100472</v>
      </c>
      <c r="BF326" s="11">
        <f>운전실적_원본!AE326</f>
        <v>0</v>
      </c>
      <c r="BG326" s="31">
        <f t="shared" si="1788"/>
        <v>0</v>
      </c>
    </row>
    <row r="327" spans="1:59">
      <c r="A327" s="6">
        <f t="shared" ref="A327:A370" si="1796">A326+1</f>
        <v>45979</v>
      </c>
      <c r="B327" s="15">
        <f>운전실적_원본!B327</f>
        <v>391.9</v>
      </c>
      <c r="C327" s="16">
        <f t="shared" si="1632"/>
        <v>0</v>
      </c>
      <c r="D327" s="9">
        <f>운전실적_원본!C327</f>
        <v>245265</v>
      </c>
      <c r="E327" s="199">
        <f t="shared" si="1633"/>
        <v>66</v>
      </c>
      <c r="F327" s="9">
        <f>운전실적_원본!D327</f>
        <v>237996</v>
      </c>
      <c r="G327" s="16">
        <f t="shared" si="1634"/>
        <v>33</v>
      </c>
      <c r="H327" s="15">
        <f>운전실적_원본!E327</f>
        <v>16795.5</v>
      </c>
      <c r="I327" s="16">
        <f t="shared" si="1635"/>
        <v>20.069999999999709</v>
      </c>
      <c r="J327" s="15">
        <f>운전실적_원본!E327</f>
        <v>16795.5</v>
      </c>
      <c r="K327" s="16">
        <f t="shared" si="1635"/>
        <v>20.069999999999709</v>
      </c>
      <c r="L327" s="15">
        <f>운전실적_원본!G327</f>
        <v>3990.9</v>
      </c>
      <c r="M327" s="31">
        <f t="shared" ref="M327" si="1797">IF(OR(LEN(L327)=0,L327=0),"",L327-L326)</f>
        <v>1.0999999999999091</v>
      </c>
      <c r="N327" s="15">
        <f>운전실적_원본!H327</f>
        <v>27639</v>
      </c>
      <c r="O327" s="16">
        <f t="shared" ref="O327" si="1798">IF(OR(LEN(N327)=0,N327=0),"",N327-N326)</f>
        <v>116</v>
      </c>
      <c r="P327" s="15">
        <f>운전실적_원본!I327</f>
        <v>7670</v>
      </c>
      <c r="Q327" s="16">
        <f t="shared" ref="Q327" si="1799">IF(OR(LEN(P327)=0,P327=0),"",P327-P326)</f>
        <v>199</v>
      </c>
      <c r="R327" s="18">
        <f>운전실적_원본!J327</f>
        <v>33.799999999999997</v>
      </c>
      <c r="S327" s="19">
        <f t="shared" ref="S327" si="1800">IF(OR(LEN(R327)=0,R327=0),"",R327-R326)</f>
        <v>0.39000000000000057</v>
      </c>
      <c r="T327" s="18">
        <f>운전실적_원본!K327</f>
        <v>33.229999999999997</v>
      </c>
      <c r="U327" s="19">
        <f t="shared" si="1640"/>
        <v>-7.0000000000000284E-2</v>
      </c>
      <c r="V327" s="12">
        <f>운전실적_원본!L327</f>
        <v>8313</v>
      </c>
      <c r="W327" s="16">
        <f t="shared" ref="W327" si="1801">IF(OR(LEN(V327)=0,V327=0),"",V327-V326)</f>
        <v>510</v>
      </c>
      <c r="X327" s="10">
        <f>운전실적_원본!M327</f>
        <v>185693.47999999672</v>
      </c>
      <c r="Y327" s="10">
        <f>운전실적_원본!N327</f>
        <v>0</v>
      </c>
      <c r="Z327" s="10">
        <f>운전실적_원본!O327</f>
        <v>0</v>
      </c>
      <c r="AA327" s="10">
        <f>운전실적_원본!P327</f>
        <v>0</v>
      </c>
      <c r="AB327" s="10">
        <f>운전실적_원본!Q327</f>
        <v>0</v>
      </c>
      <c r="AC327" s="10">
        <f>운전실적_원본!R327</f>
        <v>0</v>
      </c>
      <c r="AD327" s="181">
        <f>운전실적_원본!S327</f>
        <v>24</v>
      </c>
      <c r="AE327" s="181">
        <f>운전실적_원본!T327</f>
        <v>0</v>
      </c>
      <c r="AF327" s="181">
        <f>운전실적_원본!U327</f>
        <v>0</v>
      </c>
      <c r="AG327" s="181">
        <f>운전실적_원본!V327</f>
        <v>0</v>
      </c>
      <c r="AH327" s="106">
        <f t="shared" si="1794"/>
        <v>24</v>
      </c>
      <c r="AI327" s="107">
        <f t="shared" ref="AI327:AI370" si="1802">(AS327-AR327)*24</f>
        <v>0</v>
      </c>
      <c r="AJ327" s="107">
        <f t="shared" ref="AJ327:AJ370" si="1803">(AU327-AT327)*24</f>
        <v>0</v>
      </c>
      <c r="AK327" s="204">
        <f t="shared" ref="AK327:AK370" si="1804">(AW327-AV327)*24</f>
        <v>0</v>
      </c>
      <c r="AL327" s="103">
        <v>45979</v>
      </c>
      <c r="AM327" s="103">
        <v>45980</v>
      </c>
      <c r="AN327" s="103"/>
      <c r="AO327" s="103"/>
      <c r="AP327" s="103"/>
      <c r="AQ327" s="105"/>
      <c r="AR327" s="103"/>
      <c r="AS327" s="103"/>
      <c r="AT327" s="101"/>
      <c r="AU327" s="101"/>
      <c r="AV327" s="101"/>
      <c r="AW327" s="101"/>
      <c r="AX327" s="32">
        <f>운전실적_원본!W327</f>
        <v>1165</v>
      </c>
      <c r="AY327" s="198">
        <f>운전실적_원본!X327</f>
        <v>0</v>
      </c>
      <c r="AZ327" s="198">
        <f>운전실적_원본!Y327</f>
        <v>0</v>
      </c>
      <c r="BA327" s="198">
        <f>운전실적_원본!Z327</f>
        <v>0</v>
      </c>
      <c r="BB327" s="198">
        <f>운전실적_원본!AA327</f>
        <v>0</v>
      </c>
      <c r="BC327" s="198">
        <f>운전실적_원본!AB327</f>
        <v>1165</v>
      </c>
      <c r="BD327" s="32">
        <f t="shared" si="1787"/>
        <v>48.541666666666664</v>
      </c>
      <c r="BE327" s="11">
        <f t="shared" si="1795"/>
        <v>0.94457417136926769</v>
      </c>
      <c r="BF327" s="11">
        <f>운전실적_원본!AE327</f>
        <v>0</v>
      </c>
      <c r="BG327" s="31">
        <f t="shared" si="1788"/>
        <v>0</v>
      </c>
    </row>
    <row r="328" spans="1:59">
      <c r="A328" s="6">
        <f t="shared" si="1796"/>
        <v>45980</v>
      </c>
      <c r="B328" s="15">
        <f>운전실적_원본!B328</f>
        <v>391.9</v>
      </c>
      <c r="C328" s="16">
        <f t="shared" si="1632"/>
        <v>0</v>
      </c>
      <c r="D328" s="9">
        <f>운전실적_원본!C328</f>
        <v>245282</v>
      </c>
      <c r="E328" s="199">
        <f t="shared" si="1633"/>
        <v>17</v>
      </c>
      <c r="F328" s="9">
        <f>운전실적_원본!D328</f>
        <v>238075</v>
      </c>
      <c r="G328" s="16">
        <f t="shared" si="1634"/>
        <v>79</v>
      </c>
      <c r="H328" s="15">
        <f>운전실적_원본!E328</f>
        <v>16804.939999999999</v>
      </c>
      <c r="I328" s="16">
        <f t="shared" si="1635"/>
        <v>9.4399999999986903</v>
      </c>
      <c r="J328" s="15">
        <f>운전실적_원본!E328</f>
        <v>16804.939999999999</v>
      </c>
      <c r="K328" s="16">
        <f t="shared" si="1635"/>
        <v>9.4399999999986903</v>
      </c>
      <c r="L328" s="15">
        <f>운전실적_원본!G328</f>
        <v>3992</v>
      </c>
      <c r="M328" s="31">
        <f t="shared" ref="M328" si="1805">IF(OR(LEN(L328)=0,L328=0),"",L328-L327)</f>
        <v>1.0999999999999091</v>
      </c>
      <c r="N328" s="15">
        <f>운전실적_원본!H328</f>
        <v>27818</v>
      </c>
      <c r="O328" s="16">
        <f t="shared" ref="O328" si="1806">IF(OR(LEN(N328)=0,N328=0),"",N328-N327)</f>
        <v>179</v>
      </c>
      <c r="P328" s="15">
        <f>운전실적_원본!I328</f>
        <v>7837</v>
      </c>
      <c r="Q328" s="16">
        <f t="shared" ref="Q328" si="1807">IF(OR(LEN(P328)=0,P328=0),"",P328-P327)</f>
        <v>167</v>
      </c>
      <c r="R328" s="18">
        <f>운전실적_원본!J328</f>
        <v>33.86</v>
      </c>
      <c r="S328" s="19">
        <f t="shared" ref="S328" si="1808">IF(OR(LEN(R328)=0,R328=0),"",R328-R327)</f>
        <v>6.0000000000002274E-2</v>
      </c>
      <c r="T328" s="18">
        <f>운전실적_원본!K328</f>
        <v>33.15</v>
      </c>
      <c r="U328" s="19">
        <f t="shared" si="1640"/>
        <v>-7.9999999999998295E-2</v>
      </c>
      <c r="V328" s="12">
        <f>운전실적_원본!L328</f>
        <v>8679</v>
      </c>
      <c r="W328" s="16">
        <f t="shared" ref="W328" si="1809">IF(OR(LEN(V328)=0,V328=0),"",V328-V327)</f>
        <v>366</v>
      </c>
      <c r="X328" s="10">
        <f>운전실적_원본!M328</f>
        <v>122856.78000000119</v>
      </c>
      <c r="Y328" s="10">
        <f>운전실적_원본!N328</f>
        <v>0</v>
      </c>
      <c r="Z328" s="10">
        <f>운전실적_원본!O328</f>
        <v>0</v>
      </c>
      <c r="AA328" s="10">
        <f>운전실적_원본!P328</f>
        <v>0</v>
      </c>
      <c r="AB328" s="10">
        <f>운전실적_원본!Q328</f>
        <v>0</v>
      </c>
      <c r="AC328" s="10">
        <f>운전실적_원본!R328</f>
        <v>0</v>
      </c>
      <c r="AD328" s="181">
        <f>운전실적_원본!S328</f>
        <v>18</v>
      </c>
      <c r="AE328" s="181">
        <f>운전실적_원본!T328</f>
        <v>0</v>
      </c>
      <c r="AF328" s="181">
        <f>운전실적_원본!U328</f>
        <v>0</v>
      </c>
      <c r="AG328" s="181">
        <f>운전실적_원본!V328</f>
        <v>0</v>
      </c>
      <c r="AH328" s="106">
        <f t="shared" si="1794"/>
        <v>18</v>
      </c>
      <c r="AI328" s="107">
        <f t="shared" si="1802"/>
        <v>0</v>
      </c>
      <c r="AJ328" s="107">
        <f t="shared" si="1803"/>
        <v>0</v>
      </c>
      <c r="AK328" s="204">
        <f t="shared" si="1804"/>
        <v>0</v>
      </c>
      <c r="AL328" s="103">
        <v>45980.25</v>
      </c>
      <c r="AM328" s="103">
        <v>45981</v>
      </c>
      <c r="AN328" s="103"/>
      <c r="AO328" s="103"/>
      <c r="AP328" s="103"/>
      <c r="AQ328" s="105"/>
      <c r="AR328" s="103"/>
      <c r="AS328" s="103"/>
      <c r="AT328" s="101"/>
      <c r="AU328" s="101"/>
      <c r="AV328" s="101"/>
      <c r="AW328" s="101"/>
      <c r="AX328" s="32">
        <f>운전실적_원본!W328</f>
        <v>774</v>
      </c>
      <c r="AY328" s="198">
        <f>운전실적_원본!X328</f>
        <v>0</v>
      </c>
      <c r="AZ328" s="198">
        <f>운전실적_원본!Y328</f>
        <v>0</v>
      </c>
      <c r="BA328" s="198">
        <f>운전실적_원본!Z328</f>
        <v>0</v>
      </c>
      <c r="BB328" s="198">
        <f>운전실적_원본!AA328</f>
        <v>0</v>
      </c>
      <c r="BC328" s="198">
        <f>운전실적_원본!AB328</f>
        <v>774</v>
      </c>
      <c r="BD328" s="32">
        <f t="shared" si="1787"/>
        <v>43</v>
      </c>
      <c r="BE328" s="11">
        <f t="shared" si="1795"/>
        <v>0.83673866510994355</v>
      </c>
      <c r="BF328" s="11">
        <f>운전실적_원본!AE328</f>
        <v>0</v>
      </c>
      <c r="BG328" s="31">
        <f t="shared" si="1788"/>
        <v>0</v>
      </c>
    </row>
    <row r="329" spans="1:59">
      <c r="A329" s="6">
        <f t="shared" si="1796"/>
        <v>45981</v>
      </c>
      <c r="B329" s="15">
        <f>운전실적_원본!B329</f>
        <v>391.9</v>
      </c>
      <c r="C329" s="16">
        <f t="shared" si="1632"/>
        <v>0</v>
      </c>
      <c r="D329" s="9">
        <f>운전실적_원본!C329</f>
        <v>245309</v>
      </c>
      <c r="E329" s="199">
        <f t="shared" si="1633"/>
        <v>27</v>
      </c>
      <c r="F329" s="9">
        <f>운전실적_원본!D329</f>
        <v>238104</v>
      </c>
      <c r="G329" s="16">
        <f t="shared" si="1634"/>
        <v>29</v>
      </c>
      <c r="H329" s="15">
        <f>운전실적_원본!E329</f>
        <v>16820.07</v>
      </c>
      <c r="I329" s="16">
        <f t="shared" si="1635"/>
        <v>15.130000000001019</v>
      </c>
      <c r="J329" s="15">
        <f>운전실적_원본!E329</f>
        <v>16820.07</v>
      </c>
      <c r="K329" s="16">
        <f t="shared" si="1635"/>
        <v>15.130000000001019</v>
      </c>
      <c r="L329" s="15">
        <f>운전실적_원본!G329</f>
        <v>3992.7</v>
      </c>
      <c r="M329" s="31">
        <f t="shared" ref="M329" si="1810">IF(OR(LEN(L329)=0,L329=0),"",L329-L328)</f>
        <v>0.6999999999998181</v>
      </c>
      <c r="N329" s="15">
        <f>운전실적_원본!H329</f>
        <v>27902</v>
      </c>
      <c r="O329" s="16">
        <f t="shared" ref="O329" si="1811">IF(OR(LEN(N329)=0,N329=0),"",N329-N328)</f>
        <v>84</v>
      </c>
      <c r="P329" s="15">
        <f>운전실적_원본!I329</f>
        <v>7939</v>
      </c>
      <c r="Q329" s="16">
        <f t="shared" ref="Q329" si="1812">IF(OR(LEN(P329)=0,P329=0),"",P329-P328)</f>
        <v>102</v>
      </c>
      <c r="R329" s="18">
        <f>운전실적_원본!J329</f>
        <v>33.74</v>
      </c>
      <c r="S329" s="19">
        <f t="shared" ref="S329" si="1813">IF(OR(LEN(R329)=0,R329=0),"",R329-R328)</f>
        <v>-0.11999999999999744</v>
      </c>
      <c r="T329" s="18">
        <f>운전실적_원본!K329</f>
        <v>33.17</v>
      </c>
      <c r="U329" s="19">
        <f t="shared" si="1640"/>
        <v>2.0000000000003126E-2</v>
      </c>
      <c r="V329" s="12">
        <f>운전실적_원본!L329</f>
        <v>8661</v>
      </c>
      <c r="W329" s="16">
        <f t="shared" ref="W329" si="1814">IF(OR(LEN(V329)=0,V329=0),"",V329-V328)</f>
        <v>-18</v>
      </c>
      <c r="X329" s="10">
        <f>운전실적_원본!M329</f>
        <v>84943.5</v>
      </c>
      <c r="Y329" s="10">
        <f>운전실적_원본!N329</f>
        <v>0</v>
      </c>
      <c r="Z329" s="10">
        <f>운전실적_원본!O329</f>
        <v>0</v>
      </c>
      <c r="AA329" s="10">
        <f>운전실적_원본!P329</f>
        <v>0</v>
      </c>
      <c r="AB329" s="10">
        <f>운전실적_원본!Q329</f>
        <v>0</v>
      </c>
      <c r="AC329" s="10">
        <f>운전실적_원본!R329</f>
        <v>0</v>
      </c>
      <c r="AD329" s="181">
        <f>운전실적_원본!S329</f>
        <v>13</v>
      </c>
      <c r="AE329" s="181">
        <f>운전실적_원본!T329</f>
        <v>0</v>
      </c>
      <c r="AF329" s="181">
        <f>운전실적_원본!U329</f>
        <v>0</v>
      </c>
      <c r="AG329" s="181">
        <f>운전실적_원본!V329</f>
        <v>0</v>
      </c>
      <c r="AH329" s="106">
        <f t="shared" si="1794"/>
        <v>12.999999999941792</v>
      </c>
      <c r="AI329" s="107">
        <f t="shared" si="1802"/>
        <v>0</v>
      </c>
      <c r="AJ329" s="107">
        <f t="shared" si="1803"/>
        <v>0</v>
      </c>
      <c r="AK329" s="204">
        <f t="shared" si="1804"/>
        <v>0</v>
      </c>
      <c r="AL329" s="103">
        <v>45981.25</v>
      </c>
      <c r="AM329" s="103">
        <v>45981.791666666664</v>
      </c>
      <c r="AN329" s="103"/>
      <c r="AO329" s="103"/>
      <c r="AP329" s="103"/>
      <c r="AQ329" s="105"/>
      <c r="AR329" s="103"/>
      <c r="AS329" s="103"/>
      <c r="AT329" s="101"/>
      <c r="AU329" s="101"/>
      <c r="AV329" s="101"/>
      <c r="AW329" s="101"/>
      <c r="AX329" s="32">
        <f>운전실적_원본!W329</f>
        <v>540</v>
      </c>
      <c r="AY329" s="198">
        <f>운전실적_원본!X329</f>
        <v>0</v>
      </c>
      <c r="AZ329" s="198">
        <f>운전실적_원본!Y329</f>
        <v>0</v>
      </c>
      <c r="BA329" s="198">
        <f>운전실적_원본!Z329</f>
        <v>0</v>
      </c>
      <c r="BB329" s="198">
        <f>운전실적_원본!AA329</f>
        <v>0</v>
      </c>
      <c r="BC329" s="198">
        <f>운전실적_원본!AB329</f>
        <v>540</v>
      </c>
      <c r="BD329" s="32">
        <f t="shared" si="1787"/>
        <v>41.53846153846154</v>
      </c>
      <c r="BE329" s="11">
        <f t="shared" si="1795"/>
        <v>0.80829853159100096</v>
      </c>
      <c r="BF329" s="11">
        <f>운전실적_원본!AE329</f>
        <v>0</v>
      </c>
      <c r="BG329" s="31">
        <f t="shared" si="1788"/>
        <v>0</v>
      </c>
    </row>
    <row r="330" spans="1:59">
      <c r="A330" s="6">
        <f t="shared" si="1796"/>
        <v>45982</v>
      </c>
      <c r="B330" s="15">
        <f>운전실적_원본!B330</f>
        <v>392.3</v>
      </c>
      <c r="C330" s="16">
        <f t="shared" si="1632"/>
        <v>0.40000000000003411</v>
      </c>
      <c r="D330" s="9">
        <f>운전실적_원본!C330</f>
        <v>245433</v>
      </c>
      <c r="E330" s="199">
        <f t="shared" si="1633"/>
        <v>124</v>
      </c>
      <c r="F330" s="9">
        <f>운전실적_원본!D330</f>
        <v>238104</v>
      </c>
      <c r="G330" s="16">
        <f t="shared" si="1634"/>
        <v>0</v>
      </c>
      <c r="H330" s="15">
        <f>운전실적_원본!E330</f>
        <v>16824.78</v>
      </c>
      <c r="I330" s="16">
        <f t="shared" si="1635"/>
        <v>4.7099999999991269</v>
      </c>
      <c r="J330" s="15">
        <f>운전실적_원본!E330</f>
        <v>16824.78</v>
      </c>
      <c r="K330" s="16">
        <f t="shared" si="1635"/>
        <v>4.7099999999991269</v>
      </c>
      <c r="L330" s="15">
        <f>운전실적_원본!G330</f>
        <v>3993.7</v>
      </c>
      <c r="M330" s="31">
        <f t="shared" ref="M330" si="1815">IF(OR(LEN(L330)=0,L330=0),"",L330-L329)</f>
        <v>1</v>
      </c>
      <c r="N330" s="15">
        <f>운전실적_원본!H330</f>
        <v>28027</v>
      </c>
      <c r="O330" s="16">
        <f t="shared" ref="O330" si="1816">IF(OR(LEN(N330)=0,N330=0),"",N330-N329)</f>
        <v>125</v>
      </c>
      <c r="P330" s="15">
        <f>운전실적_원본!I330</f>
        <v>8138</v>
      </c>
      <c r="Q330" s="16">
        <f t="shared" ref="Q330" si="1817">IF(OR(LEN(P330)=0,P330=0),"",P330-P329)</f>
        <v>199</v>
      </c>
      <c r="R330" s="18">
        <f>운전실적_원본!J330</f>
        <v>33.97</v>
      </c>
      <c r="S330" s="19">
        <f t="shared" ref="S330" si="1818">IF(OR(LEN(R330)=0,R330=0),"",R330-R329)</f>
        <v>0.22999999999999687</v>
      </c>
      <c r="T330" s="18">
        <f>운전실적_원본!K330</f>
        <v>33.1</v>
      </c>
      <c r="U330" s="19">
        <f t="shared" si="1640"/>
        <v>-7.0000000000000284E-2</v>
      </c>
      <c r="V330" s="12">
        <f>운전실적_원본!L330</f>
        <v>7973</v>
      </c>
      <c r="W330" s="16">
        <f t="shared" ref="W330" si="1819">IF(OR(LEN(V330)=0,V330=0),"",V330-V329)</f>
        <v>-688</v>
      </c>
      <c r="X330" s="10">
        <f>운전실적_원본!M330</f>
        <v>120596.89999999851</v>
      </c>
      <c r="Y330" s="10">
        <f>운전실적_원본!N330</f>
        <v>0</v>
      </c>
      <c r="Z330" s="10">
        <f>운전실적_원본!O330</f>
        <v>0</v>
      </c>
      <c r="AA330" s="10">
        <f>운전실적_원본!P330</f>
        <v>0</v>
      </c>
      <c r="AB330" s="10">
        <f>운전실적_원본!Q330</f>
        <v>0</v>
      </c>
      <c r="AC330" s="10">
        <f>운전실적_원본!R330</f>
        <v>0</v>
      </c>
      <c r="AD330" s="181">
        <f>운전실적_원본!S330</f>
        <v>17</v>
      </c>
      <c r="AE330" s="181">
        <f>운전실적_원본!T330</f>
        <v>0</v>
      </c>
      <c r="AF330" s="181">
        <f>운전실적_원본!U330</f>
        <v>0</v>
      </c>
      <c r="AG330" s="181">
        <f>운전실적_원본!V330</f>
        <v>0</v>
      </c>
      <c r="AH330" s="106">
        <f t="shared" si="1794"/>
        <v>18.249999999941792</v>
      </c>
      <c r="AI330" s="107">
        <f t="shared" si="1802"/>
        <v>0</v>
      </c>
      <c r="AJ330" s="107">
        <f t="shared" si="1803"/>
        <v>0</v>
      </c>
      <c r="AK330" s="204">
        <f t="shared" si="1804"/>
        <v>0</v>
      </c>
      <c r="AL330" s="103">
        <v>45982.239583333336</v>
      </c>
      <c r="AM330" s="103">
        <v>45983</v>
      </c>
      <c r="AN330" s="103"/>
      <c r="AO330" s="103"/>
      <c r="AP330" s="103"/>
      <c r="AQ330" s="105"/>
      <c r="AR330" s="103"/>
      <c r="AS330" s="103"/>
      <c r="AT330" s="101"/>
      <c r="AU330" s="101"/>
      <c r="AV330" s="101"/>
      <c r="AW330" s="101"/>
      <c r="AX330" s="32">
        <f>운전실적_원본!W330</f>
        <v>768</v>
      </c>
      <c r="AY330" s="198">
        <f>운전실적_원본!X330</f>
        <v>0</v>
      </c>
      <c r="AZ330" s="198">
        <f>운전실적_원본!Y330</f>
        <v>0</v>
      </c>
      <c r="BA330" s="198">
        <f>운전실적_원본!Z330</f>
        <v>0</v>
      </c>
      <c r="BB330" s="198">
        <f>운전실적_원본!AA330</f>
        <v>0</v>
      </c>
      <c r="BC330" s="198">
        <f>운전실적_원본!AB330</f>
        <v>768</v>
      </c>
      <c r="BD330" s="32">
        <f t="shared" si="1787"/>
        <v>45.176470588235297</v>
      </c>
      <c r="BE330" s="11">
        <f t="shared" si="1795"/>
        <v>0.87909069056694489</v>
      </c>
      <c r="BF330" s="11">
        <f>운전실적_원본!AE330</f>
        <v>0</v>
      </c>
      <c r="BG330" s="31">
        <f t="shared" si="1788"/>
        <v>0</v>
      </c>
    </row>
    <row r="331" spans="1:59">
      <c r="A331" s="6">
        <f t="shared" si="1796"/>
        <v>45983</v>
      </c>
      <c r="B331" s="15">
        <f>운전실적_원본!B331</f>
        <v>392.3</v>
      </c>
      <c r="C331" s="16">
        <f t="shared" si="1632"/>
        <v>0</v>
      </c>
      <c r="D331" s="9">
        <f>운전실적_원본!C331</f>
        <v>245433</v>
      </c>
      <c r="E331" s="199">
        <f t="shared" si="1633"/>
        <v>0</v>
      </c>
      <c r="F331" s="9">
        <f>운전실적_원본!D331</f>
        <v>238212</v>
      </c>
      <c r="G331" s="16">
        <f t="shared" si="1634"/>
        <v>108</v>
      </c>
      <c r="H331" s="15">
        <f>운전실적_원본!E331</f>
        <v>16826.63</v>
      </c>
      <c r="I331" s="16">
        <f t="shared" si="1635"/>
        <v>1.8500000000021828</v>
      </c>
      <c r="J331" s="15">
        <f>운전실적_원본!E331</f>
        <v>16826.63</v>
      </c>
      <c r="K331" s="16">
        <f t="shared" si="1635"/>
        <v>1.8500000000021828</v>
      </c>
      <c r="L331" s="15">
        <f>운전실적_원본!G331</f>
        <v>3995</v>
      </c>
      <c r="M331" s="31">
        <f t="shared" ref="M331" si="1820">IF(OR(LEN(L331)=0,L331=0),"",L331-L330)</f>
        <v>1.3000000000001819</v>
      </c>
      <c r="N331" s="15">
        <f>운전실적_원본!H331</f>
        <v>28250</v>
      </c>
      <c r="O331" s="16">
        <f t="shared" ref="O331" si="1821">IF(OR(LEN(N331)=0,N331=0),"",N331-N330)</f>
        <v>223</v>
      </c>
      <c r="P331" s="15">
        <f>운전실적_원본!I331</f>
        <v>8303</v>
      </c>
      <c r="Q331" s="16">
        <f t="shared" ref="Q331" si="1822">IF(OR(LEN(P331)=0,P331=0),"",P331-P330)</f>
        <v>165</v>
      </c>
      <c r="R331" s="18">
        <f>운전실적_원본!J331</f>
        <v>33.96</v>
      </c>
      <c r="S331" s="19">
        <f t="shared" ref="S331" si="1823">IF(OR(LEN(R331)=0,R331=0),"",R331-R330)</f>
        <v>-9.9999999999980105E-3</v>
      </c>
      <c r="T331" s="18">
        <f>운전실적_원본!K331</f>
        <v>33.14</v>
      </c>
      <c r="U331" s="19">
        <f t="shared" si="1640"/>
        <v>3.9999999999999147E-2</v>
      </c>
      <c r="V331" s="12">
        <f>운전실적_원본!L331</f>
        <v>8535</v>
      </c>
      <c r="W331" s="16">
        <f t="shared" ref="W331" si="1824">IF(OR(LEN(V331)=0,V331=0),"",V331-V330)</f>
        <v>562</v>
      </c>
      <c r="X331" s="10">
        <f>운전실적_원본!M331</f>
        <v>61794.1</v>
      </c>
      <c r="Y331" s="10">
        <f>운전실적_원본!N331</f>
        <v>0</v>
      </c>
      <c r="Z331" s="10">
        <f>운전실적_원본!O331</f>
        <v>0</v>
      </c>
      <c r="AA331" s="10">
        <f>운전실적_원본!P331</f>
        <v>0</v>
      </c>
      <c r="AB331" s="10">
        <f>운전실적_원본!Q331</f>
        <v>0</v>
      </c>
      <c r="AC331" s="10">
        <f>운전실적_원본!R331</f>
        <v>0</v>
      </c>
      <c r="AD331" s="181">
        <f>운전실적_원본!S331</f>
        <v>10</v>
      </c>
      <c r="AE331" s="181">
        <f>운전실적_원본!T331</f>
        <v>0</v>
      </c>
      <c r="AF331" s="181">
        <f>운전실적_원본!U331</f>
        <v>0</v>
      </c>
      <c r="AG331" s="181">
        <f>운전실적_원본!V331</f>
        <v>0</v>
      </c>
      <c r="AH331" s="106">
        <f t="shared" si="1794"/>
        <v>9.9999999999417923</v>
      </c>
      <c r="AI331" s="107">
        <f t="shared" si="1802"/>
        <v>0</v>
      </c>
      <c r="AJ331" s="107">
        <f t="shared" si="1803"/>
        <v>0</v>
      </c>
      <c r="AK331" s="204">
        <f t="shared" si="1804"/>
        <v>0</v>
      </c>
      <c r="AL331" s="103">
        <v>45983</v>
      </c>
      <c r="AM331" s="103">
        <v>45983.041666666664</v>
      </c>
      <c r="AN331" s="103">
        <v>45983.625</v>
      </c>
      <c r="AO331" s="103">
        <v>45984</v>
      </c>
      <c r="AP331" s="103"/>
      <c r="AQ331" s="105"/>
      <c r="AR331" s="103"/>
      <c r="AS331" s="103"/>
      <c r="AT331" s="101"/>
      <c r="AU331" s="101"/>
      <c r="AV331" s="101"/>
      <c r="AW331" s="101"/>
      <c r="AX331" s="32">
        <f>운전실적_원본!W331</f>
        <v>379</v>
      </c>
      <c r="AY331" s="198">
        <f>운전실적_원본!X331</f>
        <v>0</v>
      </c>
      <c r="AZ331" s="198">
        <f>운전실적_원본!Y331</f>
        <v>0</v>
      </c>
      <c r="BA331" s="198">
        <f>운전실적_원본!Z331</f>
        <v>0</v>
      </c>
      <c r="BB331" s="198">
        <f>운전실적_원본!AA331</f>
        <v>0</v>
      </c>
      <c r="BC331" s="198">
        <f>운전실적_원본!AB331</f>
        <v>379</v>
      </c>
      <c r="BD331" s="32">
        <f t="shared" si="1787"/>
        <v>37.9</v>
      </c>
      <c r="BE331" s="11">
        <f t="shared" si="1795"/>
        <v>0.7374975676201595</v>
      </c>
      <c r="BF331" s="11">
        <f>운전실적_원본!AE331</f>
        <v>0</v>
      </c>
      <c r="BG331" s="31">
        <f t="shared" si="1788"/>
        <v>0</v>
      </c>
    </row>
    <row r="332" spans="1:59">
      <c r="A332" s="6">
        <f t="shared" si="1796"/>
        <v>45984</v>
      </c>
      <c r="B332" s="15">
        <f>운전실적_원본!B332</f>
        <v>449.4</v>
      </c>
      <c r="C332" s="16">
        <f t="shared" si="1632"/>
        <v>57.099999999999966</v>
      </c>
      <c r="D332" s="9">
        <f>운전실적_원본!C332</f>
        <v>245433</v>
      </c>
      <c r="E332" s="199">
        <f t="shared" si="1633"/>
        <v>0</v>
      </c>
      <c r="F332" s="9">
        <f>운전실적_원본!D332</f>
        <v>238280</v>
      </c>
      <c r="G332" s="16">
        <f t="shared" si="1634"/>
        <v>68</v>
      </c>
      <c r="H332" s="15">
        <f>운전실적_원본!E332</f>
        <v>16827.8</v>
      </c>
      <c r="I332" s="16">
        <f t="shared" si="1635"/>
        <v>1.1699999999982538</v>
      </c>
      <c r="J332" s="15">
        <f>운전실적_원본!E332</f>
        <v>16827.8</v>
      </c>
      <c r="K332" s="16">
        <f t="shared" si="1635"/>
        <v>1.1699999999982538</v>
      </c>
      <c r="L332" s="15">
        <f>운전실적_원본!G332</f>
        <v>3995.6</v>
      </c>
      <c r="M332" s="31">
        <f t="shared" ref="M332" si="1825">IF(OR(LEN(L332)=0,L332=0),"",L332-L331)</f>
        <v>0.59999999999990905</v>
      </c>
      <c r="N332" s="15">
        <f>운전실적_원본!H332</f>
        <v>28322</v>
      </c>
      <c r="O332" s="16">
        <f t="shared" ref="O332" si="1826">IF(OR(LEN(N332)=0,N332=0),"",N332-N331)</f>
        <v>72</v>
      </c>
      <c r="P332" s="15">
        <f>운전실적_원본!I332</f>
        <v>8429</v>
      </c>
      <c r="Q332" s="16">
        <f t="shared" ref="Q332" si="1827">IF(OR(LEN(P332)=0,P332=0),"",P332-P331)</f>
        <v>126</v>
      </c>
      <c r="R332" s="18">
        <f>운전실적_원본!J332</f>
        <v>33.6</v>
      </c>
      <c r="S332" s="19">
        <f t="shared" ref="S332" si="1828">IF(OR(LEN(R332)=0,R332=0),"",R332-R331)</f>
        <v>-0.35999999999999943</v>
      </c>
      <c r="T332" s="18">
        <f>운전실적_원본!K332</f>
        <v>33.15</v>
      </c>
      <c r="U332" s="19">
        <f t="shared" si="1640"/>
        <v>9.9999999999980105E-3</v>
      </c>
      <c r="V332" s="12">
        <f>운전실적_원본!L332</f>
        <v>8186</v>
      </c>
      <c r="W332" s="16">
        <f t="shared" ref="W332" si="1829">IF(OR(LEN(V332)=0,V332=0),"",V332-V331)</f>
        <v>-349</v>
      </c>
      <c r="X332" s="10">
        <f>운전실적_원본!M332</f>
        <v>0</v>
      </c>
      <c r="Y332" s="10">
        <f>운전실적_원본!N332</f>
        <v>0</v>
      </c>
      <c r="Z332" s="10">
        <f>운전실적_원본!O332</f>
        <v>0</v>
      </c>
      <c r="AA332" s="10">
        <f>운전실적_원본!P332</f>
        <v>0</v>
      </c>
      <c r="AB332" s="10">
        <f>운전실적_원본!Q332</f>
        <v>0</v>
      </c>
      <c r="AC332" s="10">
        <f>운전실적_원본!R332</f>
        <v>0</v>
      </c>
      <c r="AD332" s="181">
        <f>운전실적_원본!S332</f>
        <v>0</v>
      </c>
      <c r="AE332" s="181">
        <f>운전실적_원본!T332</f>
        <v>0</v>
      </c>
      <c r="AF332" s="181">
        <f>운전실적_원본!U332</f>
        <v>0</v>
      </c>
      <c r="AG332" s="181">
        <f>운전실적_원본!V332</f>
        <v>0</v>
      </c>
      <c r="AH332" s="106">
        <f t="shared" si="1794"/>
        <v>0</v>
      </c>
      <c r="AI332" s="107">
        <f t="shared" si="1802"/>
        <v>0</v>
      </c>
      <c r="AJ332" s="107">
        <f t="shared" si="1803"/>
        <v>0</v>
      </c>
      <c r="AK332" s="204">
        <f t="shared" si="1804"/>
        <v>0</v>
      </c>
      <c r="AL332" s="103"/>
      <c r="AM332" s="103"/>
      <c r="AN332" s="103"/>
      <c r="AO332" s="103"/>
      <c r="AP332" s="103"/>
      <c r="AQ332" s="105"/>
      <c r="AR332" s="103"/>
      <c r="AS332" s="103"/>
      <c r="AT332" s="101"/>
      <c r="AU332" s="101"/>
      <c r="AV332" s="101"/>
      <c r="AW332" s="101"/>
      <c r="AX332" s="32">
        <f>운전실적_원본!W332</f>
        <v>0</v>
      </c>
      <c r="AY332" s="198">
        <f>운전실적_원본!X332</f>
        <v>0</v>
      </c>
      <c r="AZ332" s="198">
        <f>운전실적_원본!Y332</f>
        <v>0</v>
      </c>
      <c r="BA332" s="198">
        <f>운전실적_원본!Z332</f>
        <v>0</v>
      </c>
      <c r="BB332" s="198">
        <f>운전실적_원본!AA332</f>
        <v>0</v>
      </c>
      <c r="BC332" s="198">
        <f>운전실적_원본!AB332</f>
        <v>0</v>
      </c>
      <c r="BD332" s="32" t="str">
        <f t="shared" si="1787"/>
        <v>-</v>
      </c>
      <c r="BE332" s="11" t="str">
        <f t="shared" si="1795"/>
        <v>-</v>
      </c>
      <c r="BF332" s="11">
        <f>운전실적_원본!AE332</f>
        <v>0</v>
      </c>
      <c r="BG332" s="31">
        <f t="shared" si="1788"/>
        <v>0</v>
      </c>
    </row>
    <row r="333" spans="1:59">
      <c r="A333" s="6">
        <f t="shared" si="1796"/>
        <v>45985</v>
      </c>
      <c r="B333" s="15">
        <f>운전실적_원본!B333</f>
        <v>461</v>
      </c>
      <c r="C333" s="16">
        <f t="shared" si="1632"/>
        <v>11.600000000000023</v>
      </c>
      <c r="D333" s="9">
        <f>운전실적_원본!C333</f>
        <v>245577</v>
      </c>
      <c r="E333" s="199">
        <f t="shared" si="1633"/>
        <v>144</v>
      </c>
      <c r="F333" s="9">
        <f>운전실적_원본!D333</f>
        <v>238280</v>
      </c>
      <c r="G333" s="16">
        <f t="shared" si="1634"/>
        <v>0</v>
      </c>
      <c r="H333" s="15">
        <f>운전실적_원본!E333</f>
        <v>16832.57</v>
      </c>
      <c r="I333" s="16">
        <f t="shared" si="1635"/>
        <v>4.7700000000004366</v>
      </c>
      <c r="J333" s="15">
        <f>운전실적_원본!E333</f>
        <v>16832.57</v>
      </c>
      <c r="K333" s="16">
        <f t="shared" si="1635"/>
        <v>4.7700000000004366</v>
      </c>
      <c r="L333" s="15">
        <f>운전실적_원본!G333</f>
        <v>3996.6</v>
      </c>
      <c r="M333" s="31">
        <f t="shared" ref="M333" si="1830">IF(OR(LEN(L333)=0,L333=0),"",L333-L332)</f>
        <v>1</v>
      </c>
      <c r="N333" s="15">
        <f>운전실적_원본!H333</f>
        <v>28461</v>
      </c>
      <c r="O333" s="16">
        <f t="shared" ref="O333" si="1831">IF(OR(LEN(N333)=0,N333=0),"",N333-N332)</f>
        <v>139</v>
      </c>
      <c r="P333" s="15">
        <f>운전실적_원본!I333</f>
        <v>8626</v>
      </c>
      <c r="Q333" s="16">
        <f t="shared" ref="Q333" si="1832">IF(OR(LEN(P333)=0,P333=0),"",P333-P332)</f>
        <v>197</v>
      </c>
      <c r="R333" s="18">
        <f>운전실적_원본!J333</f>
        <v>33.840000000000003</v>
      </c>
      <c r="S333" s="19">
        <f t="shared" ref="S333" si="1833">IF(OR(LEN(R333)=0,R333=0),"",R333-R332)</f>
        <v>0.24000000000000199</v>
      </c>
      <c r="T333" s="18">
        <f>운전실적_원본!K333</f>
        <v>33.18</v>
      </c>
      <c r="U333" s="19">
        <f t="shared" si="1640"/>
        <v>3.0000000000001137E-2</v>
      </c>
      <c r="V333" s="12">
        <f>운전실적_원본!L333</f>
        <v>8683</v>
      </c>
      <c r="W333" s="16">
        <f t="shared" ref="W333" si="1834">IF(OR(LEN(V333)=0,V333=0),"",V333-V332)</f>
        <v>497</v>
      </c>
      <c r="X333" s="10">
        <f>운전실적_원본!M333</f>
        <v>108039.94000000507</v>
      </c>
      <c r="Y333" s="10">
        <f>운전실적_원본!N333</f>
        <v>0</v>
      </c>
      <c r="Z333" s="10">
        <f>운전실적_원본!O333</f>
        <v>0</v>
      </c>
      <c r="AA333" s="10">
        <f>운전실적_원본!P333</f>
        <v>0</v>
      </c>
      <c r="AB333" s="10">
        <f>운전실적_원본!Q333</f>
        <v>0</v>
      </c>
      <c r="AC333" s="10">
        <f>운전실적_원본!R333</f>
        <v>0</v>
      </c>
      <c r="AD333" s="181">
        <f>운전실적_원본!S333</f>
        <v>16</v>
      </c>
      <c r="AE333" s="181">
        <f>운전실적_원본!T333</f>
        <v>0</v>
      </c>
      <c r="AF333" s="181">
        <f>운전실적_원본!U333</f>
        <v>0</v>
      </c>
      <c r="AG333" s="181">
        <f>운전실적_원본!V333</f>
        <v>0</v>
      </c>
      <c r="AH333" s="106">
        <f t="shared" si="1794"/>
        <v>15.999999999941792</v>
      </c>
      <c r="AI333" s="107">
        <f t="shared" si="1802"/>
        <v>0</v>
      </c>
      <c r="AJ333" s="107">
        <f t="shared" si="1803"/>
        <v>0</v>
      </c>
      <c r="AK333" s="204">
        <f t="shared" si="1804"/>
        <v>0</v>
      </c>
      <c r="AL333" s="103">
        <v>45985.208333333336</v>
      </c>
      <c r="AM333" s="103">
        <v>45985.875</v>
      </c>
      <c r="AN333" s="103"/>
      <c r="AO333" s="103"/>
      <c r="AP333" s="103"/>
      <c r="AQ333" s="105"/>
      <c r="AR333" s="103"/>
      <c r="AS333" s="103"/>
      <c r="AT333" s="101"/>
      <c r="AU333" s="101"/>
      <c r="AV333" s="101"/>
      <c r="AW333" s="101"/>
      <c r="AX333" s="32">
        <f>운전실적_원본!W333</f>
        <v>674</v>
      </c>
      <c r="AY333" s="198">
        <f>운전실적_원본!X333</f>
        <v>0</v>
      </c>
      <c r="AZ333" s="198">
        <f>운전실적_원본!Y333</f>
        <v>0</v>
      </c>
      <c r="BA333" s="198">
        <f>운전실적_원본!Z333</f>
        <v>0</v>
      </c>
      <c r="BB333" s="198">
        <f>운전실적_원본!AA333</f>
        <v>0</v>
      </c>
      <c r="BC333" s="198">
        <f>운전실적_원본!AB333</f>
        <v>674</v>
      </c>
      <c r="BD333" s="32">
        <f t="shared" si="1787"/>
        <v>42.125</v>
      </c>
      <c r="BE333" s="11">
        <f t="shared" si="1795"/>
        <v>0.81971200622689233</v>
      </c>
      <c r="BF333" s="11">
        <f>운전실적_원본!AE333</f>
        <v>0</v>
      </c>
      <c r="BG333" s="31">
        <f t="shared" si="1788"/>
        <v>0</v>
      </c>
    </row>
    <row r="334" spans="1:59">
      <c r="A334" s="6">
        <f t="shared" si="1796"/>
        <v>45986</v>
      </c>
      <c r="B334" s="15">
        <f>운전실적_원본!B334</f>
        <v>461</v>
      </c>
      <c r="C334" s="16">
        <f t="shared" si="1632"/>
        <v>0</v>
      </c>
      <c r="D334" s="9">
        <f>운전실적_원본!C334</f>
        <v>245590</v>
      </c>
      <c r="E334" s="199">
        <f t="shared" si="1633"/>
        <v>13</v>
      </c>
      <c r="F334" s="9">
        <f>운전실적_원본!D334</f>
        <v>238357</v>
      </c>
      <c r="G334" s="16">
        <f t="shared" si="1634"/>
        <v>77</v>
      </c>
      <c r="H334" s="15">
        <f>운전실적_원본!E334</f>
        <v>16836.62</v>
      </c>
      <c r="I334" s="16">
        <f t="shared" si="1635"/>
        <v>4.0499999999992724</v>
      </c>
      <c r="J334" s="15">
        <f>운전실적_원본!E334</f>
        <v>16836.62</v>
      </c>
      <c r="K334" s="16">
        <f t="shared" si="1635"/>
        <v>4.0499999999992724</v>
      </c>
      <c r="L334" s="15">
        <f>운전실적_원본!G334</f>
        <v>3997.5</v>
      </c>
      <c r="M334" s="31">
        <f t="shared" ref="M334" si="1835">IF(OR(LEN(L334)=0,L334=0),"",L334-L333)</f>
        <v>0.90000000000009095</v>
      </c>
      <c r="N334" s="15">
        <f>운전실적_원본!H334</f>
        <v>28513</v>
      </c>
      <c r="O334" s="16">
        <f t="shared" ref="O334" si="1836">IF(OR(LEN(N334)=0,N334=0),"",N334-N333)</f>
        <v>52</v>
      </c>
      <c r="P334" s="15">
        <f>운전실적_원본!I334</f>
        <v>8807</v>
      </c>
      <c r="Q334" s="16">
        <f t="shared" ref="Q334" si="1837">IF(OR(LEN(P334)=0,P334=0),"",P334-P333)</f>
        <v>181</v>
      </c>
      <c r="R334" s="18">
        <f>운전실적_원본!J334</f>
        <v>33.82</v>
      </c>
      <c r="S334" s="19">
        <f t="shared" ref="S334" si="1838">IF(OR(LEN(R334)=0,R334=0),"",R334-R333)</f>
        <v>-2.0000000000003126E-2</v>
      </c>
      <c r="T334" s="18">
        <f>운전실적_원본!K334</f>
        <v>33.15</v>
      </c>
      <c r="U334" s="19">
        <f t="shared" si="1640"/>
        <v>-3.0000000000001137E-2</v>
      </c>
      <c r="V334" s="12">
        <f>운전실적_원본!L334</f>
        <v>8015</v>
      </c>
      <c r="W334" s="16">
        <f t="shared" ref="W334" si="1839">IF(OR(LEN(V334)=0,V334=0),"",V334-V333)</f>
        <v>-668</v>
      </c>
      <c r="X334" s="10">
        <f>운전실적_원본!M334</f>
        <v>108252.71999999881</v>
      </c>
      <c r="Y334" s="10">
        <f>운전실적_원본!N334</f>
        <v>0</v>
      </c>
      <c r="Z334" s="10">
        <f>운전실적_원본!O334</f>
        <v>0</v>
      </c>
      <c r="AA334" s="10">
        <f>운전실적_원본!P334</f>
        <v>0</v>
      </c>
      <c r="AB334" s="10">
        <f>운전실적_원본!Q334</f>
        <v>0</v>
      </c>
      <c r="AC334" s="10">
        <f>운전실적_원본!R334</f>
        <v>0</v>
      </c>
      <c r="AD334" s="181">
        <f>운전실적_원본!S334</f>
        <v>15</v>
      </c>
      <c r="AE334" s="181">
        <f>운전실적_원본!T334</f>
        <v>0</v>
      </c>
      <c r="AF334" s="181">
        <f>운전실적_원본!U334</f>
        <v>0</v>
      </c>
      <c r="AG334" s="181">
        <f>운전실적_원본!V334</f>
        <v>0</v>
      </c>
      <c r="AH334" s="106">
        <f t="shared" si="1794"/>
        <v>15.083333333255723</v>
      </c>
      <c r="AI334" s="107">
        <f t="shared" si="1802"/>
        <v>0</v>
      </c>
      <c r="AJ334" s="107">
        <f t="shared" si="1803"/>
        <v>0</v>
      </c>
      <c r="AK334" s="204">
        <f t="shared" si="1804"/>
        <v>0</v>
      </c>
      <c r="AL334" s="103">
        <v>45986.246527777781</v>
      </c>
      <c r="AM334" s="103">
        <v>45986.875</v>
      </c>
      <c r="AN334" s="103"/>
      <c r="AO334" s="103"/>
      <c r="AP334" s="103"/>
      <c r="AQ334" s="105"/>
      <c r="AR334" s="103"/>
      <c r="AS334" s="103"/>
      <c r="AT334" s="101"/>
      <c r="AU334" s="101"/>
      <c r="AV334" s="101"/>
      <c r="AW334" s="101"/>
      <c r="AX334" s="32">
        <f>운전실적_원본!W334</f>
        <v>686</v>
      </c>
      <c r="AY334" s="198">
        <f>운전실적_원본!X334</f>
        <v>0</v>
      </c>
      <c r="AZ334" s="198">
        <f>운전실적_원본!Y334</f>
        <v>0</v>
      </c>
      <c r="BA334" s="198">
        <f>운전실적_원본!Z334</f>
        <v>0</v>
      </c>
      <c r="BB334" s="198">
        <f>운전실적_원본!AA334</f>
        <v>0</v>
      </c>
      <c r="BC334" s="198">
        <f>운전실적_원본!AB334</f>
        <v>686</v>
      </c>
      <c r="BD334" s="32">
        <f t="shared" si="1787"/>
        <v>45.733333333333334</v>
      </c>
      <c r="BE334" s="11">
        <f t="shared" si="1795"/>
        <v>0.88992670428747489</v>
      </c>
      <c r="BF334" s="11">
        <f>운전실적_원본!AE334</f>
        <v>0</v>
      </c>
      <c r="BG334" s="31">
        <f t="shared" si="1788"/>
        <v>0</v>
      </c>
    </row>
    <row r="335" spans="1:59">
      <c r="A335" s="6">
        <f t="shared" si="1796"/>
        <v>45987</v>
      </c>
      <c r="B335" s="15">
        <f>운전실적_원본!B335</f>
        <v>461</v>
      </c>
      <c r="C335" s="16">
        <f t="shared" si="1632"/>
        <v>0</v>
      </c>
      <c r="D335" s="9">
        <f>운전실적_원본!C335</f>
        <v>245671</v>
      </c>
      <c r="E335" s="199">
        <f t="shared" si="1633"/>
        <v>81</v>
      </c>
      <c r="F335" s="9">
        <f>운전실적_원본!D335</f>
        <v>238375</v>
      </c>
      <c r="G335" s="16">
        <f t="shared" si="1634"/>
        <v>18</v>
      </c>
      <c r="H335" s="15">
        <f>운전실적_원본!E335</f>
        <v>16841.04</v>
      </c>
      <c r="I335" s="16">
        <f t="shared" si="1635"/>
        <v>4.4200000000018917</v>
      </c>
      <c r="J335" s="15">
        <f>운전실적_원본!E335</f>
        <v>16841.04</v>
      </c>
      <c r="K335" s="16">
        <f t="shared" si="1635"/>
        <v>4.4200000000018917</v>
      </c>
      <c r="L335" s="15">
        <f>운전실적_원본!G335</f>
        <v>3998.9</v>
      </c>
      <c r="M335" s="31">
        <f t="shared" ref="M335" si="1840">IF(OR(LEN(L335)=0,L335=0),"",L335-L334)</f>
        <v>1.4000000000000909</v>
      </c>
      <c r="N335" s="15">
        <f>운전실적_원본!H335</f>
        <v>28666</v>
      </c>
      <c r="O335" s="16">
        <f t="shared" ref="O335" si="1841">IF(OR(LEN(N335)=0,N335=0),"",N335-N334)</f>
        <v>153</v>
      </c>
      <c r="P335" s="15">
        <f>운전실적_원본!I335</f>
        <v>8964</v>
      </c>
      <c r="Q335" s="16">
        <f t="shared" ref="Q335" si="1842">IF(OR(LEN(P335)=0,P335=0),"",P335-P334)</f>
        <v>157</v>
      </c>
      <c r="R335" s="18">
        <f>운전실적_원본!J335</f>
        <v>33.74</v>
      </c>
      <c r="S335" s="19">
        <f t="shared" ref="S335" si="1843">IF(OR(LEN(R335)=0,R335=0),"",R335-R334)</f>
        <v>-7.9999999999998295E-2</v>
      </c>
      <c r="T335" s="18">
        <f>운전실적_원본!K335</f>
        <v>33.130000000000003</v>
      </c>
      <c r="U335" s="19">
        <f t="shared" si="1640"/>
        <v>-1.9999999999996021E-2</v>
      </c>
      <c r="V335" s="12">
        <f>운전실적_원본!L335</f>
        <v>7769</v>
      </c>
      <c r="W335" s="16">
        <f t="shared" ref="W335" si="1844">IF(OR(LEN(V335)=0,V335=0),"",V335-V334)</f>
        <v>-246</v>
      </c>
      <c r="X335" s="10">
        <f>운전실적_원본!M335</f>
        <v>104215.21999999881</v>
      </c>
      <c r="Y335" s="10">
        <f>운전실적_원본!N335</f>
        <v>0</v>
      </c>
      <c r="Z335" s="10">
        <f>운전실적_원본!O335</f>
        <v>0</v>
      </c>
      <c r="AA335" s="10">
        <f>운전실적_원본!P335</f>
        <v>0</v>
      </c>
      <c r="AB335" s="10">
        <f>운전실적_원본!Q335</f>
        <v>0</v>
      </c>
      <c r="AC335" s="10">
        <f>운전실적_원본!R335</f>
        <v>0</v>
      </c>
      <c r="AD335" s="181">
        <f>운전실적_원본!S335</f>
        <v>15</v>
      </c>
      <c r="AE335" s="181">
        <f>운전실적_원본!T335</f>
        <v>0</v>
      </c>
      <c r="AF335" s="181">
        <f>운전실적_원본!U335</f>
        <v>0</v>
      </c>
      <c r="AG335" s="181">
        <f>운전실적_원본!V335</f>
        <v>0</v>
      </c>
      <c r="AH335" s="106">
        <f t="shared" si="1794"/>
        <v>15.083333333255723</v>
      </c>
      <c r="AI335" s="107">
        <f t="shared" si="1802"/>
        <v>0</v>
      </c>
      <c r="AJ335" s="107">
        <f t="shared" si="1803"/>
        <v>0</v>
      </c>
      <c r="AK335" s="204">
        <f t="shared" si="1804"/>
        <v>0</v>
      </c>
      <c r="AL335" s="103">
        <v>45987.246527777781</v>
      </c>
      <c r="AM335" s="103">
        <v>45987.875</v>
      </c>
      <c r="AN335" s="103"/>
      <c r="AO335" s="103"/>
      <c r="AP335" s="103"/>
      <c r="AQ335" s="105"/>
      <c r="AR335" s="103"/>
      <c r="AS335" s="103"/>
      <c r="AT335" s="101"/>
      <c r="AU335" s="101"/>
      <c r="AV335" s="101"/>
      <c r="AW335" s="101"/>
      <c r="AX335" s="32">
        <f>운전실적_원본!W335</f>
        <v>658</v>
      </c>
      <c r="AY335" s="198">
        <f>운전실적_원본!X335</f>
        <v>0</v>
      </c>
      <c r="AZ335" s="198">
        <f>운전실적_원본!Y335</f>
        <v>0</v>
      </c>
      <c r="BA335" s="198">
        <f>운전실적_원본!Z335</f>
        <v>0</v>
      </c>
      <c r="BB335" s="198">
        <f>운전실적_원본!AA335</f>
        <v>0</v>
      </c>
      <c r="BC335" s="198">
        <f>운전실적_원본!AB335</f>
        <v>658</v>
      </c>
      <c r="BD335" s="32">
        <f t="shared" si="1787"/>
        <v>43.866666666666667</v>
      </c>
      <c r="BE335" s="11">
        <f t="shared" si="1795"/>
        <v>0.85360316533696567</v>
      </c>
      <c r="BF335" s="11">
        <f>운전실적_원본!AE335</f>
        <v>0</v>
      </c>
      <c r="BG335" s="31">
        <f t="shared" si="1788"/>
        <v>0</v>
      </c>
    </row>
    <row r="336" spans="1:59">
      <c r="A336" s="6">
        <f t="shared" si="1796"/>
        <v>45988</v>
      </c>
      <c r="B336" s="15">
        <f>운전실적_원본!B336</f>
        <v>461</v>
      </c>
      <c r="C336" s="16">
        <f t="shared" si="1632"/>
        <v>0</v>
      </c>
      <c r="D336" s="9">
        <f>운전실적_원본!C336</f>
        <v>245823</v>
      </c>
      <c r="E336" s="199">
        <f t="shared" si="1633"/>
        <v>152</v>
      </c>
      <c r="F336" s="9">
        <f>운전실적_원본!D336</f>
        <v>238375</v>
      </c>
      <c r="G336" s="16">
        <f t="shared" si="1634"/>
        <v>0</v>
      </c>
      <c r="H336" s="15">
        <f>운전실적_원본!E336</f>
        <v>16848.96</v>
      </c>
      <c r="I336" s="16">
        <f t="shared" si="1635"/>
        <v>7.9199999999982538</v>
      </c>
      <c r="J336" s="15">
        <f>운전실적_원본!E336</f>
        <v>16848.96</v>
      </c>
      <c r="K336" s="16">
        <f t="shared" si="1635"/>
        <v>7.9199999999982538</v>
      </c>
      <c r="L336" s="15">
        <f>운전실적_원본!G336</f>
        <v>3999.8</v>
      </c>
      <c r="M336" s="31">
        <f t="shared" ref="M336" si="1845">IF(OR(LEN(L336)=0,L336=0),"",L336-L335)</f>
        <v>0.90000000000009095</v>
      </c>
      <c r="N336" s="15">
        <f>운전실적_원본!H336</f>
        <v>28737</v>
      </c>
      <c r="O336" s="16">
        <f t="shared" ref="O336" si="1846">IF(OR(LEN(N336)=0,N336=0),"",N336-N335)</f>
        <v>71</v>
      </c>
      <c r="P336" s="15">
        <f>운전실적_원본!I336</f>
        <v>9189</v>
      </c>
      <c r="Q336" s="16">
        <f t="shared" ref="Q336" si="1847">IF(OR(LEN(P336)=0,P336=0),"",P336-P335)</f>
        <v>225</v>
      </c>
      <c r="R336" s="18">
        <f>운전실적_원본!J336</f>
        <v>33.47</v>
      </c>
      <c r="S336" s="19">
        <f t="shared" ref="S336" si="1848">IF(OR(LEN(R336)=0,R336=0),"",R336-R335)</f>
        <v>-0.27000000000000313</v>
      </c>
      <c r="T336" s="18">
        <f>운전실적_원본!K336</f>
        <v>32.99</v>
      </c>
      <c r="U336" s="19">
        <f t="shared" si="1640"/>
        <v>-0.14000000000000057</v>
      </c>
      <c r="V336" s="12">
        <f>운전실적_원본!L336</f>
        <v>8443</v>
      </c>
      <c r="W336" s="16">
        <f t="shared" ref="W336" si="1849">IF(OR(LEN(V336)=0,V336=0),"",V336-V335)</f>
        <v>674</v>
      </c>
      <c r="X336" s="10">
        <f>운전실적_원본!M336</f>
        <v>106953.59000000358</v>
      </c>
      <c r="Y336" s="10">
        <f>운전실적_원본!N336</f>
        <v>0</v>
      </c>
      <c r="Z336" s="10">
        <f>운전실적_원본!O336</f>
        <v>0</v>
      </c>
      <c r="AA336" s="10">
        <f>운전실적_원본!P336</f>
        <v>0</v>
      </c>
      <c r="AB336" s="10">
        <f>운전실적_원본!Q336</f>
        <v>0</v>
      </c>
      <c r="AC336" s="10">
        <f>운전실적_원본!R336</f>
        <v>0</v>
      </c>
      <c r="AD336" s="181">
        <f>운전실적_원본!S336</f>
        <v>15</v>
      </c>
      <c r="AE336" s="181">
        <f>운전실적_원본!T336</f>
        <v>0</v>
      </c>
      <c r="AF336" s="181">
        <f>운전실적_원본!U336</f>
        <v>0</v>
      </c>
      <c r="AG336" s="181">
        <f>운전실적_원본!V336</f>
        <v>0</v>
      </c>
      <c r="AH336" s="106">
        <f t="shared" si="1794"/>
        <v>15.083333333255723</v>
      </c>
      <c r="AI336" s="107">
        <f t="shared" si="1802"/>
        <v>0</v>
      </c>
      <c r="AJ336" s="107">
        <f t="shared" si="1803"/>
        <v>0</v>
      </c>
      <c r="AK336" s="204">
        <f t="shared" si="1804"/>
        <v>0</v>
      </c>
      <c r="AL336" s="103">
        <v>45988.246527777781</v>
      </c>
      <c r="AM336" s="103">
        <v>45988.875</v>
      </c>
      <c r="AN336" s="103"/>
      <c r="AO336" s="103"/>
      <c r="AP336" s="103"/>
      <c r="AQ336" s="105"/>
      <c r="AR336" s="103"/>
      <c r="AS336" s="103"/>
      <c r="AT336" s="101"/>
      <c r="AU336" s="101"/>
      <c r="AV336" s="101"/>
      <c r="AW336" s="101"/>
      <c r="AX336" s="32">
        <f>운전실적_원본!W336</f>
        <v>679</v>
      </c>
      <c r="AY336" s="198">
        <f>운전실적_원본!X336</f>
        <v>0</v>
      </c>
      <c r="AZ336" s="198">
        <f>운전실적_원본!Y336</f>
        <v>0</v>
      </c>
      <c r="BA336" s="198">
        <f>운전실적_원본!Z336</f>
        <v>0</v>
      </c>
      <c r="BB336" s="198">
        <f>운전실적_원본!AA336</f>
        <v>0</v>
      </c>
      <c r="BC336" s="198">
        <f>운전실적_원본!AB336</f>
        <v>679</v>
      </c>
      <c r="BD336" s="32">
        <f t="shared" si="1787"/>
        <v>45.266666666666666</v>
      </c>
      <c r="BE336" s="11">
        <f t="shared" si="1795"/>
        <v>0.88084581954984753</v>
      </c>
      <c r="BF336" s="11">
        <f>운전실적_원본!AE336</f>
        <v>0</v>
      </c>
      <c r="BG336" s="31">
        <f t="shared" si="1788"/>
        <v>0</v>
      </c>
    </row>
    <row r="337" spans="1:59">
      <c r="A337" s="6">
        <f t="shared" si="1796"/>
        <v>45989</v>
      </c>
      <c r="B337" s="15">
        <f>운전실적_원본!B337</f>
        <v>461</v>
      </c>
      <c r="C337" s="16">
        <f t="shared" si="1632"/>
        <v>0</v>
      </c>
      <c r="D337" s="9">
        <f>운전실적_원본!C337</f>
        <v>245833</v>
      </c>
      <c r="E337" s="199">
        <f t="shared" si="1633"/>
        <v>10</v>
      </c>
      <c r="F337" s="9">
        <f>운전실적_원본!D337</f>
        <v>238417</v>
      </c>
      <c r="G337" s="16">
        <f t="shared" si="1634"/>
        <v>42</v>
      </c>
      <c r="H337" s="15">
        <f>운전실적_원본!E337</f>
        <v>16856.419999999998</v>
      </c>
      <c r="I337" s="16">
        <f t="shared" si="1635"/>
        <v>7.4599999999991269</v>
      </c>
      <c r="J337" s="15">
        <f>운전실적_원본!E337</f>
        <v>16856.419999999998</v>
      </c>
      <c r="K337" s="16">
        <f t="shared" si="1635"/>
        <v>7.4599999999991269</v>
      </c>
      <c r="L337" s="15">
        <f>운전실적_원본!G337</f>
        <v>4001.1</v>
      </c>
      <c r="M337" s="31">
        <f t="shared" ref="M337" si="1850">IF(OR(LEN(L337)=0,L337=0),"",L337-L336)</f>
        <v>1.2999999999997272</v>
      </c>
      <c r="N337" s="15">
        <f>운전실적_원본!H337</f>
        <v>28892</v>
      </c>
      <c r="O337" s="16">
        <f t="shared" ref="O337" si="1851">IF(OR(LEN(N337)=0,N337=0),"",N337-N336)</f>
        <v>155</v>
      </c>
      <c r="P337" s="15">
        <f>운전실적_원본!I337</f>
        <v>9272</v>
      </c>
      <c r="Q337" s="16">
        <f t="shared" ref="Q337" si="1852">IF(OR(LEN(P337)=0,P337=0),"",P337-P336)</f>
        <v>83</v>
      </c>
      <c r="R337" s="18">
        <f>운전실적_원본!J337</f>
        <v>33.71</v>
      </c>
      <c r="S337" s="19">
        <f t="shared" ref="S337" si="1853">IF(OR(LEN(R337)=0,R337=0),"",R337-R336)</f>
        <v>0.24000000000000199</v>
      </c>
      <c r="T337" s="18">
        <f>운전실적_원본!K337</f>
        <v>33.090000000000003</v>
      </c>
      <c r="U337" s="19">
        <f t="shared" si="1640"/>
        <v>0.10000000000000142</v>
      </c>
      <c r="V337" s="12">
        <f>운전실적_원본!L337</f>
        <v>8237</v>
      </c>
      <c r="W337" s="16">
        <f t="shared" ref="W337" si="1854">IF(OR(LEN(V337)=0,V337=0),"",V337-V336)</f>
        <v>-206</v>
      </c>
      <c r="X337" s="10">
        <f>운전실적_원본!M337</f>
        <v>131915.64999999851</v>
      </c>
      <c r="Y337" s="10">
        <f>운전실적_원본!N337</f>
        <v>0</v>
      </c>
      <c r="Z337" s="10">
        <f>운전실적_원본!O337</f>
        <v>0</v>
      </c>
      <c r="AA337" s="10">
        <f>운전실적_원본!P337</f>
        <v>0</v>
      </c>
      <c r="AB337" s="10">
        <f>운전실적_원본!Q337</f>
        <v>0</v>
      </c>
      <c r="AC337" s="10">
        <f>운전실적_원본!R337</f>
        <v>0</v>
      </c>
      <c r="AD337" s="181">
        <f>운전실적_원본!S337</f>
        <v>17</v>
      </c>
      <c r="AE337" s="181">
        <f>운전실적_원본!T337</f>
        <v>0</v>
      </c>
      <c r="AF337" s="181">
        <f>운전실적_원본!U337</f>
        <v>0</v>
      </c>
      <c r="AG337" s="181">
        <f>운전실적_원본!V337</f>
        <v>0</v>
      </c>
      <c r="AH337" s="106">
        <f t="shared" si="1794"/>
        <v>18</v>
      </c>
      <c r="AI337" s="107">
        <f t="shared" si="1802"/>
        <v>0</v>
      </c>
      <c r="AJ337" s="107">
        <f t="shared" si="1803"/>
        <v>0</v>
      </c>
      <c r="AK337" s="204">
        <f t="shared" si="1804"/>
        <v>0</v>
      </c>
      <c r="AL337" s="103">
        <v>45989.25</v>
      </c>
      <c r="AM337" s="103">
        <v>45990</v>
      </c>
      <c r="AN337" s="103"/>
      <c r="AO337" s="103"/>
      <c r="AP337" s="103"/>
      <c r="AQ337" s="105"/>
      <c r="AR337" s="103"/>
      <c r="AS337" s="103"/>
      <c r="AT337" s="101"/>
      <c r="AU337" s="101"/>
      <c r="AV337" s="101"/>
      <c r="AW337" s="101"/>
      <c r="AX337" s="32">
        <f>운전실적_원본!W337</f>
        <v>836</v>
      </c>
      <c r="AY337" s="198">
        <f>운전실적_원본!X337</f>
        <v>0</v>
      </c>
      <c r="AZ337" s="198">
        <f>운전실적_원본!Y337</f>
        <v>0</v>
      </c>
      <c r="BA337" s="198">
        <f>운전실적_원본!Z337</f>
        <v>0</v>
      </c>
      <c r="BB337" s="198">
        <f>운전실적_원본!AA337</f>
        <v>0</v>
      </c>
      <c r="BC337" s="198">
        <f>운전실적_원본!AB337</f>
        <v>836</v>
      </c>
      <c r="BD337" s="32">
        <f t="shared" si="1787"/>
        <v>49.176470588235297</v>
      </c>
      <c r="BE337" s="11">
        <f t="shared" si="1795"/>
        <v>0.95692684546089313</v>
      </c>
      <c r="BF337" s="11">
        <f>운전실적_원본!AE337</f>
        <v>0</v>
      </c>
      <c r="BG337" s="31">
        <f t="shared" si="1788"/>
        <v>0</v>
      </c>
    </row>
    <row r="338" spans="1:59">
      <c r="A338" s="6">
        <f t="shared" si="1796"/>
        <v>45990</v>
      </c>
      <c r="B338" s="15">
        <f>운전실적_원본!B338</f>
        <v>461</v>
      </c>
      <c r="C338" s="16">
        <f t="shared" si="1632"/>
        <v>0</v>
      </c>
      <c r="D338" s="9">
        <f>운전실적_원본!C338</f>
        <v>245873</v>
      </c>
      <c r="E338" s="199">
        <f t="shared" si="1633"/>
        <v>40</v>
      </c>
      <c r="F338" s="9">
        <f>운전실적_원본!D338</f>
        <v>238468</v>
      </c>
      <c r="G338" s="16">
        <f t="shared" si="1634"/>
        <v>51</v>
      </c>
      <c r="H338" s="15">
        <f>운전실적_원본!E338</f>
        <v>16858.38</v>
      </c>
      <c r="I338" s="16">
        <f t="shared" si="1635"/>
        <v>1.9600000000027649</v>
      </c>
      <c r="J338" s="15">
        <f>운전실적_원본!E338</f>
        <v>16858.38</v>
      </c>
      <c r="K338" s="16">
        <f t="shared" si="1635"/>
        <v>1.9600000000027649</v>
      </c>
      <c r="L338" s="15">
        <f>운전실적_원본!G338</f>
        <v>4002.4</v>
      </c>
      <c r="M338" s="31">
        <f t="shared" ref="M338" si="1855">IF(OR(LEN(L338)=0,L338=0),"",L338-L337)</f>
        <v>1.3000000000001819</v>
      </c>
      <c r="N338" s="15">
        <f>운전실적_원본!H338</f>
        <v>28995</v>
      </c>
      <c r="O338" s="16">
        <f t="shared" ref="O338" si="1856">IF(OR(LEN(N338)=0,N338=0),"",N338-N337)</f>
        <v>103</v>
      </c>
      <c r="P338" s="15">
        <f>운전실적_원본!I338</f>
        <v>9440</v>
      </c>
      <c r="Q338" s="16">
        <f t="shared" ref="Q338" si="1857">IF(OR(LEN(P338)=0,P338=0),"",P338-P337)</f>
        <v>168</v>
      </c>
      <c r="R338" s="18">
        <f>운전실적_원본!J338</f>
        <v>33.78</v>
      </c>
      <c r="S338" s="19">
        <f t="shared" ref="S338" si="1858">IF(OR(LEN(R338)=0,R338=0),"",R338-R337)</f>
        <v>7.0000000000000284E-2</v>
      </c>
      <c r="T338" s="18">
        <f>운전실적_원본!K338</f>
        <v>33.1</v>
      </c>
      <c r="U338" s="19">
        <f t="shared" si="1640"/>
        <v>9.9999999999980105E-3</v>
      </c>
      <c r="V338" s="12">
        <f>운전실적_원본!L338</f>
        <v>7990</v>
      </c>
      <c r="W338" s="16">
        <f t="shared" ref="W338" si="1859">IF(OR(LEN(V338)=0,V338=0),"",V338-V337)</f>
        <v>-247</v>
      </c>
      <c r="X338" s="10">
        <f>운전실적_원본!M338</f>
        <v>5113.1999999955297</v>
      </c>
      <c r="Y338" s="10">
        <f>운전실적_원본!N338</f>
        <v>0</v>
      </c>
      <c r="Z338" s="10">
        <f>운전실적_원본!O338</f>
        <v>0</v>
      </c>
      <c r="AA338" s="10">
        <f>운전실적_원본!P338</f>
        <v>0</v>
      </c>
      <c r="AB338" s="10">
        <f>운전실적_원본!Q338</f>
        <v>0</v>
      </c>
      <c r="AC338" s="10">
        <f>운전실적_원본!R338</f>
        <v>0</v>
      </c>
      <c r="AD338" s="181">
        <f>운전실적_원본!S338</f>
        <v>1</v>
      </c>
      <c r="AE338" s="181">
        <f>운전실적_원본!T338</f>
        <v>0</v>
      </c>
      <c r="AF338" s="181">
        <f>운전실적_원본!U338</f>
        <v>0</v>
      </c>
      <c r="AG338" s="181">
        <f>운전실적_원본!V338</f>
        <v>0</v>
      </c>
      <c r="AH338" s="106">
        <f t="shared" si="1794"/>
        <v>0.99999999994179234</v>
      </c>
      <c r="AI338" s="107">
        <f t="shared" si="1802"/>
        <v>0</v>
      </c>
      <c r="AJ338" s="107">
        <f t="shared" si="1803"/>
        <v>0</v>
      </c>
      <c r="AK338" s="204">
        <f t="shared" si="1804"/>
        <v>0</v>
      </c>
      <c r="AL338" s="103">
        <v>45990</v>
      </c>
      <c r="AM338" s="103">
        <v>45990.041666666664</v>
      </c>
      <c r="AN338" s="103"/>
      <c r="AO338" s="103"/>
      <c r="AP338" s="103"/>
      <c r="AQ338" s="105"/>
      <c r="AR338" s="103"/>
      <c r="AS338" s="103"/>
      <c r="AT338" s="101"/>
      <c r="AU338" s="101"/>
      <c r="AV338" s="101"/>
      <c r="AW338" s="101"/>
      <c r="AX338" s="32">
        <f>운전실적_원본!W338</f>
        <v>38</v>
      </c>
      <c r="AY338" s="198">
        <f>운전실적_원본!X338</f>
        <v>0</v>
      </c>
      <c r="AZ338" s="198">
        <f>운전실적_원본!Y338</f>
        <v>0</v>
      </c>
      <c r="BA338" s="198">
        <f>운전실적_원본!Z338</f>
        <v>0</v>
      </c>
      <c r="BB338" s="198">
        <f>운전실적_원본!AA338</f>
        <v>0</v>
      </c>
      <c r="BC338" s="198">
        <f>운전실적_원본!AB338</f>
        <v>38</v>
      </c>
      <c r="BD338" s="32">
        <f t="shared" si="1787"/>
        <v>38</v>
      </c>
      <c r="BE338" s="11">
        <f t="shared" si="1795"/>
        <v>0.73944347149250822</v>
      </c>
      <c r="BF338" s="11">
        <f>운전실적_원본!AE338</f>
        <v>0</v>
      </c>
      <c r="BG338" s="31">
        <f t="shared" si="1788"/>
        <v>0</v>
      </c>
    </row>
    <row r="339" spans="1:59" s="197" customFormat="1">
      <c r="A339" s="205">
        <f t="shared" si="1796"/>
        <v>45991</v>
      </c>
      <c r="B339" s="182">
        <f>운전실적_원본!B339</f>
        <v>461</v>
      </c>
      <c r="C339" s="183">
        <f t="shared" si="1632"/>
        <v>0</v>
      </c>
      <c r="D339" s="184">
        <f>운전실적_원본!C339</f>
        <v>245984</v>
      </c>
      <c r="E339" s="202">
        <f t="shared" si="1633"/>
        <v>111</v>
      </c>
      <c r="F339" s="184">
        <f>운전실적_원본!D339</f>
        <v>238468</v>
      </c>
      <c r="G339" s="183">
        <f t="shared" si="1634"/>
        <v>0</v>
      </c>
      <c r="H339" s="182">
        <f>운전실적_원본!E339</f>
        <v>16859.830000000002</v>
      </c>
      <c r="I339" s="183">
        <f t="shared" si="1635"/>
        <v>1.4500000000007276</v>
      </c>
      <c r="J339" s="182">
        <f>운전실적_원본!E339</f>
        <v>16859.830000000002</v>
      </c>
      <c r="K339" s="183">
        <f t="shared" si="1635"/>
        <v>1.4500000000007276</v>
      </c>
      <c r="L339" s="182">
        <f>운전실적_원본!G339</f>
        <v>4003.7</v>
      </c>
      <c r="M339" s="185">
        <f t="shared" ref="M339" si="1860">IF(OR(LEN(L339)=0,L339=0),"",L339-L338)</f>
        <v>1.2999999999997272</v>
      </c>
      <c r="N339" s="182">
        <f>운전실적_원본!H339</f>
        <v>29153</v>
      </c>
      <c r="O339" s="183">
        <f t="shared" ref="O339" si="1861">IF(OR(LEN(N339)=0,N339=0),"",N339-N338)</f>
        <v>158</v>
      </c>
      <c r="P339" s="182">
        <f>운전실적_원본!I339</f>
        <v>9551</v>
      </c>
      <c r="Q339" s="183">
        <f t="shared" ref="Q339" si="1862">IF(OR(LEN(P339)=0,P339=0),"",P339-P338)</f>
        <v>111</v>
      </c>
      <c r="R339" s="186">
        <f>운전실적_원본!J339</f>
        <v>33.5</v>
      </c>
      <c r="S339" s="187">
        <f t="shared" ref="S339" si="1863">IF(OR(LEN(R339)=0,R339=0),"",R339-R338)</f>
        <v>-0.28000000000000114</v>
      </c>
      <c r="T339" s="186">
        <f>운전실적_원본!K339</f>
        <v>33.020000000000003</v>
      </c>
      <c r="U339" s="187">
        <f t="shared" si="1640"/>
        <v>-7.9999999999998295E-2</v>
      </c>
      <c r="V339" s="184">
        <f>운전실적_원본!L339</f>
        <v>8242</v>
      </c>
      <c r="W339" s="183">
        <f t="shared" ref="W339" si="1864">IF(OR(LEN(V339)=0,V339=0),"",V339-V338)</f>
        <v>252</v>
      </c>
      <c r="X339" s="188">
        <f>운전실적_원본!M339</f>
        <v>0</v>
      </c>
      <c r="Y339" s="188">
        <f>운전실적_원본!N339</f>
        <v>0</v>
      </c>
      <c r="Z339" s="188">
        <f>운전실적_원본!O339</f>
        <v>0</v>
      </c>
      <c r="AA339" s="188">
        <f>운전실적_원본!P339</f>
        <v>0</v>
      </c>
      <c r="AB339" s="188">
        <f>운전실적_원본!Q339</f>
        <v>0</v>
      </c>
      <c r="AC339" s="188">
        <f>운전실적_원본!R339</f>
        <v>0</v>
      </c>
      <c r="AD339" s="189">
        <f>운전실적_원본!S339</f>
        <v>0</v>
      </c>
      <c r="AE339" s="189">
        <f>운전실적_원본!T339</f>
        <v>0</v>
      </c>
      <c r="AF339" s="189">
        <f>운전실적_원본!U339</f>
        <v>0</v>
      </c>
      <c r="AG339" s="189">
        <f>운전실적_원본!V339</f>
        <v>0</v>
      </c>
      <c r="AH339" s="190">
        <f t="shared" si="1794"/>
        <v>0</v>
      </c>
      <c r="AI339" s="191">
        <f t="shared" si="1802"/>
        <v>0</v>
      </c>
      <c r="AJ339" s="191">
        <f t="shared" si="1803"/>
        <v>0</v>
      </c>
      <c r="AK339" s="206">
        <f t="shared" si="1804"/>
        <v>0</v>
      </c>
      <c r="AL339" s="192"/>
      <c r="AM339" s="192"/>
      <c r="AN339" s="192"/>
      <c r="AO339" s="192"/>
      <c r="AP339" s="192"/>
      <c r="AQ339" s="193"/>
      <c r="AR339" s="192"/>
      <c r="AS339" s="192"/>
      <c r="AT339" s="194"/>
      <c r="AU339" s="194"/>
      <c r="AV339" s="194"/>
      <c r="AW339" s="194"/>
      <c r="AX339" s="195">
        <f>운전실적_원본!W339</f>
        <v>0</v>
      </c>
      <c r="AY339" s="196">
        <f>운전실적_원본!X339</f>
        <v>0</v>
      </c>
      <c r="AZ339" s="196">
        <f>운전실적_원본!Y339</f>
        <v>0</v>
      </c>
      <c r="BA339" s="196">
        <f>운전실적_원본!Z339</f>
        <v>0</v>
      </c>
      <c r="BB339" s="196">
        <f>운전실적_원본!AA339</f>
        <v>0</v>
      </c>
      <c r="BC339" s="185">
        <f>운전실적_원본!AB339</f>
        <v>0</v>
      </c>
      <c r="BD339" s="195" t="str">
        <f t="shared" si="1787"/>
        <v>-</v>
      </c>
      <c r="BE339" s="196" t="str">
        <f t="shared" si="1795"/>
        <v>-</v>
      </c>
      <c r="BF339" s="196">
        <f>운전실적_원본!AE339</f>
        <v>0</v>
      </c>
      <c r="BG339" s="185">
        <f t="shared" si="1788"/>
        <v>0</v>
      </c>
    </row>
    <row r="340" spans="1:59">
      <c r="A340" s="6">
        <f t="shared" si="1796"/>
        <v>45992</v>
      </c>
      <c r="B340" s="15">
        <f>운전실적_원본!B340</f>
        <v>461</v>
      </c>
      <c r="C340" s="16">
        <f t="shared" si="1632"/>
        <v>0</v>
      </c>
      <c r="D340" s="9">
        <f>운전실적_원본!C340</f>
        <v>246009</v>
      </c>
      <c r="E340" s="199">
        <f t="shared" si="1633"/>
        <v>25</v>
      </c>
      <c r="F340" s="9">
        <f>운전실적_원본!D340</f>
        <v>238486</v>
      </c>
      <c r="G340" s="16">
        <f t="shared" si="1634"/>
        <v>18</v>
      </c>
      <c r="H340" s="15">
        <f>운전실적_원본!E340</f>
        <v>16865.59</v>
      </c>
      <c r="I340" s="16">
        <f t="shared" si="1635"/>
        <v>5.7599999999983993</v>
      </c>
      <c r="J340" s="15">
        <f>운전실적_원본!E340</f>
        <v>16865.59</v>
      </c>
      <c r="K340" s="16">
        <f t="shared" si="1635"/>
        <v>5.7599999999983993</v>
      </c>
      <c r="L340" s="15">
        <f>운전실적_원본!G340</f>
        <v>4004.6</v>
      </c>
      <c r="M340" s="31">
        <f t="shared" ref="M340" si="1865">IF(OR(LEN(L340)=0,L340=0),"",L340-L339)</f>
        <v>0.90000000000009095</v>
      </c>
      <c r="N340" s="15">
        <f>운전실적_원본!H340</f>
        <v>29290</v>
      </c>
      <c r="O340" s="16">
        <f t="shared" ref="O340" si="1866">IF(OR(LEN(N340)=0,N340=0),"",N340-N339)</f>
        <v>137</v>
      </c>
      <c r="P340" s="15">
        <f>운전실적_원본!I340</f>
        <v>9644</v>
      </c>
      <c r="Q340" s="16">
        <f t="shared" ref="Q340" si="1867">IF(OR(LEN(P340)=0,P340=0),"",P340-P339)</f>
        <v>93</v>
      </c>
      <c r="R340" s="18">
        <f>운전실적_원본!J340</f>
        <v>33.619999999999997</v>
      </c>
      <c r="S340" s="19">
        <f t="shared" ref="S340" si="1868">IF(OR(LEN(R340)=0,R340=0),"",R340-R339)</f>
        <v>0.11999999999999744</v>
      </c>
      <c r="T340" s="18">
        <f>운전실적_원본!K340</f>
        <v>33.020000000000003</v>
      </c>
      <c r="U340" s="19">
        <f t="shared" si="1640"/>
        <v>0</v>
      </c>
      <c r="V340" s="12">
        <f>운전실적_원본!L340</f>
        <v>8692</v>
      </c>
      <c r="W340" s="16">
        <f t="shared" ref="W340" si="1869">IF(OR(LEN(V340)=0,V340=0),"",V340-V339)</f>
        <v>450</v>
      </c>
      <c r="X340" s="10">
        <f>운전실적_원본!M340</f>
        <v>107252.7</v>
      </c>
      <c r="Y340" s="10">
        <f>운전실적_원본!N340</f>
        <v>0</v>
      </c>
      <c r="Z340" s="10">
        <f>운전실적_원본!O340</f>
        <v>0</v>
      </c>
      <c r="AA340" s="10">
        <f>운전실적_원본!P340</f>
        <v>0</v>
      </c>
      <c r="AB340" s="10">
        <f>운전실적_원본!Q340</f>
        <v>0</v>
      </c>
      <c r="AC340" s="10">
        <f>운전실적_원본!R340</f>
        <v>0</v>
      </c>
      <c r="AD340" s="181">
        <f>운전실적_원본!S340</f>
        <v>17</v>
      </c>
      <c r="AE340" s="181">
        <f>운전실적_원본!T340</f>
        <v>0</v>
      </c>
      <c r="AF340" s="181">
        <f>운전실적_원본!U340</f>
        <v>0</v>
      </c>
      <c r="AG340" s="181">
        <f>운전실적_원본!V340</f>
        <v>0</v>
      </c>
      <c r="AH340" s="106">
        <f t="shared" si="1794"/>
        <v>17.000000000058208</v>
      </c>
      <c r="AI340" s="107">
        <f t="shared" si="1802"/>
        <v>0</v>
      </c>
      <c r="AJ340" s="107">
        <f t="shared" si="1803"/>
        <v>0</v>
      </c>
      <c r="AK340" s="204">
        <f t="shared" si="1804"/>
        <v>0</v>
      </c>
      <c r="AL340" s="103">
        <v>45992.166666666664</v>
      </c>
      <c r="AM340" s="103">
        <v>45992.875</v>
      </c>
      <c r="AN340" s="103"/>
      <c r="AO340" s="103"/>
      <c r="AP340" s="103"/>
      <c r="AQ340" s="105"/>
      <c r="AR340" s="103"/>
      <c r="AS340" s="103"/>
      <c r="AT340" s="101"/>
      <c r="AU340" s="101"/>
      <c r="AV340" s="101"/>
      <c r="AW340" s="101"/>
      <c r="AX340" s="32">
        <f>운전실적_원본!W340</f>
        <v>667</v>
      </c>
      <c r="AY340" s="198">
        <f>운전실적_원본!X340</f>
        <v>0</v>
      </c>
      <c r="AZ340" s="198">
        <f>운전실적_원본!Y340</f>
        <v>0</v>
      </c>
      <c r="BA340" s="198">
        <f>운전실적_원본!Z340</f>
        <v>0</v>
      </c>
      <c r="BB340" s="198">
        <f>운전실적_원본!AA340</f>
        <v>0</v>
      </c>
      <c r="BC340" s="198">
        <f>운전실적_원본!AB340</f>
        <v>667</v>
      </c>
      <c r="BD340" s="32">
        <f t="shared" si="1787"/>
        <v>39.235294117647058</v>
      </c>
      <c r="BE340" s="11">
        <f t="shared" si="1795"/>
        <v>0.76348110756269816</v>
      </c>
      <c r="BF340" s="11">
        <f>운전실적_원본!AE340</f>
        <v>0</v>
      </c>
      <c r="BG340" s="31">
        <f t="shared" si="1788"/>
        <v>0</v>
      </c>
    </row>
    <row r="341" spans="1:59">
      <c r="A341" s="6">
        <f t="shared" si="1796"/>
        <v>45993</v>
      </c>
      <c r="B341" s="15">
        <f>운전실적_원본!B341</f>
        <v>461</v>
      </c>
      <c r="C341" s="16">
        <f t="shared" si="1632"/>
        <v>0</v>
      </c>
      <c r="D341" s="9">
        <f>운전실적_원본!C341</f>
        <v>246009</v>
      </c>
      <c r="E341" s="199">
        <f t="shared" si="1633"/>
        <v>0</v>
      </c>
      <c r="F341" s="9">
        <f>운전실적_원본!D341</f>
        <v>238564</v>
      </c>
      <c r="G341" s="16">
        <f t="shared" si="1634"/>
        <v>78</v>
      </c>
      <c r="H341" s="15">
        <f>운전실적_원본!E341</f>
        <v>16870.099999999999</v>
      </c>
      <c r="I341" s="16">
        <f t="shared" si="1635"/>
        <v>4.5099999999983993</v>
      </c>
      <c r="J341" s="15">
        <f>운전실적_원본!E341</f>
        <v>16870.099999999999</v>
      </c>
      <c r="K341" s="16">
        <f t="shared" si="1635"/>
        <v>4.5099999999983993</v>
      </c>
      <c r="L341" s="15">
        <f>운전실적_원본!G341</f>
        <v>4005.6</v>
      </c>
      <c r="M341" s="31">
        <f t="shared" ref="M341" si="1870">IF(OR(LEN(L341)=0,L341=0),"",L341-L340)</f>
        <v>1</v>
      </c>
      <c r="N341" s="15">
        <f>운전실적_원본!H341</f>
        <v>29369</v>
      </c>
      <c r="O341" s="16">
        <f t="shared" ref="O341" si="1871">IF(OR(LEN(N341)=0,N341=0),"",N341-N340)</f>
        <v>79</v>
      </c>
      <c r="P341" s="15">
        <f>운전실적_원본!I341</f>
        <v>9813</v>
      </c>
      <c r="Q341" s="16">
        <f t="shared" ref="Q341" si="1872">IF(OR(LEN(P341)=0,P341=0),"",P341-P340)</f>
        <v>169</v>
      </c>
      <c r="R341" s="18">
        <f>운전실적_원본!J341</f>
        <v>33.68</v>
      </c>
      <c r="S341" s="19">
        <f t="shared" ref="S341" si="1873">IF(OR(LEN(R341)=0,R341=0),"",R341-R340)</f>
        <v>6.0000000000002274E-2</v>
      </c>
      <c r="T341" s="18">
        <f>운전실적_원본!K341</f>
        <v>33.020000000000003</v>
      </c>
      <c r="U341" s="19">
        <f t="shared" si="1640"/>
        <v>0</v>
      </c>
      <c r="V341" s="12">
        <f>운전실적_원본!L341</f>
        <v>8359</v>
      </c>
      <c r="W341" s="16">
        <f t="shared" ref="W341" si="1874">IF(OR(LEN(V341)=0,V341=0),"",V341-V340)</f>
        <v>-333</v>
      </c>
      <c r="X341" s="10">
        <f>운전실적_원본!M341</f>
        <v>128560.22000000626</v>
      </c>
      <c r="Y341" s="10">
        <f>운전실적_원본!N341</f>
        <v>0</v>
      </c>
      <c r="Z341" s="10">
        <f>운전실적_원본!O341</f>
        <v>0</v>
      </c>
      <c r="AA341" s="10">
        <f>운전실적_원본!P341</f>
        <v>0</v>
      </c>
      <c r="AB341" s="10">
        <f>운전실적_원본!Q341</f>
        <v>0</v>
      </c>
      <c r="AC341" s="10">
        <f>운전실적_원본!R341</f>
        <v>0</v>
      </c>
      <c r="AD341" s="181">
        <f>운전실적_원본!S341</f>
        <v>18</v>
      </c>
      <c r="AE341" s="181">
        <f>운전실적_원본!T341</f>
        <v>0</v>
      </c>
      <c r="AF341" s="181">
        <f>운전실적_원본!U341</f>
        <v>0</v>
      </c>
      <c r="AG341" s="181">
        <f>운전실적_원본!V341</f>
        <v>0</v>
      </c>
      <c r="AH341" s="106">
        <f t="shared" si="1794"/>
        <v>18</v>
      </c>
      <c r="AI341" s="107">
        <f t="shared" si="1802"/>
        <v>0</v>
      </c>
      <c r="AJ341" s="107">
        <f t="shared" si="1803"/>
        <v>0</v>
      </c>
      <c r="AK341" s="204">
        <f t="shared" si="1804"/>
        <v>0</v>
      </c>
      <c r="AL341" s="103">
        <v>45993.25</v>
      </c>
      <c r="AM341" s="103">
        <v>45994</v>
      </c>
      <c r="AN341" s="103"/>
      <c r="AO341" s="103"/>
      <c r="AP341" s="103"/>
      <c r="AQ341" s="105"/>
      <c r="AR341" s="103"/>
      <c r="AS341" s="103"/>
      <c r="AT341" s="101"/>
      <c r="AU341" s="101"/>
      <c r="AV341" s="101"/>
      <c r="AW341" s="101"/>
      <c r="AX341" s="32">
        <f>운전실적_원본!W341</f>
        <v>814</v>
      </c>
      <c r="AY341" s="198">
        <f>운전실적_원본!X341</f>
        <v>0</v>
      </c>
      <c r="AZ341" s="198">
        <f>운전실적_원본!Y341</f>
        <v>0</v>
      </c>
      <c r="BA341" s="198">
        <f>운전실적_원본!Z341</f>
        <v>0</v>
      </c>
      <c r="BB341" s="198">
        <f>운전실적_원본!AA341</f>
        <v>0</v>
      </c>
      <c r="BC341" s="198">
        <f>운전실적_원본!AB341</f>
        <v>814</v>
      </c>
      <c r="BD341" s="32">
        <f t="shared" si="1787"/>
        <v>45.222222222222221</v>
      </c>
      <c r="BE341" s="11">
        <f t="shared" si="1795"/>
        <v>0.87998097338435921</v>
      </c>
      <c r="BF341" s="11">
        <f>운전실적_원본!AE341</f>
        <v>0</v>
      </c>
      <c r="BG341" s="31">
        <f t="shared" si="1788"/>
        <v>0</v>
      </c>
    </row>
    <row r="342" spans="1:59">
      <c r="A342" s="6">
        <f t="shared" si="1796"/>
        <v>45994</v>
      </c>
      <c r="B342" s="15">
        <f>운전실적_원본!B342</f>
        <v>461</v>
      </c>
      <c r="C342" s="16">
        <f t="shared" si="1632"/>
        <v>0</v>
      </c>
      <c r="D342" s="9">
        <f>운전실적_원본!C342</f>
        <v>246129</v>
      </c>
      <c r="E342" s="199">
        <f t="shared" si="1633"/>
        <v>120</v>
      </c>
      <c r="F342" s="9">
        <f>운전실적_원본!D342</f>
        <v>238584</v>
      </c>
      <c r="G342" s="16">
        <f t="shared" si="1634"/>
        <v>20</v>
      </c>
      <c r="H342" s="15">
        <f>운전실적_원본!E342</f>
        <v>16875.8</v>
      </c>
      <c r="I342" s="16">
        <f t="shared" si="1635"/>
        <v>5.7000000000007276</v>
      </c>
      <c r="J342" s="15">
        <f>운전실적_원본!E342</f>
        <v>16875.8</v>
      </c>
      <c r="K342" s="16">
        <f t="shared" si="1635"/>
        <v>5.7000000000007276</v>
      </c>
      <c r="L342" s="15">
        <f>운전실적_원본!G342</f>
        <v>4006.8</v>
      </c>
      <c r="M342" s="31">
        <f t="shared" ref="M342" si="1875">IF(OR(LEN(L342)=0,L342=0),"",L342-L341)</f>
        <v>1.2000000000002728</v>
      </c>
      <c r="N342" s="15">
        <f>운전실적_원본!H342</f>
        <v>29554</v>
      </c>
      <c r="O342" s="16">
        <f t="shared" ref="O342" si="1876">IF(OR(LEN(N342)=0,N342=0),"",N342-N341)</f>
        <v>185</v>
      </c>
      <c r="P342" s="15">
        <f>운전실적_원본!I342</f>
        <v>10061</v>
      </c>
      <c r="Q342" s="16">
        <f t="shared" ref="Q342" si="1877">IF(OR(LEN(P342)=0,P342=0),"",P342-P341)</f>
        <v>248</v>
      </c>
      <c r="R342" s="18">
        <f>운전실적_원본!J342</f>
        <v>33.549999999999997</v>
      </c>
      <c r="S342" s="19">
        <f t="shared" ref="S342" si="1878">IF(OR(LEN(R342)=0,R342=0),"",R342-R341)</f>
        <v>-0.13000000000000256</v>
      </c>
      <c r="T342" s="18">
        <f>운전실적_원본!K342</f>
        <v>33.03</v>
      </c>
      <c r="U342" s="19">
        <f t="shared" si="1640"/>
        <v>9.9999999999980105E-3</v>
      </c>
      <c r="V342" s="12">
        <f>운전실적_원본!L342</f>
        <v>8496</v>
      </c>
      <c r="W342" s="16">
        <f t="shared" ref="W342" si="1879">IF(OR(LEN(V342)=0,V342=0),"",V342-V341)</f>
        <v>137</v>
      </c>
      <c r="X342" s="10">
        <f>운전실적_원본!M342</f>
        <v>175848.48999999464</v>
      </c>
      <c r="Y342" s="10">
        <f>운전실적_원본!N342</f>
        <v>0</v>
      </c>
      <c r="Z342" s="10">
        <f>운전실적_원본!O342</f>
        <v>0</v>
      </c>
      <c r="AA342" s="10">
        <f>운전실적_원본!P342</f>
        <v>0</v>
      </c>
      <c r="AB342" s="10">
        <f>운전실적_원본!Q342</f>
        <v>0</v>
      </c>
      <c r="AC342" s="10">
        <f>운전실적_원본!R342</f>
        <v>0</v>
      </c>
      <c r="AD342" s="181">
        <f>운전실적_원본!S342</f>
        <v>24</v>
      </c>
      <c r="AE342" s="181">
        <f>운전실적_원본!T342</f>
        <v>0</v>
      </c>
      <c r="AF342" s="181">
        <f>운전실적_원본!U342</f>
        <v>0</v>
      </c>
      <c r="AG342" s="181">
        <f>운전실적_원본!V342</f>
        <v>0</v>
      </c>
      <c r="AH342" s="106">
        <f t="shared" si="1794"/>
        <v>24</v>
      </c>
      <c r="AI342" s="107">
        <f t="shared" si="1802"/>
        <v>0</v>
      </c>
      <c r="AJ342" s="107">
        <f t="shared" si="1803"/>
        <v>0</v>
      </c>
      <c r="AK342" s="204">
        <f t="shared" si="1804"/>
        <v>0</v>
      </c>
      <c r="AL342" s="103">
        <v>45994</v>
      </c>
      <c r="AM342" s="103">
        <v>45995</v>
      </c>
      <c r="AN342" s="103"/>
      <c r="AO342" s="103"/>
      <c r="AP342" s="103"/>
      <c r="AQ342" s="105"/>
      <c r="AR342" s="103"/>
      <c r="AS342" s="103"/>
      <c r="AT342" s="101"/>
      <c r="AU342" s="101"/>
      <c r="AV342" s="101"/>
      <c r="AW342" s="101"/>
      <c r="AX342" s="32">
        <f>운전실적_원본!W342</f>
        <v>1123</v>
      </c>
      <c r="AY342" s="198">
        <f>운전실적_원본!X342</f>
        <v>0</v>
      </c>
      <c r="AZ342" s="198">
        <f>운전실적_원본!Y342</f>
        <v>0</v>
      </c>
      <c r="BA342" s="198">
        <f>운전실적_원본!Z342</f>
        <v>0</v>
      </c>
      <c r="BB342" s="198">
        <f>운전실적_원본!AA342</f>
        <v>0</v>
      </c>
      <c r="BC342" s="198">
        <f>운전실적_원본!AB342</f>
        <v>1123</v>
      </c>
      <c r="BD342" s="32">
        <f t="shared" si="1787"/>
        <v>46.791666666666664</v>
      </c>
      <c r="BE342" s="11">
        <f t="shared" si="1795"/>
        <v>0.91052085360316526</v>
      </c>
      <c r="BF342" s="11">
        <f>운전실적_원본!AE342</f>
        <v>0</v>
      </c>
      <c r="BG342" s="31">
        <f t="shared" si="1788"/>
        <v>0</v>
      </c>
    </row>
    <row r="343" spans="1:59">
      <c r="A343" s="6">
        <f t="shared" si="1796"/>
        <v>45995</v>
      </c>
      <c r="B343" s="15">
        <f>운전실적_원본!B343</f>
        <v>461</v>
      </c>
      <c r="C343" s="16">
        <f t="shared" si="1632"/>
        <v>0</v>
      </c>
      <c r="D343" s="9">
        <f>운전실적_원본!C343</f>
        <v>246194</v>
      </c>
      <c r="E343" s="199">
        <f t="shared" si="1633"/>
        <v>65</v>
      </c>
      <c r="F343" s="9">
        <f>운전실적_원본!D343</f>
        <v>238584</v>
      </c>
      <c r="G343" s="16">
        <f t="shared" si="1634"/>
        <v>0</v>
      </c>
      <c r="H343" s="15">
        <f>운전실적_원본!E343</f>
        <v>16881.52</v>
      </c>
      <c r="I343" s="16">
        <f t="shared" si="1635"/>
        <v>5.7200000000011642</v>
      </c>
      <c r="J343" s="15">
        <f>운전실적_원본!E343</f>
        <v>16881.52</v>
      </c>
      <c r="K343" s="16">
        <f t="shared" si="1635"/>
        <v>5.7200000000011642</v>
      </c>
      <c r="L343" s="15">
        <f>운전실적_원본!G343</f>
        <v>4007.8</v>
      </c>
      <c r="M343" s="31">
        <f t="shared" ref="M343" si="1880">IF(OR(LEN(L343)=0,L343=0),"",L343-L342)</f>
        <v>1</v>
      </c>
      <c r="N343" s="15">
        <f>운전실적_원본!H343</f>
        <v>29704</v>
      </c>
      <c r="O343" s="16">
        <f t="shared" ref="O343" si="1881">IF(OR(LEN(N343)=0,N343=0),"",N343-N342)</f>
        <v>150</v>
      </c>
      <c r="P343" s="15">
        <f>운전실적_원본!I343</f>
        <v>10184</v>
      </c>
      <c r="Q343" s="16">
        <f t="shared" ref="Q343" si="1882">IF(OR(LEN(P343)=0,P343=0),"",P343-P342)</f>
        <v>123</v>
      </c>
      <c r="R343" s="18">
        <f>운전실적_원본!J343</f>
        <v>33.369999999999997</v>
      </c>
      <c r="S343" s="19">
        <f t="shared" ref="S343" si="1883">IF(OR(LEN(R343)=0,R343=0),"",R343-R342)</f>
        <v>-0.17999999999999972</v>
      </c>
      <c r="T343" s="18">
        <f>운전실적_원본!K343</f>
        <v>33</v>
      </c>
      <c r="U343" s="19">
        <f t="shared" si="1640"/>
        <v>-3.0000000000001137E-2</v>
      </c>
      <c r="V343" s="12">
        <f>운전실적_원본!L343</f>
        <v>8092</v>
      </c>
      <c r="W343" s="16">
        <f t="shared" ref="W343" si="1884">IF(OR(LEN(V343)=0,V343=0),"",V343-V342)</f>
        <v>-404</v>
      </c>
      <c r="X343" s="10">
        <f>운전실적_원본!M343</f>
        <v>185569.09000000358</v>
      </c>
      <c r="Y343" s="10">
        <f>운전실적_원본!N343</f>
        <v>0</v>
      </c>
      <c r="Z343" s="10">
        <f>운전실적_원본!O343</f>
        <v>0</v>
      </c>
      <c r="AA343" s="10">
        <f>운전실적_원본!P343</f>
        <v>0</v>
      </c>
      <c r="AB343" s="10">
        <f>운전실적_원본!Q343</f>
        <v>0</v>
      </c>
      <c r="AC343" s="10">
        <f>운전실적_원본!R343</f>
        <v>0</v>
      </c>
      <c r="AD343" s="181">
        <f>운전실적_원본!S343</f>
        <v>24</v>
      </c>
      <c r="AE343" s="181">
        <f>운전실적_원본!T343</f>
        <v>0</v>
      </c>
      <c r="AF343" s="181">
        <f>운전실적_원본!U343</f>
        <v>0</v>
      </c>
      <c r="AG343" s="181">
        <f>운전실적_원본!V343</f>
        <v>0</v>
      </c>
      <c r="AH343" s="106">
        <f t="shared" si="1794"/>
        <v>24</v>
      </c>
      <c r="AI343" s="107">
        <f t="shared" si="1802"/>
        <v>0</v>
      </c>
      <c r="AJ343" s="107">
        <f t="shared" si="1803"/>
        <v>0</v>
      </c>
      <c r="AK343" s="204">
        <f t="shared" si="1804"/>
        <v>0</v>
      </c>
      <c r="AL343" s="103">
        <v>45995</v>
      </c>
      <c r="AM343" s="103">
        <v>45996</v>
      </c>
      <c r="AN343" s="103"/>
      <c r="AO343" s="103"/>
      <c r="AP343" s="103"/>
      <c r="AQ343" s="105"/>
      <c r="AR343" s="103"/>
      <c r="AS343" s="103"/>
      <c r="AT343" s="101"/>
      <c r="AU343" s="101"/>
      <c r="AV343" s="101"/>
      <c r="AW343" s="101"/>
      <c r="AX343" s="32">
        <f>운전실적_원본!W343</f>
        <v>1164</v>
      </c>
      <c r="AY343" s="198">
        <f>운전실적_원본!X343</f>
        <v>0</v>
      </c>
      <c r="AZ343" s="198">
        <f>운전실적_원본!Y343</f>
        <v>0</v>
      </c>
      <c r="BA343" s="198">
        <f>운전실적_원본!Z343</f>
        <v>0</v>
      </c>
      <c r="BB343" s="198">
        <f>운전실적_원본!AA343</f>
        <v>0</v>
      </c>
      <c r="BC343" s="198">
        <f>운전실적_원본!AB343</f>
        <v>1164</v>
      </c>
      <c r="BD343" s="32">
        <f t="shared" si="1787"/>
        <v>48.5</v>
      </c>
      <c r="BE343" s="11">
        <f t="shared" si="1795"/>
        <v>0.94376337808912236</v>
      </c>
      <c r="BF343" s="11">
        <f>운전실적_원본!AE343</f>
        <v>0</v>
      </c>
      <c r="BG343" s="31">
        <f t="shared" si="1788"/>
        <v>0</v>
      </c>
    </row>
    <row r="344" spans="1:59">
      <c r="A344" s="6">
        <f t="shared" si="1796"/>
        <v>45996</v>
      </c>
      <c r="B344" s="15">
        <f>운전실적_원본!B344</f>
        <v>461</v>
      </c>
      <c r="C344" s="16">
        <f t="shared" si="1632"/>
        <v>0</v>
      </c>
      <c r="D344" s="9">
        <f>운전실적_원본!C344</f>
        <v>246194</v>
      </c>
      <c r="E344" s="199">
        <f t="shared" si="1633"/>
        <v>0</v>
      </c>
      <c r="F344" s="9">
        <f>운전실적_원본!D344</f>
        <v>238727</v>
      </c>
      <c r="G344" s="16">
        <f t="shared" si="1634"/>
        <v>143</v>
      </c>
      <c r="H344" s="15">
        <f>운전실적_원본!E344</f>
        <v>16887.39</v>
      </c>
      <c r="I344" s="16">
        <f t="shared" si="1635"/>
        <v>5.8699999999989814</v>
      </c>
      <c r="J344" s="15">
        <f>운전실적_원본!E344</f>
        <v>16887.39</v>
      </c>
      <c r="K344" s="16">
        <f t="shared" si="1635"/>
        <v>5.8699999999989814</v>
      </c>
      <c r="L344" s="15">
        <f>운전실적_원본!G344</f>
        <v>4008.9</v>
      </c>
      <c r="M344" s="31">
        <f t="shared" ref="M344" si="1885">IF(OR(LEN(L344)=0,L344=0),"",L344-L343)</f>
        <v>1.0999999999999091</v>
      </c>
      <c r="N344" s="15">
        <f>운전실적_원본!H344</f>
        <v>29874</v>
      </c>
      <c r="O344" s="16">
        <f t="shared" ref="O344" si="1886">IF(OR(LEN(N344)=0,N344=0),"",N344-N343)</f>
        <v>170</v>
      </c>
      <c r="P344" s="15">
        <f>운전실적_원본!I344</f>
        <v>10390</v>
      </c>
      <c r="Q344" s="16">
        <f t="shared" ref="Q344" si="1887">IF(OR(LEN(P344)=0,P344=0),"",P344-P343)</f>
        <v>206</v>
      </c>
      <c r="R344" s="18">
        <f>운전실적_원본!J344</f>
        <v>33.35</v>
      </c>
      <c r="S344" s="19">
        <f t="shared" ref="S344" si="1888">IF(OR(LEN(R344)=0,R344=0),"",R344-R343)</f>
        <v>-1.9999999999996021E-2</v>
      </c>
      <c r="T344" s="18">
        <f>운전실적_원본!K344</f>
        <v>32.96</v>
      </c>
      <c r="U344" s="19">
        <f t="shared" si="1640"/>
        <v>-3.9999999999999147E-2</v>
      </c>
      <c r="V344" s="12">
        <f>운전실적_원본!L344</f>
        <v>8451</v>
      </c>
      <c r="W344" s="16">
        <f t="shared" ref="W344" si="1889">IF(OR(LEN(V344)=0,V344=0),"",V344-V343)</f>
        <v>359</v>
      </c>
      <c r="X344" s="10">
        <f>운전실적_원본!M344</f>
        <v>189215.46999999881</v>
      </c>
      <c r="Y344" s="10">
        <f>운전실적_원본!N344</f>
        <v>0</v>
      </c>
      <c r="Z344" s="10">
        <f>운전실적_원본!O344</f>
        <v>0</v>
      </c>
      <c r="AA344" s="10">
        <f>운전실적_원본!P344</f>
        <v>0</v>
      </c>
      <c r="AB344" s="10">
        <f>운전실적_원본!Q344</f>
        <v>0</v>
      </c>
      <c r="AC344" s="10">
        <f>운전실적_원본!R344</f>
        <v>0</v>
      </c>
      <c r="AD344" s="181">
        <f>운전실적_원본!S344</f>
        <v>24</v>
      </c>
      <c r="AE344" s="181">
        <f>운전실적_원본!T344</f>
        <v>0</v>
      </c>
      <c r="AF344" s="181">
        <f>운전실적_원본!U344</f>
        <v>0</v>
      </c>
      <c r="AG344" s="181">
        <f>운전실적_원본!V344</f>
        <v>0</v>
      </c>
      <c r="AH344" s="106">
        <f t="shared" si="1794"/>
        <v>24</v>
      </c>
      <c r="AI344" s="107">
        <f t="shared" si="1802"/>
        <v>0</v>
      </c>
      <c r="AJ344" s="107">
        <f t="shared" si="1803"/>
        <v>0</v>
      </c>
      <c r="AK344" s="204">
        <f t="shared" si="1804"/>
        <v>0</v>
      </c>
      <c r="AL344" s="103">
        <v>45996</v>
      </c>
      <c r="AM344" s="103">
        <v>45997</v>
      </c>
      <c r="AN344" s="103"/>
      <c r="AO344" s="103"/>
      <c r="AP344" s="103"/>
      <c r="AQ344" s="105"/>
      <c r="AR344" s="103"/>
      <c r="AS344" s="103"/>
      <c r="AT344" s="101"/>
      <c r="AU344" s="101"/>
      <c r="AV344" s="101"/>
      <c r="AW344" s="101"/>
      <c r="AX344" s="32">
        <f>운전실적_원본!W344</f>
        <v>1189</v>
      </c>
      <c r="AY344" s="198">
        <f>운전실적_원본!X344</f>
        <v>0</v>
      </c>
      <c r="AZ344" s="198">
        <f>운전실적_원본!Y344</f>
        <v>0</v>
      </c>
      <c r="BA344" s="198">
        <f>운전실적_원본!Z344</f>
        <v>0</v>
      </c>
      <c r="BB344" s="198">
        <f>운전실적_원본!AA344</f>
        <v>0</v>
      </c>
      <c r="BC344" s="198">
        <f>운전실적_원본!AB344</f>
        <v>1189</v>
      </c>
      <c r="BD344" s="32">
        <f t="shared" si="1787"/>
        <v>49.541666666666664</v>
      </c>
      <c r="BE344" s="11">
        <f t="shared" si="1795"/>
        <v>0.96403321009275467</v>
      </c>
      <c r="BF344" s="11">
        <f>운전실적_원본!AE344</f>
        <v>0</v>
      </c>
      <c r="BG344" s="31">
        <f t="shared" si="1788"/>
        <v>0</v>
      </c>
    </row>
    <row r="345" spans="1:59">
      <c r="A345" s="6">
        <f t="shared" si="1796"/>
        <v>45997</v>
      </c>
      <c r="B345" s="15">
        <f>운전실적_원본!B345</f>
        <v>461</v>
      </c>
      <c r="C345" s="16">
        <f t="shared" si="1632"/>
        <v>0</v>
      </c>
      <c r="D345" s="9">
        <f>운전실적_원본!C345</f>
        <v>246303</v>
      </c>
      <c r="E345" s="199">
        <f t="shared" si="1633"/>
        <v>109</v>
      </c>
      <c r="F345" s="9">
        <f>운전실적_원본!D345</f>
        <v>238731</v>
      </c>
      <c r="G345" s="16">
        <f t="shared" si="1634"/>
        <v>4</v>
      </c>
      <c r="H345" s="15">
        <f>운전실적_원본!E345</f>
        <v>16892.43</v>
      </c>
      <c r="I345" s="16">
        <f t="shared" si="1635"/>
        <v>5.0400000000008731</v>
      </c>
      <c r="J345" s="15">
        <f>운전실적_원본!E345</f>
        <v>16892.43</v>
      </c>
      <c r="K345" s="16">
        <f t="shared" si="1635"/>
        <v>5.0400000000008731</v>
      </c>
      <c r="L345" s="15">
        <f>운전실적_원본!G345</f>
        <v>4009.6</v>
      </c>
      <c r="M345" s="31">
        <f t="shared" ref="M345" si="1890">IF(OR(LEN(L345)=0,L345=0),"",L345-L344)</f>
        <v>0.6999999999998181</v>
      </c>
      <c r="N345" s="15">
        <f>운전실적_원본!H345</f>
        <v>29941</v>
      </c>
      <c r="O345" s="16">
        <f t="shared" ref="O345" si="1891">IF(OR(LEN(N345)=0,N345=0),"",N345-N344)</f>
        <v>67</v>
      </c>
      <c r="P345" s="15">
        <f>운전실적_원본!I345</f>
        <v>10598</v>
      </c>
      <c r="Q345" s="16">
        <f t="shared" ref="Q345" si="1892">IF(OR(LEN(P345)=0,P345=0),"",P345-P344)</f>
        <v>208</v>
      </c>
      <c r="R345" s="18">
        <f>운전실적_원본!J345</f>
        <v>33.53</v>
      </c>
      <c r="S345" s="19">
        <f t="shared" ref="S345" si="1893">IF(OR(LEN(R345)=0,R345=0),"",R345-R344)</f>
        <v>0.17999999999999972</v>
      </c>
      <c r="T345" s="18">
        <f>운전실적_원본!K345</f>
        <v>33.04</v>
      </c>
      <c r="U345" s="19">
        <f t="shared" si="1640"/>
        <v>7.9999999999998295E-2</v>
      </c>
      <c r="V345" s="12">
        <f>운전실적_원본!L345</f>
        <v>8581</v>
      </c>
      <c r="W345" s="16">
        <f t="shared" ref="W345" si="1894">IF(OR(LEN(V345)=0,V345=0),"",V345-V344)</f>
        <v>130</v>
      </c>
      <c r="X345" s="10">
        <f>운전실적_원본!M345</f>
        <v>147299.88000000268</v>
      </c>
      <c r="Y345" s="10">
        <f>운전실적_원본!N345</f>
        <v>0</v>
      </c>
      <c r="Z345" s="10">
        <f>운전실적_원본!O345</f>
        <v>0</v>
      </c>
      <c r="AA345" s="10">
        <f>운전실적_원본!P345</f>
        <v>0</v>
      </c>
      <c r="AB345" s="10">
        <f>운전실적_원본!Q345</f>
        <v>0</v>
      </c>
      <c r="AC345" s="10">
        <f>운전실적_원본!R345</f>
        <v>0</v>
      </c>
      <c r="AD345" s="181">
        <f>운전실적_원본!S345</f>
        <v>20</v>
      </c>
      <c r="AE345" s="181">
        <f>운전실적_원본!T345</f>
        <v>0</v>
      </c>
      <c r="AF345" s="181">
        <f>운전실적_원본!U345</f>
        <v>0</v>
      </c>
      <c r="AG345" s="181">
        <f>운전실적_원본!V345</f>
        <v>0</v>
      </c>
      <c r="AH345" s="106">
        <f t="shared" si="1794"/>
        <v>20.083333333313931</v>
      </c>
      <c r="AI345" s="107">
        <f t="shared" si="1802"/>
        <v>0</v>
      </c>
      <c r="AJ345" s="107">
        <f t="shared" si="1803"/>
        <v>0</v>
      </c>
      <c r="AK345" s="204">
        <f t="shared" si="1804"/>
        <v>0</v>
      </c>
      <c r="AL345" s="103">
        <v>45997</v>
      </c>
      <c r="AM345" s="103">
        <v>45997</v>
      </c>
      <c r="AN345" s="103">
        <v>45997.663194444445</v>
      </c>
      <c r="AO345" s="103">
        <v>45998.5</v>
      </c>
      <c r="AP345" s="103"/>
      <c r="AQ345" s="105"/>
      <c r="AR345" s="103"/>
      <c r="AS345" s="103"/>
      <c r="AT345" s="101"/>
      <c r="AU345" s="101"/>
      <c r="AV345" s="101"/>
      <c r="AW345" s="101"/>
      <c r="AX345" s="32">
        <f>운전실적_원본!W345</f>
        <v>931</v>
      </c>
      <c r="AY345" s="198">
        <f>운전실적_원본!X345</f>
        <v>0</v>
      </c>
      <c r="AZ345" s="198">
        <f>운전실적_원본!Y345</f>
        <v>0</v>
      </c>
      <c r="BA345" s="198">
        <f>운전실적_원본!Z345</f>
        <v>0</v>
      </c>
      <c r="BB345" s="198">
        <f>운전실적_원본!AA345</f>
        <v>0</v>
      </c>
      <c r="BC345" s="198">
        <f>운전실적_원본!AB345</f>
        <v>931</v>
      </c>
      <c r="BD345" s="32">
        <f t="shared" si="1787"/>
        <v>46.55</v>
      </c>
      <c r="BE345" s="11">
        <f t="shared" si="1795"/>
        <v>0.9058182525783226</v>
      </c>
      <c r="BF345" s="11">
        <f>운전실적_원본!AE345</f>
        <v>0</v>
      </c>
      <c r="BG345" s="31">
        <f t="shared" si="1788"/>
        <v>0</v>
      </c>
    </row>
    <row r="346" spans="1:59">
      <c r="A346" s="6">
        <f t="shared" si="1796"/>
        <v>45998</v>
      </c>
      <c r="B346" s="15">
        <f>운전실적_원본!B346</f>
        <v>461</v>
      </c>
      <c r="C346" s="16">
        <f t="shared" si="1632"/>
        <v>0</v>
      </c>
      <c r="D346" s="9">
        <f>운전실적_원본!C346</f>
        <v>246331</v>
      </c>
      <c r="E346" s="199">
        <f t="shared" si="1633"/>
        <v>28</v>
      </c>
      <c r="F346" s="9">
        <f>운전실적_원본!D346</f>
        <v>238731</v>
      </c>
      <c r="G346" s="16">
        <f t="shared" si="1634"/>
        <v>0</v>
      </c>
      <c r="H346" s="15">
        <f>운전실적_원본!E346</f>
        <v>16897.36</v>
      </c>
      <c r="I346" s="16">
        <f t="shared" si="1635"/>
        <v>4.930000000000291</v>
      </c>
      <c r="J346" s="15">
        <f>운전실적_원본!E346</f>
        <v>16897.36</v>
      </c>
      <c r="K346" s="16">
        <f t="shared" si="1635"/>
        <v>4.930000000000291</v>
      </c>
      <c r="L346" s="15">
        <f>운전실적_원본!G346</f>
        <v>4010.4</v>
      </c>
      <c r="M346" s="31">
        <f t="shared" ref="M346" si="1895">IF(OR(LEN(L346)=0,L346=0),"",L346-L345)</f>
        <v>0.8000000000001819</v>
      </c>
      <c r="N346" s="15">
        <f>운전실적_원본!H346</f>
        <v>30031</v>
      </c>
      <c r="O346" s="16">
        <f t="shared" ref="O346" si="1896">IF(OR(LEN(N346)=0,N346=0),"",N346-N345)</f>
        <v>90</v>
      </c>
      <c r="P346" s="15">
        <f>운전실적_원본!I346</f>
        <v>10625</v>
      </c>
      <c r="Q346" s="16">
        <f t="shared" ref="Q346" si="1897">IF(OR(LEN(P346)=0,P346=0),"",P346-P345)</f>
        <v>27</v>
      </c>
      <c r="R346" s="18">
        <f>운전실적_원본!J346</f>
        <v>33.450000000000003</v>
      </c>
      <c r="S346" s="19">
        <f t="shared" ref="S346" si="1898">IF(OR(LEN(R346)=0,R346=0),"",R346-R345)</f>
        <v>-7.9999999999998295E-2</v>
      </c>
      <c r="T346" s="18">
        <f>운전실적_원본!K346</f>
        <v>32.880000000000003</v>
      </c>
      <c r="U346" s="19">
        <f t="shared" si="1640"/>
        <v>-0.15999999999999659</v>
      </c>
      <c r="V346" s="12">
        <f>운전실적_원본!L346</f>
        <v>8537</v>
      </c>
      <c r="W346" s="16">
        <f t="shared" ref="W346" si="1899">IF(OR(LEN(V346)=0,V346=0),"",V346-V345)</f>
        <v>-44</v>
      </c>
      <c r="X346" s="10">
        <f>운전실적_원본!M346</f>
        <v>7724.6199999973178</v>
      </c>
      <c r="Y346" s="10">
        <f>운전실적_원본!N346</f>
        <v>0</v>
      </c>
      <c r="Z346" s="10">
        <f>운전실적_원본!O346</f>
        <v>0</v>
      </c>
      <c r="AA346" s="10">
        <f>운전실적_원본!P346</f>
        <v>0</v>
      </c>
      <c r="AB346" s="10">
        <f>운전실적_원본!Q346</f>
        <v>0</v>
      </c>
      <c r="AC346" s="10">
        <f>운전실적_원본!R346</f>
        <v>0</v>
      </c>
      <c r="AD346" s="181">
        <f>운전실적_원본!S346</f>
        <v>2</v>
      </c>
      <c r="AE346" s="181">
        <f>운전실적_원본!T346</f>
        <v>0</v>
      </c>
      <c r="AF346" s="181">
        <f>운전실적_원본!U346</f>
        <v>0</v>
      </c>
      <c r="AG346" s="181">
        <f>운전실적_원본!V346</f>
        <v>0</v>
      </c>
      <c r="AH346" s="106">
        <f t="shared" si="1794"/>
        <v>1.5</v>
      </c>
      <c r="AI346" s="107">
        <f t="shared" si="1802"/>
        <v>0</v>
      </c>
      <c r="AJ346" s="107">
        <f t="shared" si="1803"/>
        <v>0</v>
      </c>
      <c r="AK346" s="204">
        <f t="shared" si="1804"/>
        <v>0</v>
      </c>
      <c r="AL346" s="103">
        <v>45998</v>
      </c>
      <c r="AM346" s="103">
        <v>45998.0625</v>
      </c>
      <c r="AN346" s="103"/>
      <c r="AO346" s="103"/>
      <c r="AP346" s="103"/>
      <c r="AQ346" s="105"/>
      <c r="AR346" s="103"/>
      <c r="AS346" s="103"/>
      <c r="AT346" s="101"/>
      <c r="AU346" s="101"/>
      <c r="AV346" s="101"/>
      <c r="AW346" s="101"/>
      <c r="AX346" s="32">
        <f>운전실적_원본!W346</f>
        <v>57</v>
      </c>
      <c r="AY346" s="198">
        <f>운전실적_원본!X346</f>
        <v>0</v>
      </c>
      <c r="AZ346" s="198">
        <f>운전실적_원본!Y346</f>
        <v>0</v>
      </c>
      <c r="BA346" s="198">
        <f>운전실적_원본!Z346</f>
        <v>0</v>
      </c>
      <c r="BB346" s="198">
        <f>운전실적_원본!AA346</f>
        <v>0</v>
      </c>
      <c r="BC346" s="198">
        <f>운전실적_원본!AB346</f>
        <v>57</v>
      </c>
      <c r="BD346" s="32">
        <f t="shared" si="1787"/>
        <v>28.5</v>
      </c>
      <c r="BE346" s="11">
        <f t="shared" si="1795"/>
        <v>0.55458260361938116</v>
      </c>
      <c r="BF346" s="11">
        <f>운전실적_원본!AE346</f>
        <v>0</v>
      </c>
      <c r="BG346" s="31">
        <f t="shared" si="1788"/>
        <v>0</v>
      </c>
    </row>
    <row r="347" spans="1:59">
      <c r="A347" s="6">
        <f t="shared" si="1796"/>
        <v>45999</v>
      </c>
      <c r="B347" s="15">
        <f>운전실적_원본!B347</f>
        <v>486.7</v>
      </c>
      <c r="C347" s="16">
        <f t="shared" si="1632"/>
        <v>25.699999999999989</v>
      </c>
      <c r="D347" s="9">
        <f>운전실적_원본!C347</f>
        <v>246353</v>
      </c>
      <c r="E347" s="199">
        <f t="shared" si="1633"/>
        <v>22</v>
      </c>
      <c r="F347" s="9">
        <f>운전실적_원본!D347</f>
        <v>238854</v>
      </c>
      <c r="G347" s="16">
        <f t="shared" si="1634"/>
        <v>123</v>
      </c>
      <c r="H347" s="15">
        <f>운전실적_원본!E347</f>
        <v>16904.12</v>
      </c>
      <c r="I347" s="16">
        <f t="shared" si="1635"/>
        <v>6.7599999999983993</v>
      </c>
      <c r="J347" s="15">
        <f>운전실적_원본!E347</f>
        <v>16904.12</v>
      </c>
      <c r="K347" s="16">
        <f t="shared" si="1635"/>
        <v>6.7599999999983993</v>
      </c>
      <c r="L347" s="15">
        <f>운전실적_원본!G347</f>
        <v>4011.4</v>
      </c>
      <c r="M347" s="31">
        <f t="shared" ref="M347" si="1900">IF(OR(LEN(L347)=0,L347=0),"",L347-L346)</f>
        <v>1</v>
      </c>
      <c r="N347" s="15">
        <f>운전실적_원본!H347</f>
        <v>30181</v>
      </c>
      <c r="O347" s="16">
        <f t="shared" ref="O347" si="1901">IF(OR(LEN(N347)=0,N347=0),"",N347-N346)</f>
        <v>150</v>
      </c>
      <c r="P347" s="15">
        <f>운전실적_원본!I347</f>
        <v>10844</v>
      </c>
      <c r="Q347" s="16">
        <f t="shared" ref="Q347" si="1902">IF(OR(LEN(P347)=0,P347=0),"",P347-P346)</f>
        <v>219</v>
      </c>
      <c r="R347" s="18">
        <f>운전실적_원본!J347</f>
        <v>33.32</v>
      </c>
      <c r="S347" s="19">
        <f t="shared" ref="S347" si="1903">IF(OR(LEN(R347)=0,R347=0),"",R347-R346)</f>
        <v>-0.13000000000000256</v>
      </c>
      <c r="T347" s="18">
        <f>운전실적_원본!K347</f>
        <v>32.880000000000003</v>
      </c>
      <c r="U347" s="19">
        <f t="shared" si="1640"/>
        <v>0</v>
      </c>
      <c r="V347" s="12">
        <f>운전실적_원본!L347</f>
        <v>8295</v>
      </c>
      <c r="W347" s="16">
        <f t="shared" ref="W347" si="1904">IF(OR(LEN(V347)=0,V347=0),"",V347-V346)</f>
        <v>-242</v>
      </c>
      <c r="X347" s="10">
        <f>운전실적_원본!M347</f>
        <v>134413.45000000298</v>
      </c>
      <c r="Y347" s="10">
        <f>운전실적_원본!N347</f>
        <v>0</v>
      </c>
      <c r="Z347" s="10">
        <f>운전실적_원본!O347</f>
        <v>0</v>
      </c>
      <c r="AA347" s="10">
        <f>운전실적_원본!P347</f>
        <v>0</v>
      </c>
      <c r="AB347" s="10">
        <f>운전실적_원본!Q347</f>
        <v>0</v>
      </c>
      <c r="AC347" s="10">
        <f>운전실적_원본!R347</f>
        <v>0</v>
      </c>
      <c r="AD347" s="181">
        <f>운전실적_원본!S347</f>
        <v>20</v>
      </c>
      <c r="AE347" s="181">
        <f>운전실적_원본!T347</f>
        <v>0</v>
      </c>
      <c r="AF347" s="181">
        <f>운전실적_원본!U347</f>
        <v>0</v>
      </c>
      <c r="AG347" s="181">
        <f>운전실적_원본!V347</f>
        <v>0</v>
      </c>
      <c r="AH347" s="106">
        <f t="shared" si="1794"/>
        <v>20.000000000058208</v>
      </c>
      <c r="AI347" s="107">
        <f t="shared" si="1802"/>
        <v>0</v>
      </c>
      <c r="AJ347" s="107">
        <f t="shared" si="1803"/>
        <v>0</v>
      </c>
      <c r="AK347" s="204">
        <f t="shared" si="1804"/>
        <v>0</v>
      </c>
      <c r="AL347" s="103">
        <v>45999.166666666664</v>
      </c>
      <c r="AM347" s="103">
        <v>46000</v>
      </c>
      <c r="AN347" s="103"/>
      <c r="AO347" s="103"/>
      <c r="AP347" s="103"/>
      <c r="AQ347" s="105"/>
      <c r="AR347" s="103"/>
      <c r="AS347" s="103"/>
      <c r="AT347" s="101"/>
      <c r="AU347" s="101"/>
      <c r="AV347" s="101"/>
      <c r="AW347" s="101"/>
      <c r="AX347" s="32">
        <f>운전실적_원본!W347</f>
        <v>837</v>
      </c>
      <c r="AY347" s="198">
        <f>운전실적_원본!X347</f>
        <v>0</v>
      </c>
      <c r="AZ347" s="198">
        <f>운전실적_원본!Y347</f>
        <v>0</v>
      </c>
      <c r="BA347" s="198">
        <f>운전실적_원본!Z347</f>
        <v>0</v>
      </c>
      <c r="BB347" s="198">
        <f>운전실적_원본!AA347</f>
        <v>0</v>
      </c>
      <c r="BC347" s="198">
        <f>운전실적_원본!AB347</f>
        <v>837</v>
      </c>
      <c r="BD347" s="32">
        <f t="shared" si="1787"/>
        <v>41.85</v>
      </c>
      <c r="BE347" s="11">
        <f t="shared" si="1795"/>
        <v>0.81436077057793343</v>
      </c>
      <c r="BF347" s="11">
        <f>운전실적_원본!AE347</f>
        <v>0</v>
      </c>
      <c r="BG347" s="31">
        <f t="shared" si="1788"/>
        <v>0</v>
      </c>
    </row>
    <row r="348" spans="1:59">
      <c r="A348" s="6">
        <f t="shared" si="1796"/>
        <v>46000</v>
      </c>
      <c r="B348" s="15">
        <f>운전실적_원본!B348</f>
        <v>568</v>
      </c>
      <c r="C348" s="16">
        <f t="shared" si="1632"/>
        <v>81.300000000000011</v>
      </c>
      <c r="D348" s="9">
        <f>운전실적_원본!C348</f>
        <v>246482</v>
      </c>
      <c r="E348" s="199">
        <f t="shared" si="1633"/>
        <v>129</v>
      </c>
      <c r="F348" s="9">
        <f>운전실적_원본!D348</f>
        <v>238896</v>
      </c>
      <c r="G348" s="16">
        <f t="shared" si="1634"/>
        <v>42</v>
      </c>
      <c r="H348" s="15">
        <f>운전실적_원본!E348</f>
        <v>16908.990000000002</v>
      </c>
      <c r="I348" s="16">
        <f t="shared" si="1635"/>
        <v>4.8700000000026193</v>
      </c>
      <c r="J348" s="15">
        <f>운전실적_원본!E348</f>
        <v>16908.990000000002</v>
      </c>
      <c r="K348" s="16">
        <f t="shared" si="1635"/>
        <v>4.8700000000026193</v>
      </c>
      <c r="L348" s="15">
        <f>운전실적_원본!G348</f>
        <v>4012.4</v>
      </c>
      <c r="M348" s="31">
        <f t="shared" ref="M348" si="1905">IF(OR(LEN(L348)=0,L348=0),"",L348-L347)</f>
        <v>1</v>
      </c>
      <c r="N348" s="15">
        <f>운전실적_원본!H348</f>
        <v>30330</v>
      </c>
      <c r="O348" s="16">
        <f t="shared" ref="O348" si="1906">IF(OR(LEN(N348)=0,N348=0),"",N348-N347)</f>
        <v>149</v>
      </c>
      <c r="P348" s="15">
        <f>운전실적_원본!I348</f>
        <v>11101</v>
      </c>
      <c r="Q348" s="16">
        <f t="shared" ref="Q348" si="1907">IF(OR(LEN(P348)=0,P348=0),"",P348-P347)</f>
        <v>257</v>
      </c>
      <c r="R348" s="18">
        <f>운전실적_원본!J348</f>
        <v>33.51</v>
      </c>
      <c r="S348" s="19">
        <f t="shared" ref="S348" si="1908">IF(OR(LEN(R348)=0,R348=0),"",R348-R347)</f>
        <v>0.18999999999999773</v>
      </c>
      <c r="T348" s="18">
        <f>운전실적_원본!K348</f>
        <v>33</v>
      </c>
      <c r="U348" s="19">
        <f t="shared" si="1640"/>
        <v>0.11999999999999744</v>
      </c>
      <c r="V348" s="12">
        <f>운전실적_원본!L348</f>
        <v>8619</v>
      </c>
      <c r="W348" s="16">
        <f t="shared" ref="W348" si="1909">IF(OR(LEN(V348)=0,V348=0),"",V348-V347)</f>
        <v>324</v>
      </c>
      <c r="X348" s="10">
        <f>운전실적_원본!M348</f>
        <v>98792.29999999702</v>
      </c>
      <c r="Y348" s="10">
        <f>운전실적_원본!N348</f>
        <v>0</v>
      </c>
      <c r="Z348" s="10">
        <f>운전실적_원본!O348</f>
        <v>0</v>
      </c>
      <c r="AA348" s="10">
        <f>운전실적_원본!P348</f>
        <v>0</v>
      </c>
      <c r="AB348" s="10">
        <f>운전실적_원본!Q348</f>
        <v>0</v>
      </c>
      <c r="AC348" s="10">
        <f>운전실적_원본!R348</f>
        <v>0</v>
      </c>
      <c r="AD348" s="181">
        <f>운전실적_원본!S348</f>
        <v>15</v>
      </c>
      <c r="AE348" s="181">
        <f>운전실적_원본!T348</f>
        <v>0</v>
      </c>
      <c r="AF348" s="181">
        <f>운전실적_원본!U348</f>
        <v>0</v>
      </c>
      <c r="AG348" s="181">
        <f>운전실적_원본!V348</f>
        <v>0</v>
      </c>
      <c r="AH348" s="106">
        <f t="shared" si="1794"/>
        <v>15</v>
      </c>
      <c r="AI348" s="107">
        <f t="shared" si="1802"/>
        <v>0</v>
      </c>
      <c r="AJ348" s="107">
        <f t="shared" si="1803"/>
        <v>0</v>
      </c>
      <c r="AK348" s="204">
        <f t="shared" si="1804"/>
        <v>0</v>
      </c>
      <c r="AL348" s="103">
        <v>46000.25</v>
      </c>
      <c r="AM348" s="103">
        <v>46000.875</v>
      </c>
      <c r="AN348" s="103"/>
      <c r="AO348" s="103"/>
      <c r="AP348" s="103"/>
      <c r="AQ348" s="105"/>
      <c r="AR348" s="103"/>
      <c r="AS348" s="103"/>
      <c r="AT348" s="101"/>
      <c r="AU348" s="101"/>
      <c r="AV348" s="101"/>
      <c r="AW348" s="101"/>
      <c r="AX348" s="32">
        <f>운전실적_원본!W348</f>
        <v>619</v>
      </c>
      <c r="AY348" s="198">
        <f>운전실적_원본!X348</f>
        <v>0</v>
      </c>
      <c r="AZ348" s="198">
        <f>운전실적_원본!Y348</f>
        <v>0</v>
      </c>
      <c r="BA348" s="198">
        <f>운전실적_원본!Z348</f>
        <v>0</v>
      </c>
      <c r="BB348" s="198">
        <f>운전실적_원본!AA348</f>
        <v>0</v>
      </c>
      <c r="BC348" s="198">
        <f>운전실적_원본!AB348</f>
        <v>619</v>
      </c>
      <c r="BD348" s="32">
        <f t="shared" si="1787"/>
        <v>41.266666666666666</v>
      </c>
      <c r="BE348" s="11">
        <f t="shared" si="1795"/>
        <v>0.80300966465589929</v>
      </c>
      <c r="BF348" s="11">
        <f>운전실적_원본!AE348</f>
        <v>0</v>
      </c>
      <c r="BG348" s="31">
        <f t="shared" si="1788"/>
        <v>0</v>
      </c>
    </row>
    <row r="349" spans="1:59">
      <c r="A349" s="6">
        <f t="shared" si="1796"/>
        <v>46001</v>
      </c>
      <c r="B349" s="15">
        <f>운전실적_원본!B349</f>
        <v>568</v>
      </c>
      <c r="C349" s="16">
        <f t="shared" si="1632"/>
        <v>0</v>
      </c>
      <c r="D349" s="9">
        <f>운전실적_원본!C349</f>
        <v>246529</v>
      </c>
      <c r="E349" s="199">
        <f t="shared" si="1633"/>
        <v>47</v>
      </c>
      <c r="F349" s="9">
        <f>운전실적_원본!D349</f>
        <v>238896</v>
      </c>
      <c r="G349" s="16">
        <f t="shared" si="1634"/>
        <v>0</v>
      </c>
      <c r="H349" s="15">
        <f>운전실적_원본!E349</f>
        <v>16913.34</v>
      </c>
      <c r="I349" s="16">
        <f t="shared" si="1635"/>
        <v>4.3499999999985448</v>
      </c>
      <c r="J349" s="15">
        <f>운전실적_원본!E349</f>
        <v>16913.34</v>
      </c>
      <c r="K349" s="16">
        <f t="shared" si="1635"/>
        <v>4.3499999999985448</v>
      </c>
      <c r="L349" s="15">
        <f>운전실적_원본!G349</f>
        <v>4013.5</v>
      </c>
      <c r="M349" s="31">
        <f t="shared" ref="M349" si="1910">IF(OR(LEN(L349)=0,L349=0),"",L349-L348)</f>
        <v>1.0999999999999091</v>
      </c>
      <c r="N349" s="15">
        <f>운전실적_원본!H349</f>
        <v>30513</v>
      </c>
      <c r="O349" s="16">
        <f t="shared" ref="O349" si="1911">IF(OR(LEN(N349)=0,N349=0),"",N349-N348)</f>
        <v>183</v>
      </c>
      <c r="P349" s="15">
        <f>운전실적_원본!I349</f>
        <v>11173</v>
      </c>
      <c r="Q349" s="16">
        <f t="shared" ref="Q349" si="1912">IF(OR(LEN(P349)=0,P349=0),"",P349-P348)</f>
        <v>72</v>
      </c>
      <c r="R349" s="18">
        <f>운전실적_원본!J349</f>
        <v>33.590000000000003</v>
      </c>
      <c r="S349" s="19">
        <f t="shared" ref="S349" si="1913">IF(OR(LEN(R349)=0,R349=0),"",R349-R348)</f>
        <v>8.00000000000054E-2</v>
      </c>
      <c r="T349" s="18">
        <f>운전실적_원본!K349</f>
        <v>32.979999999999997</v>
      </c>
      <c r="U349" s="19">
        <f t="shared" si="1640"/>
        <v>-2.0000000000003126E-2</v>
      </c>
      <c r="V349" s="12">
        <f>운전실적_원본!L349</f>
        <v>4815</v>
      </c>
      <c r="W349" s="16">
        <f t="shared" ref="W349" si="1914">IF(OR(LEN(V349)=0,V349=0),"",V349-V348)</f>
        <v>-3804</v>
      </c>
      <c r="X349" s="10">
        <f>운전실적_원본!M349</f>
        <v>131662.54999999702</v>
      </c>
      <c r="Y349" s="10">
        <f>운전실적_원본!N349</f>
        <v>0</v>
      </c>
      <c r="Z349" s="10">
        <f>운전실적_원본!O349</f>
        <v>0</v>
      </c>
      <c r="AA349" s="10">
        <f>운전실적_원본!P349</f>
        <v>0</v>
      </c>
      <c r="AB349" s="10">
        <f>운전실적_원본!Q349</f>
        <v>0</v>
      </c>
      <c r="AC349" s="10">
        <f>운전실적_원본!R349</f>
        <v>0</v>
      </c>
      <c r="AD349" s="181">
        <f>운전실적_원본!S349</f>
        <v>18</v>
      </c>
      <c r="AE349" s="181">
        <f>운전실적_원본!T349</f>
        <v>0</v>
      </c>
      <c r="AF349" s="181">
        <f>운전실적_원본!U349</f>
        <v>0</v>
      </c>
      <c r="AG349" s="181">
        <f>운전실적_원본!V349</f>
        <v>0</v>
      </c>
      <c r="AH349" s="106">
        <f t="shared" si="1794"/>
        <v>18.249999999941792</v>
      </c>
      <c r="AI349" s="107">
        <f t="shared" si="1802"/>
        <v>0</v>
      </c>
      <c r="AJ349" s="107">
        <f t="shared" si="1803"/>
        <v>0</v>
      </c>
      <c r="AK349" s="204">
        <f t="shared" si="1804"/>
        <v>0</v>
      </c>
      <c r="AL349" s="103">
        <v>46001.239583333336</v>
      </c>
      <c r="AM349" s="103">
        <v>46002</v>
      </c>
      <c r="AN349" s="103"/>
      <c r="AO349" s="103"/>
      <c r="AP349" s="103"/>
      <c r="AQ349" s="105"/>
      <c r="AR349" s="103"/>
      <c r="AS349" s="103"/>
      <c r="AT349" s="101"/>
      <c r="AU349" s="101"/>
      <c r="AV349" s="101"/>
      <c r="AW349" s="101"/>
      <c r="AX349" s="32">
        <f>운전실적_원본!W349</f>
        <v>847</v>
      </c>
      <c r="AY349" s="198">
        <f>운전실적_원본!X349</f>
        <v>0</v>
      </c>
      <c r="AZ349" s="198">
        <f>운전실적_원본!Y349</f>
        <v>0</v>
      </c>
      <c r="BA349" s="198">
        <f>운전실적_원본!Z349</f>
        <v>0</v>
      </c>
      <c r="BB349" s="198">
        <f>운전실적_원본!AA349</f>
        <v>0</v>
      </c>
      <c r="BC349" s="198">
        <f>운전실적_원본!AB349</f>
        <v>847</v>
      </c>
      <c r="BD349" s="32">
        <f t="shared" si="1787"/>
        <v>47.055555555555557</v>
      </c>
      <c r="BE349" s="11">
        <f t="shared" si="1795"/>
        <v>0.91565587771075219</v>
      </c>
      <c r="BF349" s="11">
        <f>운전실적_원본!AE349</f>
        <v>0</v>
      </c>
      <c r="BG349" s="31">
        <f t="shared" si="1788"/>
        <v>0</v>
      </c>
    </row>
    <row r="350" spans="1:59">
      <c r="A350" s="6">
        <f t="shared" si="1796"/>
        <v>46002</v>
      </c>
      <c r="B350" s="15">
        <f>운전실적_원본!B350</f>
        <v>568</v>
      </c>
      <c r="C350" s="16">
        <f t="shared" si="1632"/>
        <v>0</v>
      </c>
      <c r="D350" s="9">
        <f>운전실적_원본!C350</f>
        <v>246644</v>
      </c>
      <c r="E350" s="199">
        <f t="shared" si="1633"/>
        <v>115</v>
      </c>
      <c r="F350" s="9">
        <f>운전실적_원본!D350</f>
        <v>238956</v>
      </c>
      <c r="G350" s="16">
        <f t="shared" si="1634"/>
        <v>60</v>
      </c>
      <c r="H350" s="15">
        <f>운전실적_원본!E350</f>
        <v>16917.919999999998</v>
      </c>
      <c r="I350" s="16">
        <f t="shared" si="1635"/>
        <v>4.5799999999981083</v>
      </c>
      <c r="J350" s="15">
        <f>운전실적_원본!E350</f>
        <v>16917.919999999998</v>
      </c>
      <c r="K350" s="16">
        <f t="shared" si="1635"/>
        <v>4.5799999999981083</v>
      </c>
      <c r="L350" s="15">
        <f>운전실적_원본!G350</f>
        <v>4014.4</v>
      </c>
      <c r="M350" s="31">
        <f t="shared" ref="M350" si="1915">IF(OR(LEN(L350)=0,L350=0),"",L350-L349)</f>
        <v>0.90000000000009095</v>
      </c>
      <c r="N350" s="15">
        <f>운전실적_원본!H350</f>
        <v>30630</v>
      </c>
      <c r="O350" s="16">
        <f t="shared" ref="O350" si="1916">IF(OR(LEN(N350)=0,N350=0),"",N350-N349)</f>
        <v>117</v>
      </c>
      <c r="P350" s="15">
        <f>운전실적_원본!I350</f>
        <v>11437</v>
      </c>
      <c r="Q350" s="16">
        <f t="shared" ref="Q350" si="1917">IF(OR(LEN(P350)=0,P350=0),"",P350-P349)</f>
        <v>264</v>
      </c>
      <c r="R350" s="18">
        <f>운전실적_원본!J350</f>
        <v>33.409999999999997</v>
      </c>
      <c r="S350" s="19">
        <f t="shared" ref="S350" si="1918">IF(OR(LEN(R350)=0,R350=0),"",R350-R349)</f>
        <v>-0.18000000000000682</v>
      </c>
      <c r="T350" s="18">
        <f>운전실적_원본!K350</f>
        <v>32.94</v>
      </c>
      <c r="U350" s="19">
        <f t="shared" si="1640"/>
        <v>-3.9999999999999147E-2</v>
      </c>
      <c r="V350" s="12">
        <f>운전실적_원본!L350</f>
        <v>8638</v>
      </c>
      <c r="W350" s="16">
        <f t="shared" ref="W350" si="1919">IF(OR(LEN(V350)=0,V350=0),"",V350-V349)</f>
        <v>3823</v>
      </c>
      <c r="X350" s="10">
        <f>운전실적_원본!M350</f>
        <v>160763.66000000387</v>
      </c>
      <c r="Y350" s="10">
        <f>운전실적_원본!N350</f>
        <v>0</v>
      </c>
      <c r="Z350" s="10">
        <f>운전실적_원본!O350</f>
        <v>0</v>
      </c>
      <c r="AA350" s="10">
        <f>운전실적_원본!P350</f>
        <v>0</v>
      </c>
      <c r="AB350" s="10">
        <f>운전실적_원본!Q350</f>
        <v>0</v>
      </c>
      <c r="AC350" s="10">
        <f>운전실적_원본!R350</f>
        <v>0</v>
      </c>
      <c r="AD350" s="181">
        <f>운전실적_원본!S350</f>
        <v>21</v>
      </c>
      <c r="AE350" s="181">
        <f>운전실적_원본!T350</f>
        <v>0</v>
      </c>
      <c r="AF350" s="181">
        <f>운전실적_원본!U350</f>
        <v>0</v>
      </c>
      <c r="AG350" s="181">
        <f>운전실적_원본!V350</f>
        <v>0</v>
      </c>
      <c r="AH350" s="106">
        <f t="shared" si="1794"/>
        <v>21</v>
      </c>
      <c r="AI350" s="107">
        <f t="shared" si="1802"/>
        <v>0</v>
      </c>
      <c r="AJ350" s="107">
        <f t="shared" si="1803"/>
        <v>0</v>
      </c>
      <c r="AK350" s="204">
        <f t="shared" si="1804"/>
        <v>0</v>
      </c>
      <c r="AL350" s="103">
        <v>46002</v>
      </c>
      <c r="AM350" s="103">
        <v>46002.083333333336</v>
      </c>
      <c r="AN350" s="103">
        <v>46002.208333333336</v>
      </c>
      <c r="AO350" s="103">
        <v>46003</v>
      </c>
      <c r="AP350" s="103"/>
      <c r="AQ350" s="105"/>
      <c r="AR350" s="103"/>
      <c r="AS350" s="103"/>
      <c r="AT350" s="101"/>
      <c r="AU350" s="101"/>
      <c r="AV350" s="101"/>
      <c r="AW350" s="101"/>
      <c r="AX350" s="32">
        <f>운전실적_원본!W350</f>
        <v>991</v>
      </c>
      <c r="AY350" s="198">
        <f>운전실적_원본!X350</f>
        <v>0</v>
      </c>
      <c r="AZ350" s="198">
        <f>운전실적_원본!Y350</f>
        <v>0</v>
      </c>
      <c r="BA350" s="198">
        <f>운전실적_원본!Z350</f>
        <v>0</v>
      </c>
      <c r="BB350" s="198">
        <f>운전실적_원본!AA350</f>
        <v>0</v>
      </c>
      <c r="BC350" s="198">
        <f>운전실적_원본!AB350</f>
        <v>991</v>
      </c>
      <c r="BD350" s="32">
        <f t="shared" si="1787"/>
        <v>47.19047619047619</v>
      </c>
      <c r="BE350" s="11">
        <f t="shared" si="1795"/>
        <v>0.91828130357027027</v>
      </c>
      <c r="BF350" s="11">
        <f>운전실적_원본!AE350</f>
        <v>0</v>
      </c>
      <c r="BG350" s="31">
        <f t="shared" si="1788"/>
        <v>0</v>
      </c>
    </row>
    <row r="351" spans="1:59">
      <c r="A351" s="6">
        <f t="shared" si="1796"/>
        <v>46003</v>
      </c>
      <c r="B351" s="15">
        <f>운전실적_원본!B351</f>
        <v>568</v>
      </c>
      <c r="C351" s="16">
        <f t="shared" si="1632"/>
        <v>0</v>
      </c>
      <c r="D351" s="9">
        <f>운전실적_원본!C351</f>
        <v>246680</v>
      </c>
      <c r="E351" s="199">
        <f t="shared" si="1633"/>
        <v>36</v>
      </c>
      <c r="F351" s="9">
        <f>운전실적_원본!D351</f>
        <v>238968</v>
      </c>
      <c r="G351" s="16">
        <f t="shared" si="1634"/>
        <v>12</v>
      </c>
      <c r="H351" s="15">
        <f>운전실적_원본!E351</f>
        <v>16923.55</v>
      </c>
      <c r="I351" s="16">
        <f t="shared" si="1635"/>
        <v>5.6300000000010186</v>
      </c>
      <c r="J351" s="15">
        <f>운전실적_원본!E351</f>
        <v>16923.55</v>
      </c>
      <c r="K351" s="16">
        <f t="shared" si="1635"/>
        <v>5.6300000000010186</v>
      </c>
      <c r="L351" s="15">
        <f>운전실적_원본!G351</f>
        <v>4015.1</v>
      </c>
      <c r="M351" s="31">
        <f t="shared" ref="M351" si="1920">IF(OR(LEN(L351)=0,L351=0),"",L351-L350)</f>
        <v>0.6999999999998181</v>
      </c>
      <c r="N351" s="15">
        <f>운전실적_원본!H351</f>
        <v>30705</v>
      </c>
      <c r="O351" s="16">
        <f t="shared" ref="O351" si="1921">IF(OR(LEN(N351)=0,N351=0),"",N351-N350)</f>
        <v>75</v>
      </c>
      <c r="P351" s="15">
        <f>운전실적_원본!I351</f>
        <v>11553</v>
      </c>
      <c r="Q351" s="16">
        <f t="shared" ref="Q351" si="1922">IF(OR(LEN(P351)=0,P351=0),"",P351-P350)</f>
        <v>116</v>
      </c>
      <c r="R351" s="18">
        <f>운전실적_원본!J351</f>
        <v>33.81</v>
      </c>
      <c r="S351" s="19">
        <f t="shared" ref="S351" si="1923">IF(OR(LEN(R351)=0,R351=0),"",R351-R350)</f>
        <v>0.40000000000000568</v>
      </c>
      <c r="T351" s="18">
        <f>운전실적_원본!K351</f>
        <v>33.06</v>
      </c>
      <c r="U351" s="19">
        <f t="shared" si="1640"/>
        <v>0.12000000000000455</v>
      </c>
      <c r="V351" s="12">
        <f>운전실적_원본!L351</f>
        <v>8444</v>
      </c>
      <c r="W351" s="16">
        <f t="shared" ref="W351" si="1924">IF(OR(LEN(V351)=0,V351=0),"",V351-V350)</f>
        <v>-194</v>
      </c>
      <c r="X351" s="10">
        <f>운전실적_원본!M351</f>
        <v>143627.8599999994</v>
      </c>
      <c r="Y351" s="10">
        <f>운전실적_원본!N351</f>
        <v>0</v>
      </c>
      <c r="Z351" s="10">
        <f>운전실적_원본!O351</f>
        <v>0</v>
      </c>
      <c r="AA351" s="10">
        <f>운전실적_원본!P351</f>
        <v>0</v>
      </c>
      <c r="AB351" s="10">
        <f>운전실적_원본!Q351</f>
        <v>0</v>
      </c>
      <c r="AC351" s="10">
        <f>운전실적_원본!R351</f>
        <v>0</v>
      </c>
      <c r="AD351" s="181">
        <f>운전실적_원본!S351</f>
        <v>18</v>
      </c>
      <c r="AE351" s="181">
        <f>운전실적_원본!T351</f>
        <v>0</v>
      </c>
      <c r="AF351" s="181">
        <f>운전실적_원본!U351</f>
        <v>0</v>
      </c>
      <c r="AG351" s="181">
        <f>운전실적_원본!V351</f>
        <v>0</v>
      </c>
      <c r="AH351" s="106">
        <f t="shared" si="1794"/>
        <v>19.333333333313931</v>
      </c>
      <c r="AI351" s="107">
        <f t="shared" si="1802"/>
        <v>0</v>
      </c>
      <c r="AJ351" s="107">
        <f t="shared" si="1803"/>
        <v>0</v>
      </c>
      <c r="AK351" s="204">
        <f t="shared" si="1804"/>
        <v>0</v>
      </c>
      <c r="AL351" s="103">
        <v>46003</v>
      </c>
      <c r="AM351" s="103">
        <v>46003.041666666664</v>
      </c>
      <c r="AN351" s="103">
        <v>46003.236111111109</v>
      </c>
      <c r="AO351" s="103">
        <v>46004</v>
      </c>
      <c r="AP351" s="103"/>
      <c r="AQ351" s="105"/>
      <c r="AR351" s="103"/>
      <c r="AS351" s="103"/>
      <c r="AT351" s="101"/>
      <c r="AU351" s="101"/>
      <c r="AV351" s="101"/>
      <c r="AW351" s="101"/>
      <c r="AX351" s="32">
        <f>운전실적_원본!W351</f>
        <v>907</v>
      </c>
      <c r="AY351" s="198">
        <f>운전실적_원본!X351</f>
        <v>0</v>
      </c>
      <c r="AZ351" s="198">
        <f>운전실적_원본!Y351</f>
        <v>0</v>
      </c>
      <c r="BA351" s="198">
        <f>운전실적_원본!Z351</f>
        <v>0</v>
      </c>
      <c r="BB351" s="198">
        <f>운전실적_원본!AA351</f>
        <v>0</v>
      </c>
      <c r="BC351" s="198">
        <f>운전실적_원본!AB351</f>
        <v>907</v>
      </c>
      <c r="BD351" s="32">
        <f t="shared" si="1787"/>
        <v>50.388888888888886</v>
      </c>
      <c r="BE351" s="11">
        <f t="shared" si="1795"/>
        <v>0.98051934012237563</v>
      </c>
      <c r="BF351" s="11">
        <f>운전실적_원본!AE351</f>
        <v>0</v>
      </c>
      <c r="BG351" s="31">
        <f t="shared" si="1788"/>
        <v>0</v>
      </c>
    </row>
    <row r="352" spans="1:59">
      <c r="A352" s="6">
        <f t="shared" si="1796"/>
        <v>46004</v>
      </c>
      <c r="B352" s="15">
        <f>운전실적_원본!B352</f>
        <v>568</v>
      </c>
      <c r="C352" s="16">
        <f t="shared" si="1632"/>
        <v>0</v>
      </c>
      <c r="D352" s="9">
        <f>운전실적_원본!C352</f>
        <v>246680</v>
      </c>
      <c r="E352" s="199">
        <f t="shared" si="1633"/>
        <v>0</v>
      </c>
      <c r="F352" s="9">
        <f>운전실적_원본!D352</f>
        <v>238993</v>
      </c>
      <c r="G352" s="16">
        <f t="shared" si="1634"/>
        <v>25</v>
      </c>
      <c r="H352" s="15">
        <f>운전실적_원본!E352</f>
        <v>16926.75</v>
      </c>
      <c r="I352" s="16">
        <f t="shared" si="1635"/>
        <v>3.2000000000007276</v>
      </c>
      <c r="J352" s="15">
        <f>운전실적_원본!E352</f>
        <v>16926.75</v>
      </c>
      <c r="K352" s="16">
        <f t="shared" si="1635"/>
        <v>3.2000000000007276</v>
      </c>
      <c r="L352" s="15">
        <f>운전실적_원본!G352</f>
        <v>4015.7</v>
      </c>
      <c r="M352" s="31">
        <f t="shared" ref="M352" si="1925">IF(OR(LEN(L352)=0,L352=0),"",L352-L351)</f>
        <v>0.59999999999990905</v>
      </c>
      <c r="N352" s="15">
        <f>운전실적_원본!H352</f>
        <v>30752</v>
      </c>
      <c r="O352" s="16">
        <f t="shared" ref="O352" si="1926">IF(OR(LEN(N352)=0,N352=0),"",N352-N351)</f>
        <v>47</v>
      </c>
      <c r="P352" s="15">
        <f>운전실적_원본!I352</f>
        <v>11622</v>
      </c>
      <c r="Q352" s="16">
        <f t="shared" ref="Q352" si="1927">IF(OR(LEN(P352)=0,P352=0),"",P352-P351)</f>
        <v>69</v>
      </c>
      <c r="R352" s="18">
        <f>운전실적_원본!J352</f>
        <v>33.67</v>
      </c>
      <c r="S352" s="19">
        <f t="shared" ref="S352" si="1928">IF(OR(LEN(R352)=0,R352=0),"",R352-R351)</f>
        <v>-0.14000000000000057</v>
      </c>
      <c r="T352" s="18">
        <f>운전실적_원본!K352</f>
        <v>33.03</v>
      </c>
      <c r="U352" s="19">
        <f t="shared" si="1640"/>
        <v>-3.0000000000001137E-2</v>
      </c>
      <c r="V352" s="12">
        <f>운전실적_원본!L352</f>
        <v>8171</v>
      </c>
      <c r="W352" s="16">
        <f t="shared" ref="W352" si="1929">IF(OR(LEN(V352)=0,V352=0),"",V352-V351)</f>
        <v>-273</v>
      </c>
      <c r="X352" s="10">
        <f>운전실적_원본!M352</f>
        <v>69954.85000000149</v>
      </c>
      <c r="Y352" s="10">
        <f>운전실적_원본!N352</f>
        <v>0</v>
      </c>
      <c r="Z352" s="10">
        <f>운전실적_원본!O352</f>
        <v>0</v>
      </c>
      <c r="AA352" s="10">
        <f>운전실적_원본!P352</f>
        <v>0</v>
      </c>
      <c r="AB352" s="10">
        <f>운전실적_원본!Q352</f>
        <v>0</v>
      </c>
      <c r="AC352" s="10">
        <f>운전실적_원본!R352</f>
        <v>0</v>
      </c>
      <c r="AD352" s="181">
        <f>운전실적_원본!S352</f>
        <v>11</v>
      </c>
      <c r="AE352" s="181">
        <f>운전실적_원본!T352</f>
        <v>0</v>
      </c>
      <c r="AF352" s="181">
        <f>운전실적_원본!U352</f>
        <v>0</v>
      </c>
      <c r="AG352" s="181">
        <f>운전실적_원본!V352</f>
        <v>0</v>
      </c>
      <c r="AH352" s="106">
        <f t="shared" si="1794"/>
        <v>10.666666666686069</v>
      </c>
      <c r="AI352" s="107">
        <f t="shared" si="1802"/>
        <v>0</v>
      </c>
      <c r="AJ352" s="107">
        <f t="shared" si="1803"/>
        <v>0</v>
      </c>
      <c r="AK352" s="204">
        <f t="shared" si="1804"/>
        <v>0</v>
      </c>
      <c r="AL352" s="103">
        <v>46004</v>
      </c>
      <c r="AM352" s="103">
        <v>46004.020833333336</v>
      </c>
      <c r="AN352" s="103">
        <v>46004.576388888891</v>
      </c>
      <c r="AO352" s="103">
        <v>46005</v>
      </c>
      <c r="AP352" s="103"/>
      <c r="AQ352" s="105"/>
      <c r="AR352" s="103"/>
      <c r="AS352" s="103"/>
      <c r="AT352" s="101"/>
      <c r="AU352" s="101"/>
      <c r="AV352" s="101"/>
      <c r="AW352" s="101"/>
      <c r="AX352" s="32">
        <f>운전실적_원본!W352</f>
        <v>446</v>
      </c>
      <c r="AY352" s="198">
        <f>운전실적_원본!X352</f>
        <v>0</v>
      </c>
      <c r="AZ352" s="198">
        <f>운전실적_원본!Y352</f>
        <v>0</v>
      </c>
      <c r="BA352" s="198">
        <f>운전실적_원본!Z352</f>
        <v>0</v>
      </c>
      <c r="BB352" s="198">
        <f>운전실적_원본!AA352</f>
        <v>0</v>
      </c>
      <c r="BC352" s="198">
        <f>운전실적_원본!AB352</f>
        <v>446</v>
      </c>
      <c r="BD352" s="32">
        <f t="shared" si="1787"/>
        <v>40.545454545454547</v>
      </c>
      <c r="BE352" s="11">
        <f t="shared" si="1795"/>
        <v>0.78897557006138441</v>
      </c>
      <c r="BF352" s="11">
        <f>운전실적_원본!AE352</f>
        <v>0</v>
      </c>
      <c r="BG352" s="31">
        <f t="shared" si="1788"/>
        <v>0</v>
      </c>
    </row>
    <row r="353" spans="1:59">
      <c r="A353" s="6">
        <f t="shared" si="1796"/>
        <v>46005</v>
      </c>
      <c r="B353" s="15">
        <f>운전실적_원본!B353</f>
        <v>568</v>
      </c>
      <c r="C353" s="16">
        <f t="shared" si="1632"/>
        <v>0</v>
      </c>
      <c r="D353" s="9">
        <f>운전실적_원본!C353</f>
        <v>246680</v>
      </c>
      <c r="E353" s="199">
        <f t="shared" si="1633"/>
        <v>0</v>
      </c>
      <c r="F353" s="9">
        <f>운전실적_원본!D353</f>
        <v>239094</v>
      </c>
      <c r="G353" s="16">
        <f t="shared" si="1634"/>
        <v>101</v>
      </c>
      <c r="H353" s="15">
        <f>운전실적_원본!E353</f>
        <v>16929.59</v>
      </c>
      <c r="I353" s="16">
        <f t="shared" si="1635"/>
        <v>2.8400000000001455</v>
      </c>
      <c r="J353" s="15">
        <f>운전실적_원본!E353</f>
        <v>16929.59</v>
      </c>
      <c r="K353" s="16">
        <f t="shared" si="1635"/>
        <v>2.8400000000001455</v>
      </c>
      <c r="L353" s="15">
        <f>운전실적_원본!G353</f>
        <v>4016.7</v>
      </c>
      <c r="M353" s="31">
        <f t="shared" ref="M353" si="1930">IF(OR(LEN(L353)=0,L353=0),"",L353-L352)</f>
        <v>1</v>
      </c>
      <c r="N353" s="15">
        <f>운전실적_원본!H353</f>
        <v>30905</v>
      </c>
      <c r="O353" s="16">
        <f t="shared" ref="O353" si="1931">IF(OR(LEN(N353)=0,N353=0),"",N353-N352)</f>
        <v>153</v>
      </c>
      <c r="P353" s="15">
        <f>운전실적_원본!I353</f>
        <v>11826</v>
      </c>
      <c r="Q353" s="16">
        <f t="shared" ref="Q353" si="1932">IF(OR(LEN(P353)=0,P353=0),"",P353-P352)</f>
        <v>204</v>
      </c>
      <c r="R353" s="18">
        <f>운전실적_원본!J353</f>
        <v>33.46</v>
      </c>
      <c r="S353" s="19">
        <f t="shared" ref="S353" si="1933">IF(OR(LEN(R353)=0,R353=0),"",R353-R352)</f>
        <v>-0.21000000000000085</v>
      </c>
      <c r="T353" s="18">
        <f>운전실적_원본!K353</f>
        <v>32.97</v>
      </c>
      <c r="U353" s="19">
        <f t="shared" si="1640"/>
        <v>-6.0000000000002274E-2</v>
      </c>
      <c r="V353" s="12">
        <f>운전실적_원본!L353</f>
        <v>8515</v>
      </c>
      <c r="W353" s="16">
        <f t="shared" ref="W353" si="1934">IF(OR(LEN(V353)=0,V353=0),"",V353-V352)</f>
        <v>344</v>
      </c>
      <c r="X353" s="10">
        <f>운전실적_원본!M353</f>
        <v>70998.609999999404</v>
      </c>
      <c r="Y353" s="10">
        <f>운전실적_원본!N353</f>
        <v>0</v>
      </c>
      <c r="Z353" s="10">
        <f>운전실적_원본!O353</f>
        <v>0</v>
      </c>
      <c r="AA353" s="10">
        <f>운전실적_원본!P353</f>
        <v>0</v>
      </c>
      <c r="AB353" s="10">
        <f>운전실적_원본!Q353</f>
        <v>0</v>
      </c>
      <c r="AC353" s="10">
        <f>운전실적_원본!R353</f>
        <v>0</v>
      </c>
      <c r="AD353" s="181">
        <f>운전실적_원본!S353</f>
        <v>10</v>
      </c>
      <c r="AE353" s="181">
        <f>운전실적_원본!T353</f>
        <v>0</v>
      </c>
      <c r="AF353" s="181">
        <f>운전실적_원본!U353</f>
        <v>0</v>
      </c>
      <c r="AG353" s="181">
        <f>운전실적_원본!V353</f>
        <v>0</v>
      </c>
      <c r="AH353" s="106">
        <f t="shared" si="1794"/>
        <v>11.166666666569654</v>
      </c>
      <c r="AI353" s="107">
        <f t="shared" si="1802"/>
        <v>0</v>
      </c>
      <c r="AJ353" s="107">
        <f t="shared" si="1803"/>
        <v>0</v>
      </c>
      <c r="AK353" s="204">
        <f t="shared" si="1804"/>
        <v>0</v>
      </c>
      <c r="AL353" s="103">
        <v>46005</v>
      </c>
      <c r="AM353" s="103">
        <v>46005.041666666664</v>
      </c>
      <c r="AN353" s="103">
        <v>46005.576388888891</v>
      </c>
      <c r="AO353" s="103">
        <v>46006</v>
      </c>
      <c r="AP353" s="103"/>
      <c r="AQ353" s="105"/>
      <c r="AR353" s="103"/>
      <c r="AS353" s="103"/>
      <c r="AT353" s="101"/>
      <c r="AU353" s="101"/>
      <c r="AV353" s="101"/>
      <c r="AW353" s="101"/>
      <c r="AX353" s="32">
        <f>운전실적_원본!W353</f>
        <v>448</v>
      </c>
      <c r="AY353" s="198">
        <f>운전실적_원본!X353</f>
        <v>0</v>
      </c>
      <c r="AZ353" s="198">
        <f>운전실적_원본!Y353</f>
        <v>0</v>
      </c>
      <c r="BA353" s="198">
        <f>운전실적_원본!Z353</f>
        <v>0</v>
      </c>
      <c r="BB353" s="198">
        <f>운전실적_원본!AA353</f>
        <v>0</v>
      </c>
      <c r="BC353" s="198">
        <f>운전실적_원본!AB353</f>
        <v>448</v>
      </c>
      <c r="BD353" s="32">
        <f t="shared" si="1787"/>
        <v>44.8</v>
      </c>
      <c r="BE353" s="11">
        <f t="shared" si="1795"/>
        <v>0.87176493481222017</v>
      </c>
      <c r="BF353" s="11">
        <f>운전실적_원본!AE353</f>
        <v>0</v>
      </c>
      <c r="BG353" s="31">
        <f t="shared" si="1788"/>
        <v>0</v>
      </c>
    </row>
    <row r="354" spans="1:59">
      <c r="A354" s="6">
        <f t="shared" si="1796"/>
        <v>46006</v>
      </c>
      <c r="B354" s="15">
        <f>운전실적_원본!B354</f>
        <v>593.4</v>
      </c>
      <c r="C354" s="16">
        <f t="shared" si="1632"/>
        <v>25.399999999999977</v>
      </c>
      <c r="D354" s="9">
        <f>운전실적_원본!C354</f>
        <v>246782</v>
      </c>
      <c r="E354" s="199">
        <f t="shared" si="1633"/>
        <v>102</v>
      </c>
      <c r="F354" s="9">
        <f>운전실적_원본!D354</f>
        <v>239128</v>
      </c>
      <c r="G354" s="16">
        <f t="shared" si="1634"/>
        <v>34</v>
      </c>
      <c r="H354" s="15">
        <f>운전실적_원본!E354</f>
        <v>16935.66</v>
      </c>
      <c r="I354" s="16">
        <f t="shared" si="1635"/>
        <v>6.069999999999709</v>
      </c>
      <c r="J354" s="15">
        <f>운전실적_원본!E354</f>
        <v>16935.66</v>
      </c>
      <c r="K354" s="16">
        <f t="shared" si="1635"/>
        <v>6.069999999999709</v>
      </c>
      <c r="L354" s="15">
        <f>운전실적_원본!G354</f>
        <v>4017.5</v>
      </c>
      <c r="M354" s="31">
        <f t="shared" ref="M354" si="1935">IF(OR(LEN(L354)=0,L354=0),"",L354-L353)</f>
        <v>0.8000000000001819</v>
      </c>
      <c r="N354" s="15">
        <f>운전실적_원본!H354</f>
        <v>30905</v>
      </c>
      <c r="O354" s="16">
        <f t="shared" ref="O354" si="1936">IF(OR(LEN(N354)=0,N354=0),"",N354-N353)</f>
        <v>0</v>
      </c>
      <c r="P354" s="15">
        <f>운전실적_원본!I354</f>
        <v>12249</v>
      </c>
      <c r="Q354" s="16">
        <f t="shared" ref="Q354" si="1937">IF(OR(LEN(P354)=0,P354=0),"",P354-P353)</f>
        <v>423</v>
      </c>
      <c r="R354" s="18">
        <f>운전실적_원본!J354</f>
        <v>33.17</v>
      </c>
      <c r="S354" s="19">
        <f t="shared" ref="S354" si="1938">IF(OR(LEN(R354)=0,R354=0),"",R354-R353)</f>
        <v>-0.28999999999999915</v>
      </c>
      <c r="T354" s="18">
        <f>운전실적_원본!K354</f>
        <v>33.049999999999997</v>
      </c>
      <c r="U354" s="19">
        <f t="shared" si="1640"/>
        <v>7.9999999999998295E-2</v>
      </c>
      <c r="V354" s="12">
        <f>운전실적_원본!L354</f>
        <v>8598</v>
      </c>
      <c r="W354" s="16">
        <f t="shared" ref="W354" si="1939">IF(OR(LEN(V354)=0,V354=0),"",V354-V353)</f>
        <v>83</v>
      </c>
      <c r="X354" s="10">
        <f>운전실적_원본!M354</f>
        <v>140383.18999999762</v>
      </c>
      <c r="Y354" s="10">
        <f>운전실적_원본!N354</f>
        <v>0</v>
      </c>
      <c r="Z354" s="10">
        <f>운전실적_원본!O354</f>
        <v>0</v>
      </c>
      <c r="AA354" s="10">
        <f>운전실적_원본!P354</f>
        <v>0</v>
      </c>
      <c r="AB354" s="10">
        <f>운전실적_원본!Q354</f>
        <v>0</v>
      </c>
      <c r="AC354" s="10">
        <f>운전실적_원본!R354</f>
        <v>0</v>
      </c>
      <c r="AD354" s="181">
        <f>운전실적_원본!S354</f>
        <v>19</v>
      </c>
      <c r="AE354" s="181">
        <f>운전실적_원본!T354</f>
        <v>0</v>
      </c>
      <c r="AF354" s="181">
        <f>운전실적_원본!U354</f>
        <v>0</v>
      </c>
      <c r="AG354" s="181">
        <f>운전실적_원본!V354</f>
        <v>0</v>
      </c>
      <c r="AH354" s="106">
        <f t="shared" si="1794"/>
        <v>18.583333333313931</v>
      </c>
      <c r="AI354" s="107">
        <f t="shared" si="1802"/>
        <v>0</v>
      </c>
      <c r="AJ354" s="107">
        <f t="shared" si="1803"/>
        <v>0</v>
      </c>
      <c r="AK354" s="204">
        <f t="shared" si="1804"/>
        <v>0</v>
      </c>
      <c r="AL354" s="103">
        <v>46006.225694444445</v>
      </c>
      <c r="AM354" s="103">
        <v>46007</v>
      </c>
      <c r="AN354" s="103"/>
      <c r="AO354" s="103"/>
      <c r="AP354" s="103"/>
      <c r="AQ354" s="105"/>
      <c r="AR354" s="103"/>
      <c r="AS354" s="103"/>
      <c r="AT354" s="101"/>
      <c r="AU354" s="101"/>
      <c r="AV354" s="101"/>
      <c r="AW354" s="101"/>
      <c r="AX354" s="32">
        <f>운전실적_원본!W354</f>
        <v>887</v>
      </c>
      <c r="AY354" s="198">
        <f>운전실적_원본!X354</f>
        <v>0</v>
      </c>
      <c r="AZ354" s="198">
        <f>운전실적_원본!Y354</f>
        <v>0</v>
      </c>
      <c r="BA354" s="198">
        <f>운전실적_원본!Z354</f>
        <v>0</v>
      </c>
      <c r="BB354" s="198">
        <f>운전실적_원본!AA354</f>
        <v>0</v>
      </c>
      <c r="BC354" s="198">
        <f>운전실적_원본!AB354</f>
        <v>887</v>
      </c>
      <c r="BD354" s="32">
        <f t="shared" si="1787"/>
        <v>46.684210526315788</v>
      </c>
      <c r="BE354" s="11">
        <f t="shared" si="1795"/>
        <v>0.90842986040700113</v>
      </c>
      <c r="BF354" s="11">
        <f>운전실적_원본!AE354</f>
        <v>0</v>
      </c>
      <c r="BG354" s="31">
        <f t="shared" si="1788"/>
        <v>0</v>
      </c>
    </row>
    <row r="355" spans="1:59">
      <c r="A355" s="6">
        <f t="shared" si="1796"/>
        <v>46007</v>
      </c>
      <c r="B355" s="15">
        <f>운전실적_원본!B355</f>
        <v>593.4</v>
      </c>
      <c r="C355" s="16">
        <f t="shared" si="1632"/>
        <v>0</v>
      </c>
      <c r="D355" s="9">
        <f>운전실적_원본!C355</f>
        <v>246827</v>
      </c>
      <c r="E355" s="199">
        <f t="shared" si="1633"/>
        <v>45</v>
      </c>
      <c r="F355" s="9">
        <f>운전실적_원본!D355</f>
        <v>239202</v>
      </c>
      <c r="G355" s="16">
        <f t="shared" si="1634"/>
        <v>74</v>
      </c>
      <c r="H355" s="15">
        <f>운전실적_원본!E355</f>
        <v>16940.93</v>
      </c>
      <c r="I355" s="16">
        <f t="shared" si="1635"/>
        <v>5.2700000000004366</v>
      </c>
      <c r="J355" s="15">
        <f>운전실적_원본!E355</f>
        <v>16940.93</v>
      </c>
      <c r="K355" s="16">
        <f t="shared" si="1635"/>
        <v>5.2700000000004366</v>
      </c>
      <c r="L355" s="15">
        <f>운전실적_원본!G355</f>
        <v>4018.7</v>
      </c>
      <c r="M355" s="31">
        <f t="shared" ref="M355" si="1940">IF(OR(LEN(L355)=0,L355=0),"",L355-L354)</f>
        <v>1.1999999999998181</v>
      </c>
      <c r="N355" s="15">
        <f>운전실적_원본!H355</f>
        <v>31100</v>
      </c>
      <c r="O355" s="16">
        <f t="shared" ref="O355" si="1941">IF(OR(LEN(N355)=0,N355=0),"",N355-N354)</f>
        <v>195</v>
      </c>
      <c r="P355" s="15">
        <f>운전실적_원본!I355</f>
        <v>12037</v>
      </c>
      <c r="Q355" s="16">
        <f t="shared" ref="Q355" si="1942">IF(OR(LEN(P355)=0,P355=0),"",P355-P354)</f>
        <v>-212</v>
      </c>
      <c r="R355" s="18">
        <f>운전실적_원본!J355</f>
        <v>33.56</v>
      </c>
      <c r="S355" s="19">
        <f t="shared" ref="S355" si="1943">IF(OR(LEN(R355)=0,R355=0),"",R355-R354)</f>
        <v>0.39000000000000057</v>
      </c>
      <c r="T355" s="18">
        <f>운전실적_원본!K355</f>
        <v>33.049999999999997</v>
      </c>
      <c r="U355" s="19">
        <f t="shared" si="1640"/>
        <v>0</v>
      </c>
      <c r="V355" s="12">
        <f>운전실적_원본!L355</f>
        <v>8526</v>
      </c>
      <c r="W355" s="16">
        <f t="shared" ref="W355" si="1944">IF(OR(LEN(V355)=0,V355=0),"",V355-V354)</f>
        <v>-72</v>
      </c>
      <c r="X355" s="10">
        <f>운전실적_원본!M355</f>
        <v>178242.17000000179</v>
      </c>
      <c r="Y355" s="10">
        <f>운전실적_원본!N355</f>
        <v>0</v>
      </c>
      <c r="Z355" s="10">
        <f>운전실적_원본!O355</f>
        <v>0</v>
      </c>
      <c r="AA355" s="10">
        <f>운전실적_원본!P355</f>
        <v>0</v>
      </c>
      <c r="AB355" s="10">
        <f>운전실적_원본!Q355</f>
        <v>0</v>
      </c>
      <c r="AC355" s="10">
        <f>운전실적_원본!R355</f>
        <v>0</v>
      </c>
      <c r="AD355" s="181">
        <f>운전실적_원본!S355</f>
        <v>24</v>
      </c>
      <c r="AE355" s="181">
        <f>운전실적_원본!T355</f>
        <v>0</v>
      </c>
      <c r="AF355" s="181">
        <f>운전실적_원본!U355</f>
        <v>0</v>
      </c>
      <c r="AG355" s="181">
        <f>운전실적_원본!V355</f>
        <v>0</v>
      </c>
      <c r="AH355" s="106">
        <f t="shared" si="1794"/>
        <v>24</v>
      </c>
      <c r="AI355" s="107">
        <f t="shared" si="1802"/>
        <v>0</v>
      </c>
      <c r="AJ355" s="107">
        <f t="shared" si="1803"/>
        <v>0</v>
      </c>
      <c r="AK355" s="204">
        <f t="shared" si="1804"/>
        <v>0</v>
      </c>
      <c r="AL355" s="103">
        <v>46007</v>
      </c>
      <c r="AM355" s="103">
        <v>46008</v>
      </c>
      <c r="AN355" s="103"/>
      <c r="AO355" s="103"/>
      <c r="AP355" s="103"/>
      <c r="AQ355" s="105"/>
      <c r="AR355" s="103"/>
      <c r="AS355" s="103"/>
      <c r="AT355" s="101"/>
      <c r="AU355" s="101"/>
      <c r="AV355" s="101"/>
      <c r="AW355" s="101"/>
      <c r="AX355" s="32">
        <f>운전실적_원본!W355</f>
        <v>1135</v>
      </c>
      <c r="AY355" s="198">
        <f>운전실적_원본!X355</f>
        <v>0</v>
      </c>
      <c r="AZ355" s="198">
        <f>운전실적_원본!Y355</f>
        <v>0</v>
      </c>
      <c r="BA355" s="198">
        <f>운전실적_원본!Z355</f>
        <v>0</v>
      </c>
      <c r="BB355" s="198">
        <f>운전실적_원본!AA355</f>
        <v>0</v>
      </c>
      <c r="BC355" s="198">
        <f>운전실적_원본!AB355</f>
        <v>1135</v>
      </c>
      <c r="BD355" s="32">
        <f t="shared" si="1787"/>
        <v>47.291666666666664</v>
      </c>
      <c r="BE355" s="11">
        <f t="shared" si="1795"/>
        <v>0.92025037296490886</v>
      </c>
      <c r="BF355" s="11">
        <f>운전실적_원본!AE355</f>
        <v>0</v>
      </c>
      <c r="BG355" s="31">
        <f t="shared" si="1788"/>
        <v>0</v>
      </c>
    </row>
    <row r="356" spans="1:59">
      <c r="A356" s="6">
        <f t="shared" si="1796"/>
        <v>46008</v>
      </c>
      <c r="B356" s="15">
        <f>운전실적_원본!B356</f>
        <v>616.29999999999995</v>
      </c>
      <c r="C356" s="16">
        <f t="shared" si="1632"/>
        <v>22.899999999999977</v>
      </c>
      <c r="D356" s="9">
        <f>운전실적_원본!C356</f>
        <v>246896</v>
      </c>
      <c r="E356" s="199">
        <f t="shared" si="1633"/>
        <v>69</v>
      </c>
      <c r="F356" s="9">
        <f>운전실적_원본!D356</f>
        <v>239202</v>
      </c>
      <c r="G356" s="16">
        <f t="shared" si="1634"/>
        <v>0</v>
      </c>
      <c r="H356" s="15">
        <f>운전실적_원본!E356</f>
        <v>16945.29</v>
      </c>
      <c r="I356" s="16">
        <f t="shared" si="1635"/>
        <v>4.3600000000005821</v>
      </c>
      <c r="J356" s="15">
        <f>운전실적_원본!E356</f>
        <v>16945.29</v>
      </c>
      <c r="K356" s="16">
        <f t="shared" si="1635"/>
        <v>4.3600000000005821</v>
      </c>
      <c r="L356" s="15">
        <f>운전실적_원본!G356</f>
        <v>4019.8</v>
      </c>
      <c r="M356" s="31">
        <f t="shared" ref="M356" si="1945">IF(OR(LEN(L356)=0,L356=0),"",L356-L355)</f>
        <v>1.1000000000003638</v>
      </c>
      <c r="N356" s="15">
        <f>운전실적_원본!H356</f>
        <v>31206</v>
      </c>
      <c r="O356" s="16">
        <f t="shared" ref="O356" si="1946">IF(OR(LEN(N356)=0,N356=0),"",N356-N355)</f>
        <v>106</v>
      </c>
      <c r="P356" s="15">
        <f>운전실적_원본!I356</f>
        <v>12397</v>
      </c>
      <c r="Q356" s="16">
        <f t="shared" ref="Q356" si="1947">IF(OR(LEN(P356)=0,P356=0),"",P356-P355)</f>
        <v>360</v>
      </c>
      <c r="R356" s="18">
        <f>운전실적_원본!J356</f>
        <v>33.6</v>
      </c>
      <c r="S356" s="19">
        <f t="shared" ref="S356" si="1948">IF(OR(LEN(R356)=0,R356=0),"",R356-R355)</f>
        <v>3.9999999999999147E-2</v>
      </c>
      <c r="T356" s="18">
        <f>운전실적_원본!K356</f>
        <v>33.049999999999997</v>
      </c>
      <c r="U356" s="19">
        <f t="shared" si="1640"/>
        <v>0</v>
      </c>
      <c r="V356" s="12">
        <f>운전실적_원본!L356</f>
        <v>8158</v>
      </c>
      <c r="W356" s="16">
        <f t="shared" ref="W356" si="1949">IF(OR(LEN(V356)=0,V356=0),"",V356-V355)</f>
        <v>-368</v>
      </c>
      <c r="X356" s="10">
        <f>운전실적_원본!M356</f>
        <v>139779.90999999642</v>
      </c>
      <c r="Y356" s="10">
        <f>운전실적_원본!N356</f>
        <v>0</v>
      </c>
      <c r="Z356" s="10">
        <f>운전실적_원본!O356</f>
        <v>0</v>
      </c>
      <c r="AA356" s="10">
        <f>운전실적_원본!P356</f>
        <v>0</v>
      </c>
      <c r="AB356" s="10">
        <f>운전실적_원본!Q356</f>
        <v>0</v>
      </c>
      <c r="AC356" s="10">
        <f>운전실적_원본!R356</f>
        <v>0</v>
      </c>
      <c r="AD356" s="181">
        <f>운전실적_원본!S356</f>
        <v>19</v>
      </c>
      <c r="AE356" s="181">
        <f>운전실적_원본!T356</f>
        <v>0</v>
      </c>
      <c r="AF356" s="181">
        <f>운전실적_원본!U356</f>
        <v>0</v>
      </c>
      <c r="AG356" s="181">
        <f>운전실적_원본!V356</f>
        <v>0</v>
      </c>
      <c r="AH356" s="106">
        <f t="shared" si="1794"/>
        <v>18.500000000058208</v>
      </c>
      <c r="AI356" s="107">
        <f t="shared" si="1802"/>
        <v>0</v>
      </c>
      <c r="AJ356" s="107">
        <f t="shared" si="1803"/>
        <v>0</v>
      </c>
      <c r="AK356" s="204">
        <f t="shared" si="1804"/>
        <v>0</v>
      </c>
      <c r="AL356" s="103">
        <v>46008.229166666664</v>
      </c>
      <c r="AM356" s="103">
        <v>46009</v>
      </c>
      <c r="AN356" s="103"/>
      <c r="AO356" s="103"/>
      <c r="AP356" s="103"/>
      <c r="AQ356" s="105"/>
      <c r="AR356" s="103"/>
      <c r="AS356" s="103"/>
      <c r="AT356" s="101"/>
      <c r="AU356" s="101"/>
      <c r="AV356" s="101"/>
      <c r="AW356" s="101"/>
      <c r="AX356" s="32">
        <f>운전실적_원본!W356</f>
        <v>894</v>
      </c>
      <c r="AY356" s="198">
        <f>운전실적_원본!X356</f>
        <v>0</v>
      </c>
      <c r="AZ356" s="198">
        <f>운전실적_원본!Y356</f>
        <v>0</v>
      </c>
      <c r="BA356" s="198">
        <f>운전실적_원본!Z356</f>
        <v>0</v>
      </c>
      <c r="BB356" s="198">
        <f>운전실적_원본!AA356</f>
        <v>0</v>
      </c>
      <c r="BC356" s="198">
        <f>운전실적_원본!AB356</f>
        <v>894</v>
      </c>
      <c r="BD356" s="32">
        <f t="shared" si="1787"/>
        <v>47.05263157894737</v>
      </c>
      <c r="BE356" s="11">
        <f t="shared" si="1795"/>
        <v>0.91559897993670691</v>
      </c>
      <c r="BF356" s="11">
        <f>운전실적_원본!AE356</f>
        <v>0</v>
      </c>
      <c r="BG356" s="31">
        <f t="shared" si="1788"/>
        <v>0</v>
      </c>
    </row>
    <row r="357" spans="1:59">
      <c r="A357" s="6">
        <f t="shared" si="1796"/>
        <v>46009</v>
      </c>
      <c r="B357" s="15">
        <f>운전실적_원본!B357</f>
        <v>651.20000000000005</v>
      </c>
      <c r="C357" s="16">
        <f t="shared" si="1632"/>
        <v>34.900000000000091</v>
      </c>
      <c r="D357" s="9">
        <f>운전실적_원본!C357</f>
        <v>246982</v>
      </c>
      <c r="E357" s="199">
        <f t="shared" si="1633"/>
        <v>86</v>
      </c>
      <c r="F357" s="9">
        <f>운전실적_원본!D357</f>
        <v>239260</v>
      </c>
      <c r="G357" s="16">
        <f t="shared" si="1634"/>
        <v>58</v>
      </c>
      <c r="H357" s="15">
        <f>운전실적_원본!E357</f>
        <v>16949.62</v>
      </c>
      <c r="I357" s="16">
        <f t="shared" si="1635"/>
        <v>4.3299999999981083</v>
      </c>
      <c r="J357" s="15">
        <f>운전실적_원본!E357</f>
        <v>16949.62</v>
      </c>
      <c r="K357" s="16">
        <f t="shared" si="1635"/>
        <v>4.3299999999981083</v>
      </c>
      <c r="L357" s="15">
        <f>운전실적_원본!G357</f>
        <v>4020.8</v>
      </c>
      <c r="M357" s="31">
        <f t="shared" ref="M357" si="1950">IF(OR(LEN(L357)=0,L357=0),"",L357-L356)</f>
        <v>1</v>
      </c>
      <c r="N357" s="15">
        <f>운전실적_원본!H357</f>
        <v>31329</v>
      </c>
      <c r="O357" s="16">
        <f t="shared" ref="O357" si="1951">IF(OR(LEN(N357)=0,N357=0),"",N357-N356)</f>
        <v>123</v>
      </c>
      <c r="P357" s="15">
        <f>운전실적_원본!I357</f>
        <v>12598</v>
      </c>
      <c r="Q357" s="16">
        <f t="shared" ref="Q357" si="1952">IF(OR(LEN(P357)=0,P357=0),"",P357-P356)</f>
        <v>201</v>
      </c>
      <c r="R357" s="18">
        <f>운전실적_원본!J357</f>
        <v>33.6</v>
      </c>
      <c r="S357" s="19">
        <f t="shared" ref="S357" si="1953">IF(OR(LEN(R357)=0,R357=0),"",R357-R356)</f>
        <v>0</v>
      </c>
      <c r="T357" s="18">
        <f>운전실적_원본!K357</f>
        <v>33.159999999999997</v>
      </c>
      <c r="U357" s="19">
        <f t="shared" si="1640"/>
        <v>0.10999999999999943</v>
      </c>
      <c r="V357" s="12">
        <f>운전실적_원본!L357</f>
        <v>8077</v>
      </c>
      <c r="W357" s="16">
        <f t="shared" ref="W357" si="1954">IF(OR(LEN(V357)=0,V357=0),"",V357-V356)</f>
        <v>-81</v>
      </c>
      <c r="X357" s="10">
        <f>운전실적_원본!M357</f>
        <v>141729.70000000298</v>
      </c>
      <c r="Y357" s="10">
        <f>운전실적_원본!N357</f>
        <v>0</v>
      </c>
      <c r="Z357" s="10">
        <f>운전실적_원본!O357</f>
        <v>0</v>
      </c>
      <c r="AA357" s="10">
        <f>운전실적_원본!P357</f>
        <v>0</v>
      </c>
      <c r="AB357" s="10">
        <f>운전실적_원본!Q357</f>
        <v>0</v>
      </c>
      <c r="AC357" s="10">
        <f>운전실적_원본!R357</f>
        <v>0</v>
      </c>
      <c r="AD357" s="181">
        <f>운전실적_원본!S357</f>
        <v>19</v>
      </c>
      <c r="AE357" s="181">
        <f>운전실적_원본!T357</f>
        <v>0</v>
      </c>
      <c r="AF357" s="181">
        <f>운전실적_원본!U357</f>
        <v>0</v>
      </c>
      <c r="AG357" s="181">
        <f>운전실적_원본!V357</f>
        <v>0</v>
      </c>
      <c r="AH357" s="106">
        <f t="shared" si="1794"/>
        <v>19.583333333255723</v>
      </c>
      <c r="AI357" s="107">
        <f t="shared" si="1802"/>
        <v>0</v>
      </c>
      <c r="AJ357" s="107">
        <f t="shared" si="1803"/>
        <v>0</v>
      </c>
      <c r="AK357" s="204">
        <f t="shared" si="1804"/>
        <v>0</v>
      </c>
      <c r="AL357" s="103">
        <v>46009</v>
      </c>
      <c r="AM357" s="103">
        <v>46009.041666666664</v>
      </c>
      <c r="AN357" s="103">
        <v>46009.225694444445</v>
      </c>
      <c r="AO357" s="103">
        <v>46010</v>
      </c>
      <c r="AP357" s="103"/>
      <c r="AQ357" s="105"/>
      <c r="AR357" s="103"/>
      <c r="AS357" s="103"/>
      <c r="AT357" s="101"/>
      <c r="AU357" s="101"/>
      <c r="AV357" s="101"/>
      <c r="AW357" s="101"/>
      <c r="AX357" s="32">
        <f>운전실적_원본!W357</f>
        <v>905</v>
      </c>
      <c r="AY357" s="198">
        <f>운전실적_원본!X357</f>
        <v>0</v>
      </c>
      <c r="AZ357" s="198">
        <f>운전실적_원본!Y357</f>
        <v>0</v>
      </c>
      <c r="BA357" s="198">
        <f>운전실적_원본!Z357</f>
        <v>0</v>
      </c>
      <c r="BB357" s="198">
        <f>운전실적_원본!AA357</f>
        <v>0</v>
      </c>
      <c r="BC357" s="198">
        <f>운전실적_원본!AB357</f>
        <v>905</v>
      </c>
      <c r="BD357" s="32">
        <f t="shared" si="1787"/>
        <v>47.631578947368418</v>
      </c>
      <c r="BE357" s="11">
        <f t="shared" si="1795"/>
        <v>0.92686473919767298</v>
      </c>
      <c r="BF357" s="11">
        <f>운전실적_원본!AE357</f>
        <v>0</v>
      </c>
      <c r="BG357" s="31">
        <f t="shared" si="1788"/>
        <v>0</v>
      </c>
    </row>
    <row r="358" spans="1:59">
      <c r="A358" s="6">
        <f t="shared" si="1796"/>
        <v>46010</v>
      </c>
      <c r="B358" s="15">
        <f>운전실적_원본!B358</f>
        <v>651.20000000000005</v>
      </c>
      <c r="C358" s="16">
        <f t="shared" si="1632"/>
        <v>0</v>
      </c>
      <c r="D358" s="9">
        <f>운전실적_원본!C358</f>
        <v>247053</v>
      </c>
      <c r="E358" s="199">
        <f t="shared" si="1633"/>
        <v>71</v>
      </c>
      <c r="F358" s="9">
        <f>운전실적_원본!D358</f>
        <v>239280</v>
      </c>
      <c r="G358" s="16">
        <f t="shared" si="1634"/>
        <v>20</v>
      </c>
      <c r="H358" s="15">
        <f>운전실적_원본!E358</f>
        <v>16954.650000000001</v>
      </c>
      <c r="I358" s="16">
        <f t="shared" si="1635"/>
        <v>5.0300000000024738</v>
      </c>
      <c r="J358" s="15">
        <f>운전실적_원본!E358</f>
        <v>16954.650000000001</v>
      </c>
      <c r="K358" s="16">
        <f t="shared" si="1635"/>
        <v>5.0300000000024738</v>
      </c>
      <c r="L358" s="15">
        <f>운전실적_원본!G358</f>
        <v>4021.6</v>
      </c>
      <c r="M358" s="31">
        <f t="shared" ref="M358" si="1955">IF(OR(LEN(L358)=0,L358=0),"",L358-L357)</f>
        <v>0.79999999999972715</v>
      </c>
      <c r="N358" s="15">
        <f>운전실적_원본!H358</f>
        <v>31433</v>
      </c>
      <c r="O358" s="16">
        <f t="shared" ref="O358" si="1956">IF(OR(LEN(N358)=0,N358=0),"",N358-N357)</f>
        <v>104</v>
      </c>
      <c r="P358" s="15">
        <f>운전실적_원본!I358</f>
        <v>12794</v>
      </c>
      <c r="Q358" s="16">
        <f t="shared" ref="Q358" si="1957">IF(OR(LEN(P358)=0,P358=0),"",P358-P357)</f>
        <v>196</v>
      </c>
      <c r="R358" s="18">
        <f>운전실적_원본!J358</f>
        <v>33.729999999999997</v>
      </c>
      <c r="S358" s="19">
        <f t="shared" ref="S358" si="1958">IF(OR(LEN(R358)=0,R358=0),"",R358-R357)</f>
        <v>0.12999999999999545</v>
      </c>
      <c r="T358" s="18">
        <f>운전실적_원본!K358</f>
        <v>33.1</v>
      </c>
      <c r="U358" s="19">
        <f t="shared" si="1640"/>
        <v>-5.9999999999995168E-2</v>
      </c>
      <c r="V358" s="12">
        <f>운전실적_원본!L358</f>
        <v>6841</v>
      </c>
      <c r="W358" s="16">
        <f t="shared" ref="W358" si="1959">IF(OR(LEN(V358)=0,V358=0),"",V358-V357)</f>
        <v>-1236</v>
      </c>
      <c r="X358" s="10">
        <f>운전실적_원본!M358</f>
        <v>138293.6099999994</v>
      </c>
      <c r="Y358" s="10">
        <f>운전실적_원본!N358</f>
        <v>0</v>
      </c>
      <c r="Z358" s="10">
        <f>운전실적_원본!O358</f>
        <v>0</v>
      </c>
      <c r="AA358" s="10">
        <f>운전실적_원본!P358</f>
        <v>0</v>
      </c>
      <c r="AB358" s="10">
        <f>운전실적_원본!Q358</f>
        <v>0</v>
      </c>
      <c r="AC358" s="10">
        <f>운전실적_원본!R358</f>
        <v>0</v>
      </c>
      <c r="AD358" s="181">
        <f>운전실적_원본!S358</f>
        <v>19</v>
      </c>
      <c r="AE358" s="181">
        <f>운전실적_원본!T358</f>
        <v>0</v>
      </c>
      <c r="AF358" s="181">
        <f>운전실적_원본!U358</f>
        <v>0</v>
      </c>
      <c r="AG358" s="181">
        <f>운전실적_원본!V358</f>
        <v>0</v>
      </c>
      <c r="AH358" s="106">
        <f t="shared" si="1794"/>
        <v>18.583333333313931</v>
      </c>
      <c r="AI358" s="107">
        <f t="shared" si="1802"/>
        <v>0</v>
      </c>
      <c r="AJ358" s="107">
        <f t="shared" si="1803"/>
        <v>0</v>
      </c>
      <c r="AK358" s="204">
        <f t="shared" si="1804"/>
        <v>0</v>
      </c>
      <c r="AL358" s="103">
        <v>46010.225694444445</v>
      </c>
      <c r="AM358" s="103">
        <v>46011</v>
      </c>
      <c r="AN358" s="103"/>
      <c r="AO358" s="103"/>
      <c r="AP358" s="103"/>
      <c r="AQ358" s="105"/>
      <c r="AR358" s="103"/>
      <c r="AS358" s="103"/>
      <c r="AT358" s="101"/>
      <c r="AU358" s="101"/>
      <c r="AV358" s="101"/>
      <c r="AW358" s="101"/>
      <c r="AX358" s="32">
        <f>운전실적_원본!W358</f>
        <v>880</v>
      </c>
      <c r="AY358" s="198">
        <f>운전실적_원본!X358</f>
        <v>0</v>
      </c>
      <c r="AZ358" s="198">
        <f>운전실적_원본!Y358</f>
        <v>0</v>
      </c>
      <c r="BA358" s="198">
        <f>운전실적_원본!Z358</f>
        <v>0</v>
      </c>
      <c r="BB358" s="198">
        <f>운전실적_원본!AA358</f>
        <v>0</v>
      </c>
      <c r="BC358" s="198">
        <f>운전실적_원본!AB358</f>
        <v>880</v>
      </c>
      <c r="BD358" s="32">
        <f t="shared" si="1787"/>
        <v>46.315789473684212</v>
      </c>
      <c r="BE358" s="11">
        <f t="shared" si="1795"/>
        <v>0.90126074087729546</v>
      </c>
      <c r="BF358" s="11">
        <f>운전실적_원본!AE358</f>
        <v>0</v>
      </c>
      <c r="BG358" s="31">
        <f t="shared" si="1788"/>
        <v>0</v>
      </c>
    </row>
    <row r="359" spans="1:59">
      <c r="A359" s="6">
        <f t="shared" si="1796"/>
        <v>46011</v>
      </c>
      <c r="B359" s="15">
        <f>운전실적_원본!B359</f>
        <v>651.20000000000005</v>
      </c>
      <c r="C359" s="16">
        <f t="shared" si="1632"/>
        <v>0</v>
      </c>
      <c r="D359" s="9">
        <f>운전실적_원본!C359</f>
        <v>247133</v>
      </c>
      <c r="E359" s="199">
        <f t="shared" si="1633"/>
        <v>80</v>
      </c>
      <c r="F359" s="9">
        <f>운전실적_원본!D359</f>
        <v>239286</v>
      </c>
      <c r="G359" s="16">
        <f t="shared" si="1634"/>
        <v>6</v>
      </c>
      <c r="H359" s="15">
        <f>운전실적_원본!E359</f>
        <v>16956.8</v>
      </c>
      <c r="I359" s="16">
        <f t="shared" si="1635"/>
        <v>2.1499999999978172</v>
      </c>
      <c r="J359" s="15">
        <f>운전실적_원본!E359</f>
        <v>16956.8</v>
      </c>
      <c r="K359" s="16">
        <f t="shared" si="1635"/>
        <v>2.1499999999978172</v>
      </c>
      <c r="L359" s="15">
        <f>운전실적_원본!G359</f>
        <v>4022.9</v>
      </c>
      <c r="M359" s="31">
        <f t="shared" ref="M359" si="1960">IF(OR(LEN(L359)=0,L359=0),"",L359-L358)</f>
        <v>1.3000000000001819</v>
      </c>
      <c r="N359" s="15">
        <f>운전실적_원본!H359</f>
        <v>31617</v>
      </c>
      <c r="O359" s="16">
        <f t="shared" ref="O359" si="1961">IF(OR(LEN(N359)=0,N359=0),"",N359-N358)</f>
        <v>184</v>
      </c>
      <c r="P359" s="15">
        <f>운전실적_원본!I359</f>
        <v>12946</v>
      </c>
      <c r="Q359" s="16">
        <f t="shared" ref="Q359" si="1962">IF(OR(LEN(P359)=0,P359=0),"",P359-P358)</f>
        <v>152</v>
      </c>
      <c r="R359" s="18">
        <f>운전실적_원본!J359</f>
        <v>33.65</v>
      </c>
      <c r="S359" s="19">
        <f t="shared" ref="S359" si="1963">IF(OR(LEN(R359)=0,R359=0),"",R359-R358)</f>
        <v>-7.9999999999998295E-2</v>
      </c>
      <c r="T359" s="18">
        <f>운전실적_원본!K359</f>
        <v>33.090000000000003</v>
      </c>
      <c r="U359" s="19">
        <f t="shared" si="1640"/>
        <v>-9.9999999999980105E-3</v>
      </c>
      <c r="V359" s="12">
        <f>운전실적_원본!L359</f>
        <v>8682</v>
      </c>
      <c r="W359" s="16">
        <f t="shared" ref="W359" si="1964">IF(OR(LEN(V359)=0,V359=0),"",V359-V358)</f>
        <v>1841</v>
      </c>
      <c r="X359" s="10">
        <f>운전실적_원본!M359</f>
        <v>43357.329999998212</v>
      </c>
      <c r="Y359" s="10">
        <f>운전실적_원본!N359</f>
        <v>0</v>
      </c>
      <c r="Z359" s="10">
        <f>운전실적_원본!O359</f>
        <v>0</v>
      </c>
      <c r="AA359" s="10">
        <f>운전실적_원본!P359</f>
        <v>0</v>
      </c>
      <c r="AB359" s="10">
        <f>운전실적_원본!Q359</f>
        <v>0</v>
      </c>
      <c r="AC359" s="10">
        <f>운전실적_원본!R359</f>
        <v>0</v>
      </c>
      <c r="AD359" s="181">
        <f>운전실적_원본!S359</f>
        <v>8</v>
      </c>
      <c r="AE359" s="181">
        <f>운전실적_원본!T359</f>
        <v>0</v>
      </c>
      <c r="AF359" s="181">
        <f>운전실적_원본!U359</f>
        <v>0</v>
      </c>
      <c r="AG359" s="181">
        <f>운전실적_원본!V359</f>
        <v>0</v>
      </c>
      <c r="AH359" s="106">
        <f t="shared" si="1794"/>
        <v>7.8333333333721384</v>
      </c>
      <c r="AI359" s="107">
        <f t="shared" si="1802"/>
        <v>0</v>
      </c>
      <c r="AJ359" s="107">
        <f t="shared" si="1803"/>
        <v>0</v>
      </c>
      <c r="AK359" s="204">
        <f t="shared" si="1804"/>
        <v>0</v>
      </c>
      <c r="AL359" s="103">
        <v>46011</v>
      </c>
      <c r="AM359" s="103">
        <v>46011.326388888891</v>
      </c>
      <c r="AN359" s="103"/>
      <c r="AO359" s="103"/>
      <c r="AP359" s="103"/>
      <c r="AQ359" s="105"/>
      <c r="AR359" s="103"/>
      <c r="AS359" s="103"/>
      <c r="AT359" s="101"/>
      <c r="AU359" s="101"/>
      <c r="AV359" s="101"/>
      <c r="AW359" s="101"/>
      <c r="AX359" s="32">
        <f>운전실적_원본!W359</f>
        <v>271</v>
      </c>
      <c r="AY359" s="198">
        <f>운전실적_원본!X359</f>
        <v>0</v>
      </c>
      <c r="AZ359" s="198">
        <f>운전실적_원본!Y359</f>
        <v>0</v>
      </c>
      <c r="BA359" s="198">
        <f>운전실적_원본!Z359</f>
        <v>0</v>
      </c>
      <c r="BB359" s="198">
        <f>운전실적_원본!AA359</f>
        <v>0</v>
      </c>
      <c r="BC359" s="198">
        <f>운전실적_원본!AB359</f>
        <v>271</v>
      </c>
      <c r="BD359" s="32">
        <f t="shared" si="1787"/>
        <v>33.875</v>
      </c>
      <c r="BE359" s="11">
        <f t="shared" si="1795"/>
        <v>0.65917493675812411</v>
      </c>
      <c r="BF359" s="11">
        <f>운전실적_원본!AE359</f>
        <v>0</v>
      </c>
      <c r="BG359" s="31">
        <f t="shared" si="1788"/>
        <v>0</v>
      </c>
    </row>
    <row r="360" spans="1:59">
      <c r="A360" s="6">
        <f t="shared" si="1796"/>
        <v>46012</v>
      </c>
      <c r="B360" s="15">
        <f>운전실적_원본!B360</f>
        <v>651.20000000000005</v>
      </c>
      <c r="C360" s="16">
        <f t="shared" ref="C360:C370" si="1965">IF(OR(LEN(B360)=0,B360=0),"",B360-B359)</f>
        <v>0</v>
      </c>
      <c r="D360" s="9">
        <f>운전실적_원본!C360</f>
        <v>247133</v>
      </c>
      <c r="E360" s="199">
        <f t="shared" ref="E360:E370" si="1966">IF(OR(LEN(D360)=0,D360=0),"",D360-D359)</f>
        <v>0</v>
      </c>
      <c r="F360" s="9">
        <f>운전실적_원본!D360</f>
        <v>239286</v>
      </c>
      <c r="G360" s="16">
        <f t="shared" ref="G360:G370" si="1967">IF(OR(LEN(F360)=0,F360=0),"",F360-F359)</f>
        <v>0</v>
      </c>
      <c r="H360" s="15">
        <f>운전실적_원본!E360</f>
        <v>16959.16</v>
      </c>
      <c r="I360" s="16">
        <f t="shared" ref="I360:K370" si="1968">IF(OR(LEN(H360)=0,H360=0),"",H360-H359)</f>
        <v>2.3600000000005821</v>
      </c>
      <c r="J360" s="15">
        <f>운전실적_원본!E360</f>
        <v>16959.16</v>
      </c>
      <c r="K360" s="16">
        <f t="shared" si="1968"/>
        <v>2.3600000000005821</v>
      </c>
      <c r="L360" s="15">
        <f>운전실적_원본!G360</f>
        <v>4023.6</v>
      </c>
      <c r="M360" s="31">
        <f t="shared" ref="M360" si="1969">IF(OR(LEN(L360)=0,L360=0),"",L360-L359)</f>
        <v>0.6999999999998181</v>
      </c>
      <c r="N360" s="15">
        <f>운전실적_원본!H360</f>
        <v>31685</v>
      </c>
      <c r="O360" s="16">
        <f t="shared" ref="O360" si="1970">IF(OR(LEN(N360)=0,N360=0),"",N360-N359)</f>
        <v>68</v>
      </c>
      <c r="P360" s="15">
        <f>운전실적_원본!I360</f>
        <v>12969</v>
      </c>
      <c r="Q360" s="16">
        <f t="shared" ref="Q360" si="1971">IF(OR(LEN(P360)=0,P360=0),"",P360-P359)</f>
        <v>23</v>
      </c>
      <c r="R360" s="18">
        <f>운전실적_원본!J360</f>
        <v>33.64</v>
      </c>
      <c r="S360" s="19">
        <f t="shared" ref="S360" si="1972">IF(OR(LEN(R360)=0,R360=0),"",R360-R359)</f>
        <v>-9.9999999999980105E-3</v>
      </c>
      <c r="T360" s="18">
        <f>운전실적_원본!K360</f>
        <v>33.119999999999997</v>
      </c>
      <c r="U360" s="19">
        <f t="shared" ref="U360:U370" si="1973">IF(OR(LEN(T360)=0,T360=0),"",T360-T359)</f>
        <v>2.9999999999994031E-2</v>
      </c>
      <c r="V360" s="12">
        <f>운전실적_원본!L360</f>
        <v>8067</v>
      </c>
      <c r="W360" s="16">
        <f t="shared" ref="W360" si="1974">IF(OR(LEN(V360)=0,V360=0),"",V360-V359)</f>
        <v>-615</v>
      </c>
      <c r="X360" s="10">
        <f>운전실적_원본!M360</f>
        <v>58833.840000003576</v>
      </c>
      <c r="Y360" s="10">
        <f>운전실적_원본!N360</f>
        <v>0</v>
      </c>
      <c r="Z360" s="10">
        <f>운전실적_원본!O360</f>
        <v>0</v>
      </c>
      <c r="AA360" s="10">
        <f>운전실적_원본!P360</f>
        <v>0</v>
      </c>
      <c r="AB360" s="10">
        <f>운전실적_원본!Q360</f>
        <v>0</v>
      </c>
      <c r="AC360" s="10">
        <f>운전실적_원본!R360</f>
        <v>0</v>
      </c>
      <c r="AD360" s="181">
        <f>운전실적_원본!S360</f>
        <v>10</v>
      </c>
      <c r="AE360" s="181">
        <f>운전실적_원본!T360</f>
        <v>0</v>
      </c>
      <c r="AF360" s="181">
        <f>운전실적_원본!U360</f>
        <v>0</v>
      </c>
      <c r="AG360" s="181">
        <f>운전실적_원본!V360</f>
        <v>0</v>
      </c>
      <c r="AH360" s="106">
        <f t="shared" si="1794"/>
        <v>10.083333333372138</v>
      </c>
      <c r="AI360" s="107">
        <f t="shared" si="1802"/>
        <v>0</v>
      </c>
      <c r="AJ360" s="107">
        <f t="shared" si="1803"/>
        <v>0</v>
      </c>
      <c r="AK360" s="204">
        <f t="shared" si="1804"/>
        <v>0</v>
      </c>
      <c r="AL360" s="103">
        <v>46012.579861111109</v>
      </c>
      <c r="AM360" s="103">
        <v>46013</v>
      </c>
      <c r="AN360" s="103"/>
      <c r="AO360" s="103"/>
      <c r="AP360" s="103"/>
      <c r="AQ360" s="105"/>
      <c r="AR360" s="103"/>
      <c r="AS360" s="103"/>
      <c r="AT360" s="101"/>
      <c r="AU360" s="101"/>
      <c r="AV360" s="101"/>
      <c r="AW360" s="101"/>
      <c r="AX360" s="32">
        <f>운전실적_원본!W360</f>
        <v>367</v>
      </c>
      <c r="AY360" s="198">
        <f>운전실적_원본!X360</f>
        <v>0</v>
      </c>
      <c r="AZ360" s="198">
        <f>운전실적_원본!Y360</f>
        <v>0</v>
      </c>
      <c r="BA360" s="198">
        <f>운전실적_원본!Z360</f>
        <v>0</v>
      </c>
      <c r="BB360" s="198">
        <f>운전실적_원본!AA360</f>
        <v>0</v>
      </c>
      <c r="BC360" s="198">
        <f>운전실적_원본!AB360</f>
        <v>367</v>
      </c>
      <c r="BD360" s="32">
        <f t="shared" si="1787"/>
        <v>36.700000000000003</v>
      </c>
      <c r="BE360" s="11">
        <f t="shared" si="1795"/>
        <v>0.71414672115197519</v>
      </c>
      <c r="BF360" s="11">
        <f>운전실적_원본!AE360</f>
        <v>0</v>
      </c>
      <c r="BG360" s="31">
        <f t="shared" si="1788"/>
        <v>0</v>
      </c>
    </row>
    <row r="361" spans="1:59">
      <c r="A361" s="6">
        <f t="shared" si="1796"/>
        <v>46013</v>
      </c>
      <c r="B361" s="15">
        <f>운전실적_원본!B361</f>
        <v>651.20000000000005</v>
      </c>
      <c r="C361" s="16">
        <f t="shared" si="1965"/>
        <v>0</v>
      </c>
      <c r="D361" s="9">
        <f>운전실적_원본!C361</f>
        <v>247211</v>
      </c>
      <c r="E361" s="199">
        <f t="shared" si="1966"/>
        <v>78</v>
      </c>
      <c r="F361" s="9">
        <f>운전실적_원본!D361</f>
        <v>239326</v>
      </c>
      <c r="G361" s="16">
        <f t="shared" si="1967"/>
        <v>40</v>
      </c>
      <c r="H361" s="15">
        <f>운전실적_원본!E361</f>
        <v>16963.32</v>
      </c>
      <c r="I361" s="16">
        <f t="shared" si="1968"/>
        <v>4.1599999999998545</v>
      </c>
      <c r="J361" s="15">
        <f>운전실적_원본!E361</f>
        <v>16963.32</v>
      </c>
      <c r="K361" s="16">
        <f t="shared" si="1968"/>
        <v>4.1599999999998545</v>
      </c>
      <c r="L361" s="15">
        <f>운전실적_원본!G361</f>
        <v>4024.6</v>
      </c>
      <c r="M361" s="31">
        <f t="shared" ref="M361" si="1975">IF(OR(LEN(L361)=0,L361=0),"",L361-L360)</f>
        <v>1</v>
      </c>
      <c r="N361" s="15">
        <f>운전실적_원본!H361</f>
        <v>31847</v>
      </c>
      <c r="O361" s="16">
        <f t="shared" ref="O361" si="1976">IF(OR(LEN(N361)=0,N361=0),"",N361-N360)</f>
        <v>162</v>
      </c>
      <c r="P361" s="15">
        <f>운전실적_원본!I361</f>
        <v>13212</v>
      </c>
      <c r="Q361" s="16">
        <f t="shared" ref="Q361" si="1977">IF(OR(LEN(P361)=0,P361=0),"",P361-P360)</f>
        <v>243</v>
      </c>
      <c r="R361" s="18">
        <f>운전실적_원본!J361</f>
        <v>33.369999999999997</v>
      </c>
      <c r="S361" s="19">
        <f t="shared" ref="S361" si="1978">IF(OR(LEN(R361)=0,R361=0),"",R361-R360)</f>
        <v>-0.27000000000000313</v>
      </c>
      <c r="T361" s="18">
        <f>운전실적_원본!K361</f>
        <v>33.119999999999997</v>
      </c>
      <c r="U361" s="19">
        <f t="shared" si="1973"/>
        <v>0</v>
      </c>
      <c r="V361" s="12">
        <f>운전실적_원본!L361</f>
        <v>8575</v>
      </c>
      <c r="W361" s="16">
        <f t="shared" ref="W361" si="1979">IF(OR(LEN(V361)=0,V361=0),"",V361-V360)</f>
        <v>508</v>
      </c>
      <c r="X361" s="10">
        <f>운전실적_원본!M361</f>
        <v>180382.43999999762</v>
      </c>
      <c r="Y361" s="10">
        <f>운전실적_원본!N361</f>
        <v>0</v>
      </c>
      <c r="Z361" s="10">
        <f>운전실적_원본!O361</f>
        <v>0</v>
      </c>
      <c r="AA361" s="10">
        <f>운전실적_원본!P361</f>
        <v>0</v>
      </c>
      <c r="AB361" s="10">
        <f>운전실적_원본!Q361</f>
        <v>0</v>
      </c>
      <c r="AC361" s="10">
        <f>운전실적_원본!R361</f>
        <v>0</v>
      </c>
      <c r="AD361" s="181">
        <f>운전실적_원본!S361</f>
        <v>24</v>
      </c>
      <c r="AE361" s="181">
        <f>운전실적_원본!T361</f>
        <v>0</v>
      </c>
      <c r="AF361" s="181">
        <f>운전실적_원본!U361</f>
        <v>0</v>
      </c>
      <c r="AG361" s="181">
        <f>운전실적_원본!V361</f>
        <v>0</v>
      </c>
      <c r="AH361" s="106">
        <f t="shared" si="1794"/>
        <v>24</v>
      </c>
      <c r="AI361" s="107">
        <f t="shared" si="1802"/>
        <v>0</v>
      </c>
      <c r="AJ361" s="107">
        <f t="shared" si="1803"/>
        <v>0</v>
      </c>
      <c r="AK361" s="204">
        <f t="shared" si="1804"/>
        <v>0</v>
      </c>
      <c r="AL361" s="103">
        <v>46013</v>
      </c>
      <c r="AM361" s="103">
        <v>46014</v>
      </c>
      <c r="AN361" s="103"/>
      <c r="AO361" s="103"/>
      <c r="AP361" s="103"/>
      <c r="AQ361" s="105"/>
      <c r="AR361" s="103"/>
      <c r="AS361" s="103"/>
      <c r="AT361" s="101"/>
      <c r="AU361" s="101"/>
      <c r="AV361" s="101"/>
      <c r="AW361" s="101"/>
      <c r="AX361" s="32">
        <f>운전실적_원본!W361</f>
        <v>1138</v>
      </c>
      <c r="AY361" s="198">
        <f>운전실적_원본!X361</f>
        <v>0</v>
      </c>
      <c r="AZ361" s="198">
        <f>운전실적_원본!Y361</f>
        <v>0</v>
      </c>
      <c r="BA361" s="198">
        <f>운전실적_원본!Z361</f>
        <v>0</v>
      </c>
      <c r="BB361" s="198">
        <f>운전실적_원본!AA361</f>
        <v>0</v>
      </c>
      <c r="BC361" s="198">
        <f>운전실적_원본!AB361</f>
        <v>1138</v>
      </c>
      <c r="BD361" s="32">
        <f t="shared" si="1787"/>
        <v>47.416666666666664</v>
      </c>
      <c r="BE361" s="11">
        <f t="shared" si="1795"/>
        <v>0.92268275280534473</v>
      </c>
      <c r="BF361" s="11">
        <f>운전실적_원본!AE361</f>
        <v>0</v>
      </c>
      <c r="BG361" s="31">
        <f t="shared" si="1788"/>
        <v>0</v>
      </c>
    </row>
    <row r="362" spans="1:59">
      <c r="A362" s="6">
        <f t="shared" si="1796"/>
        <v>46014</v>
      </c>
      <c r="B362" s="15">
        <f>운전실적_원본!B362</f>
        <v>651.20000000000005</v>
      </c>
      <c r="C362" s="16">
        <f t="shared" si="1965"/>
        <v>0</v>
      </c>
      <c r="D362" s="9">
        <f>운전실적_원본!C362</f>
        <v>247312</v>
      </c>
      <c r="E362" s="199">
        <f t="shared" si="1966"/>
        <v>101</v>
      </c>
      <c r="F362" s="9">
        <f>운전실적_원본!D362</f>
        <v>239326</v>
      </c>
      <c r="G362" s="16">
        <f t="shared" si="1967"/>
        <v>0</v>
      </c>
      <c r="H362" s="15">
        <f>운전실적_원본!E362</f>
        <v>16968.07</v>
      </c>
      <c r="I362" s="16">
        <f t="shared" si="1968"/>
        <v>4.75</v>
      </c>
      <c r="J362" s="15">
        <f>운전실적_원본!E362</f>
        <v>16968.07</v>
      </c>
      <c r="K362" s="16">
        <f t="shared" si="1968"/>
        <v>4.75</v>
      </c>
      <c r="L362" s="15">
        <f>운전실적_원본!G362</f>
        <v>4025.7</v>
      </c>
      <c r="M362" s="31">
        <f t="shared" ref="M362" si="1980">IF(OR(LEN(L362)=0,L362=0),"",L362-L361)</f>
        <v>1.0999999999999091</v>
      </c>
      <c r="N362" s="15">
        <f>운전실적_원본!H362</f>
        <v>31921</v>
      </c>
      <c r="O362" s="16">
        <f t="shared" ref="O362" si="1981">IF(OR(LEN(N362)=0,N362=0),"",N362-N361)</f>
        <v>74</v>
      </c>
      <c r="P362" s="15">
        <f>운전실적_원본!I362</f>
        <v>13368</v>
      </c>
      <c r="Q362" s="16">
        <f t="shared" ref="Q362" si="1982">IF(OR(LEN(P362)=0,P362=0),"",P362-P361)</f>
        <v>156</v>
      </c>
      <c r="R362" s="18">
        <f>운전실적_원본!J362</f>
        <v>33.6</v>
      </c>
      <c r="S362" s="19">
        <f t="shared" ref="S362" si="1983">IF(OR(LEN(R362)=0,R362=0),"",R362-R361)</f>
        <v>0.23000000000000398</v>
      </c>
      <c r="T362" s="18">
        <f>운전실적_원본!K362</f>
        <v>33.11</v>
      </c>
      <c r="U362" s="19">
        <f t="shared" si="1973"/>
        <v>-9.9999999999980105E-3</v>
      </c>
      <c r="V362" s="12">
        <f>운전실적_원본!L362</f>
        <v>8130</v>
      </c>
      <c r="W362" s="16">
        <f t="shared" ref="W362" si="1984">IF(OR(LEN(V362)=0,V362=0),"",V362-V361)</f>
        <v>-445</v>
      </c>
      <c r="X362" s="10">
        <f>운전실적_원본!M362</f>
        <v>161707</v>
      </c>
      <c r="Y362" s="10">
        <f>운전실적_원본!N362</f>
        <v>0</v>
      </c>
      <c r="Z362" s="10">
        <f>운전실적_원본!O362</f>
        <v>0</v>
      </c>
      <c r="AA362" s="10">
        <f>운전실적_원본!P362</f>
        <v>0</v>
      </c>
      <c r="AB362" s="10">
        <f>운전실적_원본!Q362</f>
        <v>0</v>
      </c>
      <c r="AC362" s="10">
        <f>운전실적_원본!R362</f>
        <v>0</v>
      </c>
      <c r="AD362" s="181">
        <f>운전실적_원본!S362</f>
        <v>22</v>
      </c>
      <c r="AE362" s="181">
        <f>운전실적_원본!T362</f>
        <v>0</v>
      </c>
      <c r="AF362" s="181">
        <f>운전실적_원본!U362</f>
        <v>0</v>
      </c>
      <c r="AG362" s="181">
        <f>운전실적_원본!V362</f>
        <v>0</v>
      </c>
      <c r="AH362" s="106">
        <f t="shared" si="1794"/>
        <v>24</v>
      </c>
      <c r="AI362" s="107">
        <f t="shared" si="1802"/>
        <v>0</v>
      </c>
      <c r="AJ362" s="107">
        <f t="shared" si="1803"/>
        <v>0</v>
      </c>
      <c r="AK362" s="204">
        <f t="shared" si="1804"/>
        <v>0</v>
      </c>
      <c r="AL362" s="103">
        <v>46014</v>
      </c>
      <c r="AM362" s="103">
        <v>46015</v>
      </c>
      <c r="AN362" s="103"/>
      <c r="AO362" s="103"/>
      <c r="AP362" s="103"/>
      <c r="AQ362" s="105"/>
      <c r="AR362" s="103"/>
      <c r="AS362" s="103"/>
      <c r="AT362" s="101"/>
      <c r="AU362" s="101"/>
      <c r="AV362" s="101"/>
      <c r="AW362" s="101"/>
      <c r="AX362" s="32">
        <f>운전실적_원본!W362</f>
        <v>1035</v>
      </c>
      <c r="AY362" s="198">
        <f>운전실적_원본!X362</f>
        <v>0</v>
      </c>
      <c r="AZ362" s="198">
        <f>운전실적_원본!Y362</f>
        <v>0</v>
      </c>
      <c r="BA362" s="198">
        <f>운전실적_원본!Z362</f>
        <v>0</v>
      </c>
      <c r="BB362" s="198">
        <f>운전실적_원본!AA362</f>
        <v>0</v>
      </c>
      <c r="BC362" s="198">
        <f>운전실적_원본!AB362</f>
        <v>1035</v>
      </c>
      <c r="BD362" s="32">
        <f t="shared" si="1787"/>
        <v>47.045454545454547</v>
      </c>
      <c r="BE362" s="11">
        <f t="shared" si="1795"/>
        <v>0.91545932176405032</v>
      </c>
      <c r="BF362" s="11">
        <f>운전실적_원본!AE362</f>
        <v>0</v>
      </c>
      <c r="BG362" s="31">
        <f t="shared" si="1788"/>
        <v>0</v>
      </c>
    </row>
    <row r="363" spans="1:59">
      <c r="A363" s="6">
        <f t="shared" si="1796"/>
        <v>46015</v>
      </c>
      <c r="B363" s="15">
        <f>운전실적_원본!B363</f>
        <v>651.20000000000005</v>
      </c>
      <c r="C363" s="16">
        <f t="shared" si="1965"/>
        <v>0</v>
      </c>
      <c r="D363" s="9">
        <f>운전실적_원본!C363</f>
        <v>247373</v>
      </c>
      <c r="E363" s="199">
        <f t="shared" si="1966"/>
        <v>61</v>
      </c>
      <c r="F363" s="9">
        <f>운전실적_원본!D363</f>
        <v>239365</v>
      </c>
      <c r="G363" s="16">
        <f t="shared" si="1967"/>
        <v>39</v>
      </c>
      <c r="H363" s="15">
        <f>운전실적_원본!E363</f>
        <v>16972.41</v>
      </c>
      <c r="I363" s="16">
        <f t="shared" si="1968"/>
        <v>4.3400000000001455</v>
      </c>
      <c r="J363" s="15">
        <f>운전실적_원본!E363</f>
        <v>16972.41</v>
      </c>
      <c r="K363" s="16">
        <f t="shared" si="1968"/>
        <v>4.3400000000001455</v>
      </c>
      <c r="L363" s="15">
        <f>운전실적_원본!G363</f>
        <v>4026.8</v>
      </c>
      <c r="M363" s="31">
        <f t="shared" ref="M363" si="1985">IF(OR(LEN(L363)=0,L363=0),"",L363-L362)</f>
        <v>1.1000000000003638</v>
      </c>
      <c r="N363" s="15">
        <f>운전실적_원본!H363</f>
        <v>31998</v>
      </c>
      <c r="O363" s="16">
        <f t="shared" ref="O363" si="1986">IF(OR(LEN(N363)=0,N363=0),"",N363-N362)</f>
        <v>77</v>
      </c>
      <c r="P363" s="15">
        <f>운전실적_원본!I363</f>
        <v>13578</v>
      </c>
      <c r="Q363" s="16">
        <f t="shared" ref="Q363" si="1987">IF(OR(LEN(P363)=0,P363=0),"",P363-P362)</f>
        <v>210</v>
      </c>
      <c r="R363" s="18">
        <f>운전실적_원본!J363</f>
        <v>33.729999999999997</v>
      </c>
      <c r="S363" s="19">
        <f t="shared" ref="S363" si="1988">IF(OR(LEN(R363)=0,R363=0),"",R363-R362)</f>
        <v>0.12999999999999545</v>
      </c>
      <c r="T363" s="18">
        <f>운전실적_원본!K363</f>
        <v>33.11</v>
      </c>
      <c r="U363" s="19">
        <f t="shared" si="1973"/>
        <v>0</v>
      </c>
      <c r="V363" s="12">
        <f>운전실적_원본!L363</f>
        <v>8349</v>
      </c>
      <c r="W363" s="16">
        <f t="shared" ref="W363" si="1989">IF(OR(LEN(V363)=0,V363=0),"",V363-V362)</f>
        <v>219</v>
      </c>
      <c r="X363" s="10">
        <f>운전실적_원본!M363</f>
        <v>133724.37000000477</v>
      </c>
      <c r="Y363" s="10">
        <f>운전실적_원본!N363</f>
        <v>0</v>
      </c>
      <c r="Z363" s="10">
        <f>운전실적_원본!O363</f>
        <v>0</v>
      </c>
      <c r="AA363" s="10">
        <f>운전실적_원본!P363</f>
        <v>0</v>
      </c>
      <c r="AB363" s="10">
        <f>운전실적_원본!Q363</f>
        <v>0</v>
      </c>
      <c r="AC363" s="10">
        <f>운전실적_원본!R363</f>
        <v>0</v>
      </c>
      <c r="AD363" s="181">
        <f>운전실적_원본!S363</f>
        <v>18</v>
      </c>
      <c r="AE363" s="181">
        <f>운전실적_원본!T363</f>
        <v>0</v>
      </c>
      <c r="AF363" s="181">
        <f>운전실적_원본!U363</f>
        <v>0</v>
      </c>
      <c r="AG363" s="181">
        <f>운전실적_원본!V363</f>
        <v>0</v>
      </c>
      <c r="AH363" s="106">
        <f t="shared" si="1794"/>
        <v>18.416666666627862</v>
      </c>
      <c r="AI363" s="107">
        <f t="shared" si="1802"/>
        <v>0</v>
      </c>
      <c r="AJ363" s="107">
        <f t="shared" si="1803"/>
        <v>0</v>
      </c>
      <c r="AK363" s="204">
        <f t="shared" si="1804"/>
        <v>0</v>
      </c>
      <c r="AL363" s="103">
        <v>46015</v>
      </c>
      <c r="AM363" s="103">
        <v>46015.013888888891</v>
      </c>
      <c r="AN363" s="103">
        <v>46015.246527777781</v>
      </c>
      <c r="AO363" s="103">
        <v>46016</v>
      </c>
      <c r="AP363" s="103"/>
      <c r="AQ363" s="105"/>
      <c r="AR363" s="103"/>
      <c r="AS363" s="103"/>
      <c r="AT363" s="101"/>
      <c r="AU363" s="101"/>
      <c r="AV363" s="101"/>
      <c r="AW363" s="101"/>
      <c r="AX363" s="32">
        <f>운전실적_원본!W363</f>
        <v>846</v>
      </c>
      <c r="AY363" s="198">
        <f>운전실적_원본!X363</f>
        <v>0</v>
      </c>
      <c r="AZ363" s="198">
        <f>운전실적_원본!Y363</f>
        <v>0</v>
      </c>
      <c r="BA363" s="198">
        <f>운전실적_원본!Z363</f>
        <v>0</v>
      </c>
      <c r="BB363" s="198">
        <f>운전실적_원본!AA363</f>
        <v>0</v>
      </c>
      <c r="BC363" s="198">
        <f>운전실적_원본!AB363</f>
        <v>846</v>
      </c>
      <c r="BD363" s="32">
        <f t="shared" si="1787"/>
        <v>47</v>
      </c>
      <c r="BE363" s="11">
        <f t="shared" si="1795"/>
        <v>0.91457482000389179</v>
      </c>
      <c r="BF363" s="11">
        <f>운전실적_원본!AE363</f>
        <v>0</v>
      </c>
      <c r="BG363" s="31">
        <f t="shared" si="1788"/>
        <v>0</v>
      </c>
    </row>
    <row r="364" spans="1:59">
      <c r="A364" s="6">
        <f t="shared" si="1796"/>
        <v>46016</v>
      </c>
      <c r="B364" s="15">
        <f>운전실적_원본!B364</f>
        <v>651.20000000000005</v>
      </c>
      <c r="C364" s="16">
        <f t="shared" si="1965"/>
        <v>0</v>
      </c>
      <c r="D364" s="9">
        <f>운전실적_원본!C364</f>
        <v>247437</v>
      </c>
      <c r="E364" s="199">
        <f t="shared" si="1966"/>
        <v>64</v>
      </c>
      <c r="F364" s="9">
        <f>운전실적_원본!D364</f>
        <v>239365</v>
      </c>
      <c r="G364" s="16">
        <f t="shared" si="1967"/>
        <v>0</v>
      </c>
      <c r="H364" s="15">
        <f>운전실적_원본!E364</f>
        <v>16974.990000000002</v>
      </c>
      <c r="I364" s="16">
        <f t="shared" si="1968"/>
        <v>2.5800000000017462</v>
      </c>
      <c r="J364" s="15">
        <f>운전실적_원본!E364</f>
        <v>16974.990000000002</v>
      </c>
      <c r="K364" s="16">
        <f t="shared" si="1968"/>
        <v>2.5800000000017462</v>
      </c>
      <c r="L364" s="15">
        <f>운전실적_원본!G364</f>
        <v>4028.1</v>
      </c>
      <c r="M364" s="31">
        <f t="shared" ref="M364" si="1990">IF(OR(LEN(L364)=0,L364=0),"",L364-L363)</f>
        <v>1.2999999999997272</v>
      </c>
      <c r="N364" s="15">
        <f>운전실적_원본!H364</f>
        <v>32213</v>
      </c>
      <c r="O364" s="16">
        <f t="shared" ref="O364" si="1991">IF(OR(LEN(N364)=0,N364=0),"",N364-N363)</f>
        <v>215</v>
      </c>
      <c r="P364" s="15">
        <f>운전실적_원본!I364</f>
        <v>13776</v>
      </c>
      <c r="Q364" s="16">
        <f t="shared" ref="Q364" si="1992">IF(OR(LEN(P364)=0,P364=0),"",P364-P363)</f>
        <v>198</v>
      </c>
      <c r="R364" s="18">
        <f>운전실적_원본!J364</f>
        <v>33.43</v>
      </c>
      <c r="S364" s="19">
        <f t="shared" ref="S364" si="1993">IF(OR(LEN(R364)=0,R364=0),"",R364-R363)</f>
        <v>-0.29999999999999716</v>
      </c>
      <c r="T364" s="18">
        <f>운전실적_원본!K364</f>
        <v>33.03</v>
      </c>
      <c r="U364" s="19">
        <f t="shared" si="1973"/>
        <v>-7.9999999999998295E-2</v>
      </c>
      <c r="V364" s="12">
        <f>운전실적_원본!L364</f>
        <v>8387</v>
      </c>
      <c r="W364" s="16">
        <f t="shared" ref="W364" si="1994">IF(OR(LEN(V364)=0,V364=0),"",V364-V363)</f>
        <v>38</v>
      </c>
      <c r="X364" s="10">
        <f>운전실적_원본!M364</f>
        <v>197988.26999999583</v>
      </c>
      <c r="Y364" s="10">
        <f>운전실적_원본!N364</f>
        <v>0</v>
      </c>
      <c r="Z364" s="10">
        <f>운전실적_원본!O364</f>
        <v>0</v>
      </c>
      <c r="AA364" s="10">
        <f>운전실적_원본!P364</f>
        <v>0</v>
      </c>
      <c r="AB364" s="10">
        <f>운전실적_원본!Q364</f>
        <v>0</v>
      </c>
      <c r="AC364" s="10">
        <f>운전실적_원본!R364</f>
        <v>0</v>
      </c>
      <c r="AD364" s="181">
        <f>운전실적_원본!S364</f>
        <v>24</v>
      </c>
      <c r="AE364" s="181">
        <f>운전실적_원본!T364</f>
        <v>0</v>
      </c>
      <c r="AF364" s="181">
        <f>운전실적_원본!U364</f>
        <v>0</v>
      </c>
      <c r="AG364" s="181">
        <f>운전실적_원본!V364</f>
        <v>0</v>
      </c>
      <c r="AH364" s="106">
        <f t="shared" si="1794"/>
        <v>24</v>
      </c>
      <c r="AI364" s="107">
        <f t="shared" si="1802"/>
        <v>0</v>
      </c>
      <c r="AJ364" s="107">
        <f t="shared" si="1803"/>
        <v>0</v>
      </c>
      <c r="AK364" s="204">
        <f t="shared" si="1804"/>
        <v>0</v>
      </c>
      <c r="AL364" s="103">
        <v>46016</v>
      </c>
      <c r="AM364" s="103">
        <v>46017</v>
      </c>
      <c r="AN364" s="103"/>
      <c r="AO364" s="103"/>
      <c r="AP364" s="103"/>
      <c r="AQ364" s="105"/>
      <c r="AR364" s="103"/>
      <c r="AS364" s="103"/>
      <c r="AT364" s="101"/>
      <c r="AU364" s="101"/>
      <c r="AV364" s="101"/>
      <c r="AW364" s="101"/>
      <c r="AX364" s="32">
        <f>운전실적_원본!W364</f>
        <v>1236</v>
      </c>
      <c r="AY364" s="198">
        <f>운전실적_원본!X364</f>
        <v>0</v>
      </c>
      <c r="AZ364" s="198">
        <f>운전실적_원본!Y364</f>
        <v>0</v>
      </c>
      <c r="BA364" s="198">
        <f>운전실적_원본!Z364</f>
        <v>0</v>
      </c>
      <c r="BB364" s="198">
        <f>운전실적_원본!AA364</f>
        <v>0</v>
      </c>
      <c r="BC364" s="198">
        <f>운전실적_원본!AB364</f>
        <v>1236</v>
      </c>
      <c r="BD364" s="32">
        <f t="shared" si="1787"/>
        <v>51.5</v>
      </c>
      <c r="BE364" s="11">
        <f t="shared" si="1795"/>
        <v>1.0021404942595835</v>
      </c>
      <c r="BF364" s="11">
        <f>운전실적_원본!AE364</f>
        <v>0</v>
      </c>
      <c r="BG364" s="31">
        <f t="shared" si="1788"/>
        <v>0</v>
      </c>
    </row>
    <row r="365" spans="1:59">
      <c r="A365" s="6">
        <f t="shared" si="1796"/>
        <v>46017</v>
      </c>
      <c r="B365" s="15">
        <f>운전실적_원본!B365</f>
        <v>651.20000000000005</v>
      </c>
      <c r="C365" s="16">
        <f t="shared" si="1965"/>
        <v>0</v>
      </c>
      <c r="D365" s="9">
        <f>운전실적_원본!C365</f>
        <v>247460</v>
      </c>
      <c r="E365" s="199">
        <f t="shared" si="1966"/>
        <v>23</v>
      </c>
      <c r="F365" s="9">
        <f>운전실적_원본!D365</f>
        <v>239475</v>
      </c>
      <c r="G365" s="16">
        <f t="shared" si="1967"/>
        <v>110</v>
      </c>
      <c r="H365" s="15">
        <f>운전실적_원본!E365</f>
        <v>16980.23</v>
      </c>
      <c r="I365" s="16">
        <f t="shared" si="1968"/>
        <v>5.2399999999979627</v>
      </c>
      <c r="J365" s="15">
        <f>운전실적_원본!E365</f>
        <v>16980.23</v>
      </c>
      <c r="K365" s="16">
        <f t="shared" si="1968"/>
        <v>5.2399999999979627</v>
      </c>
      <c r="L365" s="15">
        <f>운전실적_원본!G365</f>
        <v>4029.5</v>
      </c>
      <c r="M365" s="31">
        <f t="shared" ref="M365" si="1995">IF(OR(LEN(L365)=0,L365=0),"",L365-L364)</f>
        <v>1.4000000000000909</v>
      </c>
      <c r="N365" s="15">
        <f>운전실적_원본!H365</f>
        <v>32460</v>
      </c>
      <c r="O365" s="16">
        <f t="shared" ref="O365" si="1996">IF(OR(LEN(N365)=0,N365=0),"",N365-N364)</f>
        <v>247</v>
      </c>
      <c r="P365" s="15">
        <f>운전실적_원본!I365</f>
        <v>14034</v>
      </c>
      <c r="Q365" s="16">
        <f t="shared" ref="Q365" si="1997">IF(OR(LEN(P365)=0,P365=0),"",P365-P364)</f>
        <v>258</v>
      </c>
      <c r="R365" s="18">
        <f>운전실적_원본!J365</f>
        <v>33.24</v>
      </c>
      <c r="S365" s="19">
        <f t="shared" ref="S365" si="1998">IF(OR(LEN(R365)=0,R365=0),"",R365-R364)</f>
        <v>-0.18999999999999773</v>
      </c>
      <c r="T365" s="18">
        <f>운전실적_원본!K365</f>
        <v>33.04</v>
      </c>
      <c r="U365" s="19">
        <f t="shared" si="1973"/>
        <v>9.9999999999980105E-3</v>
      </c>
      <c r="V365" s="12">
        <f>운전실적_원본!L365</f>
        <v>8581</v>
      </c>
      <c r="W365" s="16">
        <f t="shared" ref="W365" si="1999">IF(OR(LEN(V365)=0,V365=0),"",V365-V364)</f>
        <v>194</v>
      </c>
      <c r="X365" s="10">
        <f>운전실적_원본!M365</f>
        <v>195624.1400000006</v>
      </c>
      <c r="Y365" s="10">
        <f>운전실적_원본!N365</f>
        <v>0</v>
      </c>
      <c r="Z365" s="10">
        <f>운전실적_원본!O365</f>
        <v>0</v>
      </c>
      <c r="AA365" s="10">
        <f>운전실적_원본!P365</f>
        <v>53820</v>
      </c>
      <c r="AB365" s="10">
        <f>운전실적_원본!Q365</f>
        <v>0</v>
      </c>
      <c r="AC365" s="10">
        <f>운전실적_원본!R365</f>
        <v>53820</v>
      </c>
      <c r="AD365" s="181">
        <f>운전실적_원본!S365</f>
        <v>24</v>
      </c>
      <c r="AE365" s="181">
        <f>운전실적_원본!T365</f>
        <v>0</v>
      </c>
      <c r="AF365" s="181">
        <f>운전실적_원본!U365</f>
        <v>0</v>
      </c>
      <c r="AG365" s="181">
        <f>운전실적_원본!V365</f>
        <v>8</v>
      </c>
      <c r="AH365" s="106">
        <f t="shared" si="1794"/>
        <v>24</v>
      </c>
      <c r="AI365" s="107">
        <f t="shared" si="1802"/>
        <v>0</v>
      </c>
      <c r="AJ365" s="107">
        <f t="shared" si="1803"/>
        <v>0</v>
      </c>
      <c r="AK365" s="204">
        <f t="shared" si="1804"/>
        <v>8.3833333333333329</v>
      </c>
      <c r="AL365" s="103">
        <v>46017</v>
      </c>
      <c r="AM365" s="103">
        <v>46018</v>
      </c>
      <c r="AN365" s="103"/>
      <c r="AO365" s="103"/>
      <c r="AP365" s="103"/>
      <c r="AQ365" s="105"/>
      <c r="AR365" s="103"/>
      <c r="AS365" s="103"/>
      <c r="AT365" s="101"/>
      <c r="AU365" s="101"/>
      <c r="AV365" s="101">
        <v>0.40625</v>
      </c>
      <c r="AW365" s="101">
        <v>0.75555555555555554</v>
      </c>
      <c r="AX365" s="32">
        <f>운전실적_원본!W365</f>
        <v>1243</v>
      </c>
      <c r="AY365" s="198">
        <f>운전실적_원본!X365</f>
        <v>0</v>
      </c>
      <c r="AZ365" s="198">
        <f>운전실적_원본!Y365</f>
        <v>0</v>
      </c>
      <c r="BA365" s="198">
        <f>운전실적_원본!Z365</f>
        <v>475</v>
      </c>
      <c r="BB365" s="198">
        <f>운전실적_원본!AA365</f>
        <v>475</v>
      </c>
      <c r="BC365" s="198">
        <f>운전실적_원본!AB365</f>
        <v>1718</v>
      </c>
      <c r="BD365" s="32">
        <f t="shared" si="1787"/>
        <v>51.791666666666664</v>
      </c>
      <c r="BE365" s="11">
        <f t="shared" si="1795"/>
        <v>1.0078160472206006</v>
      </c>
      <c r="BF365" s="11">
        <f>운전실적_원본!AE365</f>
        <v>0</v>
      </c>
      <c r="BG365" s="31">
        <f t="shared" si="1788"/>
        <v>0</v>
      </c>
    </row>
    <row r="366" spans="1:59">
      <c r="A366" s="6">
        <f t="shared" si="1796"/>
        <v>46018</v>
      </c>
      <c r="B366" s="15">
        <f>운전실적_원본!B366</f>
        <v>651.20000000000005</v>
      </c>
      <c r="C366" s="16">
        <f t="shared" si="1965"/>
        <v>0</v>
      </c>
      <c r="D366" s="9">
        <f>운전실적_원본!C366</f>
        <v>247460</v>
      </c>
      <c r="E366" s="199">
        <f t="shared" si="1966"/>
        <v>0</v>
      </c>
      <c r="F366" s="9">
        <f>운전실적_원본!D366</f>
        <v>239517</v>
      </c>
      <c r="G366" s="16">
        <f t="shared" si="1967"/>
        <v>42</v>
      </c>
      <c r="H366" s="15">
        <f>운전실적_원본!E366</f>
        <v>16984.12</v>
      </c>
      <c r="I366" s="16">
        <f t="shared" si="1968"/>
        <v>3.8899999999994179</v>
      </c>
      <c r="J366" s="15">
        <f>운전실적_원본!E366</f>
        <v>16984.12</v>
      </c>
      <c r="K366" s="16">
        <f t="shared" si="1968"/>
        <v>3.8899999999994179</v>
      </c>
      <c r="L366" s="15">
        <f>운전실적_원본!G366</f>
        <v>4030.2</v>
      </c>
      <c r="M366" s="31">
        <f t="shared" ref="M366" si="2000">IF(OR(LEN(L366)=0,L366=0),"",L366-L365)</f>
        <v>0.6999999999998181</v>
      </c>
      <c r="N366" s="15">
        <f>운전실적_원본!H366</f>
        <v>32546</v>
      </c>
      <c r="O366" s="16">
        <f t="shared" ref="O366" si="2001">IF(OR(LEN(N366)=0,N366=0),"",N366-N365)</f>
        <v>86</v>
      </c>
      <c r="P366" s="15">
        <f>운전실적_원본!I366</f>
        <v>14150</v>
      </c>
      <c r="Q366" s="16">
        <f t="shared" ref="Q366" si="2002">IF(OR(LEN(P366)=0,P366=0),"",P366-P365)</f>
        <v>116</v>
      </c>
      <c r="R366" s="18">
        <f>운전실적_원본!J366</f>
        <v>33.33</v>
      </c>
      <c r="S366" s="19">
        <f t="shared" ref="S366" si="2003">IF(OR(LEN(R366)=0,R366=0),"",R366-R365)</f>
        <v>8.9999999999996305E-2</v>
      </c>
      <c r="T366" s="18">
        <f>운전실적_원본!K366</f>
        <v>33.090000000000003</v>
      </c>
      <c r="U366" s="19">
        <f t="shared" si="1973"/>
        <v>5.0000000000004263E-2</v>
      </c>
      <c r="V366" s="12">
        <f>운전실적_원본!L366</f>
        <v>8595</v>
      </c>
      <c r="W366" s="16">
        <f t="shared" ref="W366" si="2004">IF(OR(LEN(V366)=0,V366=0),"",V366-V365)</f>
        <v>14</v>
      </c>
      <c r="X366" s="10">
        <f>운전실적_원본!M366</f>
        <v>198232.20000000298</v>
      </c>
      <c r="Y366" s="10">
        <f>운전실적_원본!N366</f>
        <v>0</v>
      </c>
      <c r="Z366" s="10">
        <f>운전실적_원본!O366</f>
        <v>0</v>
      </c>
      <c r="AA366" s="10">
        <f>운전실적_원본!P366</f>
        <v>25426.799999999814</v>
      </c>
      <c r="AB366" s="10">
        <f>운전실적_원본!Q366</f>
        <v>0</v>
      </c>
      <c r="AC366" s="10">
        <f>운전실적_원본!R366</f>
        <v>25426.799999999814</v>
      </c>
      <c r="AD366" s="181">
        <f>운전실적_원본!S366</f>
        <v>24</v>
      </c>
      <c r="AE366" s="181">
        <f>운전실적_원본!T366</f>
        <v>0</v>
      </c>
      <c r="AF366" s="181">
        <f>운전실적_원본!U366</f>
        <v>0</v>
      </c>
      <c r="AG366" s="181">
        <f>운전실적_원본!V366</f>
        <v>4</v>
      </c>
      <c r="AH366" s="106">
        <f t="shared" si="1794"/>
        <v>24</v>
      </c>
      <c r="AI366" s="107">
        <f t="shared" si="1802"/>
        <v>0</v>
      </c>
      <c r="AJ366" s="107">
        <f t="shared" si="1803"/>
        <v>0</v>
      </c>
      <c r="AK366" s="204">
        <f t="shared" si="1804"/>
        <v>4</v>
      </c>
      <c r="AL366" s="103">
        <v>46018</v>
      </c>
      <c r="AM366" s="103">
        <v>46019</v>
      </c>
      <c r="AN366" s="103"/>
      <c r="AO366" s="103"/>
      <c r="AP366" s="103"/>
      <c r="AQ366" s="105"/>
      <c r="AR366" s="103"/>
      <c r="AS366" s="103"/>
      <c r="AT366" s="101"/>
      <c r="AU366" s="101"/>
      <c r="AV366" s="101">
        <v>0.20833333333333334</v>
      </c>
      <c r="AW366" s="101">
        <v>0.375</v>
      </c>
      <c r="AX366" s="32">
        <f>운전실적_원본!W366</f>
        <v>1250</v>
      </c>
      <c r="AY366" s="198">
        <f>운전실적_원본!X366</f>
        <v>0</v>
      </c>
      <c r="AZ366" s="198">
        <f>운전실적_원본!Y366</f>
        <v>0</v>
      </c>
      <c r="BA366" s="198">
        <f>운전실적_원본!Z366</f>
        <v>225</v>
      </c>
      <c r="BB366" s="198">
        <f>운전실적_원본!AA366</f>
        <v>225</v>
      </c>
      <c r="BC366" s="198">
        <f>운전실적_원본!AB366</f>
        <v>1475</v>
      </c>
      <c r="BD366" s="32">
        <f t="shared" si="1787"/>
        <v>52.083333333333336</v>
      </c>
      <c r="BE366" s="11">
        <f t="shared" si="1795"/>
        <v>1.0134916001816177</v>
      </c>
      <c r="BF366" s="11">
        <f>운전실적_원본!AE366</f>
        <v>0</v>
      </c>
      <c r="BG366" s="31">
        <f t="shared" si="1788"/>
        <v>0</v>
      </c>
    </row>
    <row r="367" spans="1:59">
      <c r="A367" s="6">
        <f t="shared" si="1796"/>
        <v>46019</v>
      </c>
      <c r="B367" s="15">
        <f>운전실적_원본!B367</f>
        <v>651.20000000000005</v>
      </c>
      <c r="C367" s="16">
        <f t="shared" si="1965"/>
        <v>0</v>
      </c>
      <c r="D367" s="9">
        <f>운전실적_원본!C367</f>
        <v>247499</v>
      </c>
      <c r="E367" s="199">
        <f t="shared" si="1966"/>
        <v>39</v>
      </c>
      <c r="F367" s="9">
        <f>운전실적_원본!D367</f>
        <v>239517</v>
      </c>
      <c r="G367" s="16">
        <f t="shared" si="1967"/>
        <v>0</v>
      </c>
      <c r="H367" s="15">
        <f>운전실적_원본!E367</f>
        <v>16988.12</v>
      </c>
      <c r="I367" s="16">
        <f t="shared" si="1968"/>
        <v>4</v>
      </c>
      <c r="J367" s="15">
        <f>운전실적_원본!E367</f>
        <v>16988.12</v>
      </c>
      <c r="K367" s="16">
        <f t="shared" si="1968"/>
        <v>4</v>
      </c>
      <c r="L367" s="15">
        <f>운전실적_원본!G367</f>
        <v>4030.9</v>
      </c>
      <c r="M367" s="31">
        <f t="shared" ref="M367" si="2005">IF(OR(LEN(L367)=0,L367=0),"",L367-L366)</f>
        <v>0.70000000000027285</v>
      </c>
      <c r="N367" s="15">
        <f>운전실적_원본!H367</f>
        <v>32603</v>
      </c>
      <c r="O367" s="16">
        <f t="shared" ref="O367" si="2006">IF(OR(LEN(N367)=0,N367=0),"",N367-N366)</f>
        <v>57</v>
      </c>
      <c r="P367" s="15">
        <f>운전실적_원본!I367</f>
        <v>14265</v>
      </c>
      <c r="Q367" s="16">
        <f t="shared" ref="Q367" si="2007">IF(OR(LEN(P367)=0,P367=0),"",P367-P366)</f>
        <v>115</v>
      </c>
      <c r="R367" s="18">
        <f>운전실적_원본!J367</f>
        <v>33.4</v>
      </c>
      <c r="S367" s="19">
        <f t="shared" ref="S367" si="2008">IF(OR(LEN(R367)=0,R367=0),"",R367-R366)</f>
        <v>7.0000000000000284E-2</v>
      </c>
      <c r="T367" s="18">
        <f>운전실적_원본!K367</f>
        <v>33.1</v>
      </c>
      <c r="U367" s="19">
        <f t="shared" si="1973"/>
        <v>9.9999999999980105E-3</v>
      </c>
      <c r="V367" s="12">
        <f>운전실적_원본!L367</f>
        <v>8494</v>
      </c>
      <c r="W367" s="16">
        <f t="shared" ref="W367" si="2009">IF(OR(LEN(V367)=0,V367=0),"",V367-V366)</f>
        <v>-101</v>
      </c>
      <c r="X367" s="10">
        <f>운전실적_원본!M367</f>
        <v>197996.89999999851</v>
      </c>
      <c r="Y367" s="10">
        <f>운전실적_원본!N367</f>
        <v>0</v>
      </c>
      <c r="Z367" s="10">
        <f>운전실적_원본!O367</f>
        <v>0</v>
      </c>
      <c r="AA367" s="10">
        <f>운전실적_원본!P367</f>
        <v>0</v>
      </c>
      <c r="AB367" s="10">
        <f>운전실적_원본!Q367</f>
        <v>0</v>
      </c>
      <c r="AC367" s="10">
        <f>운전실적_원본!R367</f>
        <v>0</v>
      </c>
      <c r="AD367" s="181">
        <f>운전실적_원본!S367</f>
        <v>24</v>
      </c>
      <c r="AE367" s="181">
        <f>운전실적_원본!T367</f>
        <v>0</v>
      </c>
      <c r="AF367" s="181">
        <f>운전실적_원본!U367</f>
        <v>0</v>
      </c>
      <c r="AG367" s="181">
        <f>운전실적_원본!V367</f>
        <v>0</v>
      </c>
      <c r="AH367" s="106">
        <f t="shared" si="1794"/>
        <v>24</v>
      </c>
      <c r="AI367" s="107">
        <f t="shared" si="1802"/>
        <v>0</v>
      </c>
      <c r="AJ367" s="107">
        <f t="shared" si="1803"/>
        <v>0</v>
      </c>
      <c r="AK367" s="204">
        <f t="shared" si="1804"/>
        <v>0</v>
      </c>
      <c r="AL367" s="103">
        <v>46019</v>
      </c>
      <c r="AM367" s="103">
        <v>46020</v>
      </c>
      <c r="AN367" s="103"/>
      <c r="AO367" s="103"/>
      <c r="AP367" s="103"/>
      <c r="AQ367" s="105"/>
      <c r="AR367" s="103"/>
      <c r="AS367" s="103"/>
      <c r="AT367" s="101"/>
      <c r="AU367" s="101"/>
      <c r="AV367" s="101"/>
      <c r="AW367" s="101"/>
      <c r="AX367" s="32">
        <f>운전실적_원본!W367</f>
        <v>1251</v>
      </c>
      <c r="AY367" s="198">
        <f>운전실적_원본!X367</f>
        <v>0</v>
      </c>
      <c r="AZ367" s="198">
        <f>운전실적_원본!Y367</f>
        <v>0</v>
      </c>
      <c r="BA367" s="198">
        <f>운전실적_원본!Z367</f>
        <v>0</v>
      </c>
      <c r="BB367" s="198">
        <f>운전실적_원본!AA367</f>
        <v>0</v>
      </c>
      <c r="BC367" s="198">
        <f>운전실적_원본!AB367</f>
        <v>1251</v>
      </c>
      <c r="BD367" s="32">
        <f t="shared" si="1787"/>
        <v>52.125</v>
      </c>
      <c r="BE367" s="11">
        <f t="shared" si="1795"/>
        <v>1.014302393461763</v>
      </c>
      <c r="BF367" s="11">
        <f>운전실적_원본!AE367</f>
        <v>0</v>
      </c>
      <c r="BG367" s="31">
        <f t="shared" si="1788"/>
        <v>0</v>
      </c>
    </row>
    <row r="368" spans="1:59">
      <c r="A368" s="6">
        <f t="shared" si="1796"/>
        <v>46020</v>
      </c>
      <c r="B368" s="15">
        <f>운전실적_원본!B368</f>
        <v>651.20000000000005</v>
      </c>
      <c r="C368" s="16">
        <f t="shared" si="1965"/>
        <v>0</v>
      </c>
      <c r="D368" s="9">
        <f>운전실적_원본!C368</f>
        <v>247577</v>
      </c>
      <c r="E368" s="199">
        <f t="shared" si="1966"/>
        <v>78</v>
      </c>
      <c r="F368" s="9">
        <f>운전실적_원본!D368</f>
        <v>239562</v>
      </c>
      <c r="G368" s="16">
        <f t="shared" si="1967"/>
        <v>45</v>
      </c>
      <c r="H368" s="15">
        <f>운전실적_원본!E368</f>
        <v>16991.919999999998</v>
      </c>
      <c r="I368" s="16">
        <f t="shared" si="1968"/>
        <v>3.7999999999992724</v>
      </c>
      <c r="J368" s="15">
        <f>운전실적_원본!E368</f>
        <v>16991.919999999998</v>
      </c>
      <c r="K368" s="16">
        <f t="shared" si="1968"/>
        <v>3.7999999999992724</v>
      </c>
      <c r="L368" s="15">
        <f>운전실적_원본!G368</f>
        <v>4031.8</v>
      </c>
      <c r="M368" s="31">
        <f t="shared" ref="M368" si="2010">IF(OR(LEN(L368)=0,L368=0),"",L368-L367)</f>
        <v>0.90000000000009095</v>
      </c>
      <c r="N368" s="15">
        <f>운전실적_원본!H368</f>
        <v>32664</v>
      </c>
      <c r="O368" s="16">
        <f t="shared" ref="O368" si="2011">IF(OR(LEN(N368)=0,N368=0),"",N368-N367)</f>
        <v>61</v>
      </c>
      <c r="P368" s="15">
        <f>운전실적_원본!I368</f>
        <v>14458</v>
      </c>
      <c r="Q368" s="16">
        <f t="shared" ref="Q368" si="2012">IF(OR(LEN(P368)=0,P368=0),"",P368-P367)</f>
        <v>193</v>
      </c>
      <c r="R368" s="18">
        <f>운전실적_원본!J368</f>
        <v>33.58</v>
      </c>
      <c r="S368" s="19">
        <f t="shared" ref="S368" si="2013">IF(OR(LEN(R368)=0,R368=0),"",R368-R367)</f>
        <v>0.17999999999999972</v>
      </c>
      <c r="T368" s="18">
        <f>운전실적_원본!K368</f>
        <v>33.097000000000001</v>
      </c>
      <c r="U368" s="19">
        <f t="shared" si="1973"/>
        <v>-3.0000000000001137E-3</v>
      </c>
      <c r="V368" s="12">
        <f>운전실적_원본!L368</f>
        <v>8586</v>
      </c>
      <c r="W368" s="16">
        <f t="shared" ref="W368" si="2014">IF(OR(LEN(V368)=0,V368=0),"",V368-V367)</f>
        <v>92</v>
      </c>
      <c r="X368" s="10">
        <f>운전실적_원본!M368</f>
        <v>170835.87999999523</v>
      </c>
      <c r="Y368" s="10">
        <f>운전실적_원본!N368</f>
        <v>0</v>
      </c>
      <c r="Z368" s="10">
        <f>운전실적_원본!O368</f>
        <v>0</v>
      </c>
      <c r="AA368" s="10">
        <f>운전실적_원본!P368</f>
        <v>0</v>
      </c>
      <c r="AB368" s="10">
        <f>운전실적_원본!Q368</f>
        <v>0</v>
      </c>
      <c r="AC368" s="10">
        <f>운전실적_원본!R368</f>
        <v>0</v>
      </c>
      <c r="AD368" s="181">
        <f>운전실적_원본!S368</f>
        <v>24</v>
      </c>
      <c r="AE368" s="181">
        <f>운전실적_원본!T368</f>
        <v>0</v>
      </c>
      <c r="AF368" s="181">
        <f>운전실적_원본!U368</f>
        <v>0</v>
      </c>
      <c r="AG368" s="181">
        <f>운전실적_원본!V368</f>
        <v>0</v>
      </c>
      <c r="AH368" s="106">
        <f t="shared" si="1794"/>
        <v>24</v>
      </c>
      <c r="AI368" s="107">
        <f t="shared" si="1802"/>
        <v>0</v>
      </c>
      <c r="AJ368" s="107">
        <f t="shared" si="1803"/>
        <v>0</v>
      </c>
      <c r="AK368" s="204">
        <f t="shared" si="1804"/>
        <v>0</v>
      </c>
      <c r="AL368" s="103">
        <v>46020</v>
      </c>
      <c r="AM368" s="103">
        <v>46021</v>
      </c>
      <c r="AN368" s="103"/>
      <c r="AO368" s="103"/>
      <c r="AP368" s="103"/>
      <c r="AQ368" s="105"/>
      <c r="AR368" s="103"/>
      <c r="AS368" s="103"/>
      <c r="AT368" s="101"/>
      <c r="AU368" s="101"/>
      <c r="AV368" s="101"/>
      <c r="AW368" s="101"/>
      <c r="AX368" s="32">
        <f>운전실적_원본!W368</f>
        <v>1098.098</v>
      </c>
      <c r="AY368" s="198">
        <f>운전실적_원본!X368</f>
        <v>0</v>
      </c>
      <c r="AZ368" s="198">
        <f>운전실적_원본!Y368</f>
        <v>0</v>
      </c>
      <c r="BA368" s="198">
        <f>운전실적_원본!Z368</f>
        <v>0</v>
      </c>
      <c r="BB368" s="198">
        <f>운전실적_원본!AA368</f>
        <v>0</v>
      </c>
      <c r="BC368" s="198">
        <f>운전실적_원본!AB368</f>
        <v>1098.098</v>
      </c>
      <c r="BD368" s="32">
        <f t="shared" si="1787"/>
        <v>45.754083333333334</v>
      </c>
      <c r="BE368" s="11">
        <f t="shared" si="1795"/>
        <v>0.89033047934098719</v>
      </c>
      <c r="BF368" s="11">
        <f>운전실적_원본!AE368</f>
        <v>0</v>
      </c>
      <c r="BG368" s="31">
        <f t="shared" si="1788"/>
        <v>0</v>
      </c>
    </row>
    <row r="369" spans="1:59">
      <c r="A369" s="6">
        <f t="shared" si="1796"/>
        <v>46021</v>
      </c>
      <c r="B369" s="15">
        <f>운전실적_원본!B369</f>
        <v>651.20000000000005</v>
      </c>
      <c r="C369" s="16">
        <f t="shared" si="1965"/>
        <v>0</v>
      </c>
      <c r="D369" s="9">
        <f>운전실적_원본!C369</f>
        <v>247621</v>
      </c>
      <c r="E369" s="199">
        <f t="shared" si="1966"/>
        <v>44</v>
      </c>
      <c r="F369" s="9">
        <f>운전실적_원본!D369</f>
        <v>239580</v>
      </c>
      <c r="G369" s="16">
        <f t="shared" si="1967"/>
        <v>18</v>
      </c>
      <c r="H369" s="15">
        <f>운전실적_원본!E369</f>
        <v>16998.23</v>
      </c>
      <c r="I369" s="16">
        <f t="shared" si="1968"/>
        <v>6.3100000000013097</v>
      </c>
      <c r="J369" s="15">
        <f>운전실적_원본!E369</f>
        <v>16998.23</v>
      </c>
      <c r="K369" s="16">
        <f t="shared" si="1968"/>
        <v>6.3100000000013097</v>
      </c>
      <c r="L369" s="15">
        <f>운전실적_원본!G369</f>
        <v>4033.1</v>
      </c>
      <c r="M369" s="31">
        <f t="shared" ref="M369" si="2015">IF(OR(LEN(L369)=0,L369=0),"",L369-L368)</f>
        <v>1.2999999999997272</v>
      </c>
      <c r="N369" s="15">
        <f>운전실적_원본!H369</f>
        <v>32794</v>
      </c>
      <c r="O369" s="16">
        <f t="shared" ref="O369" si="2016">IF(OR(LEN(N369)=0,N369=0),"",N369-N368)</f>
        <v>130</v>
      </c>
      <c r="P369" s="15">
        <f>운전실적_원본!I369</f>
        <v>14615</v>
      </c>
      <c r="Q369" s="16">
        <f t="shared" ref="Q369" si="2017">IF(OR(LEN(P369)=0,P369=0),"",P369-P368)</f>
        <v>157</v>
      </c>
      <c r="R369" s="18">
        <f>운전실적_원본!J369</f>
        <v>33.799999999999997</v>
      </c>
      <c r="S369" s="19">
        <f t="shared" ref="S369" si="2018">IF(OR(LEN(R369)=0,R369=0),"",R369-R368)</f>
        <v>0.21999999999999886</v>
      </c>
      <c r="T369" s="18">
        <f>운전실적_원본!K369</f>
        <v>33.07</v>
      </c>
      <c r="U369" s="19">
        <f t="shared" si="1973"/>
        <v>-2.7000000000001023E-2</v>
      </c>
      <c r="V369" s="12">
        <f>운전실적_원본!L369</f>
        <v>8016</v>
      </c>
      <c r="W369" s="16">
        <f t="shared" ref="W369" si="2019">IF(OR(LEN(V369)=0,V369=0),"",V369-V368)</f>
        <v>-570</v>
      </c>
      <c r="X369" s="10">
        <f>운전실적_원본!M369</f>
        <v>193992.22000000626</v>
      </c>
      <c r="Y369" s="10">
        <f>운전실적_원본!N369</f>
        <v>0</v>
      </c>
      <c r="Z369" s="10">
        <f>운전실적_원본!O369</f>
        <v>0</v>
      </c>
      <c r="AA369" s="10">
        <f>운전실적_원본!P369</f>
        <v>0</v>
      </c>
      <c r="AB369" s="10">
        <f>운전실적_원본!Q369</f>
        <v>0</v>
      </c>
      <c r="AC369" s="10">
        <f>운전실적_원본!R369</f>
        <v>0</v>
      </c>
      <c r="AD369" s="181">
        <f>운전실적_원본!S369</f>
        <v>24</v>
      </c>
      <c r="AE369" s="181">
        <f>운전실적_원본!T369</f>
        <v>0</v>
      </c>
      <c r="AF369" s="181">
        <f>운전실적_원본!U369</f>
        <v>0</v>
      </c>
      <c r="AG369" s="181">
        <f>운전실적_원본!V369</f>
        <v>0</v>
      </c>
      <c r="AH369" s="106">
        <f t="shared" si="1794"/>
        <v>24</v>
      </c>
      <c r="AI369" s="107">
        <f t="shared" si="1802"/>
        <v>0</v>
      </c>
      <c r="AJ369" s="107">
        <f t="shared" si="1803"/>
        <v>0</v>
      </c>
      <c r="AK369" s="204">
        <f t="shared" si="1804"/>
        <v>0</v>
      </c>
      <c r="AL369" s="103">
        <v>46021</v>
      </c>
      <c r="AM369" s="103">
        <v>46022</v>
      </c>
      <c r="AN369" s="103"/>
      <c r="AO369" s="103"/>
      <c r="AP369" s="103"/>
      <c r="AQ369" s="105"/>
      <c r="AR369" s="103"/>
      <c r="AS369" s="103"/>
      <c r="AT369" s="101"/>
      <c r="AU369" s="101"/>
      <c r="AV369" s="101"/>
      <c r="AW369" s="101"/>
      <c r="AX369" s="32">
        <f>운전실적_원본!W369</f>
        <v>1238.2479999999996</v>
      </c>
      <c r="AY369" s="198">
        <f>운전실적_원본!X369</f>
        <v>0</v>
      </c>
      <c r="AZ369" s="198">
        <f>운전실적_원본!Y369</f>
        <v>0</v>
      </c>
      <c r="BA369" s="198">
        <f>운전실적_원본!Z369</f>
        <v>0</v>
      </c>
      <c r="BB369" s="198">
        <f>운전실적_원본!AA369</f>
        <v>0</v>
      </c>
      <c r="BC369" s="198">
        <f>운전실적_원본!AB369</f>
        <v>1238.2479999999996</v>
      </c>
      <c r="BD369" s="32">
        <f t="shared" si="1787"/>
        <v>51.59366666666665</v>
      </c>
      <c r="BE369" s="11">
        <f t="shared" si="1795"/>
        <v>1.0039631575533499</v>
      </c>
      <c r="BF369" s="11">
        <f>운전실적_원본!AE369</f>
        <v>0</v>
      </c>
      <c r="BG369" s="31">
        <f t="shared" si="1788"/>
        <v>0</v>
      </c>
    </row>
    <row r="370" spans="1:59" s="197" customFormat="1">
      <c r="A370" s="205">
        <f t="shared" si="1796"/>
        <v>46022</v>
      </c>
      <c r="B370" s="182">
        <f>운전실적_원본!B370</f>
        <v>651.20000000000005</v>
      </c>
      <c r="C370" s="183">
        <f t="shared" si="1965"/>
        <v>0</v>
      </c>
      <c r="D370" s="184">
        <f>운전실적_원본!C370</f>
        <v>247667</v>
      </c>
      <c r="E370" s="202">
        <f t="shared" si="1966"/>
        <v>46</v>
      </c>
      <c r="F370" s="184">
        <f>운전실적_원본!D370</f>
        <v>239580</v>
      </c>
      <c r="G370" s="183">
        <f t="shared" si="1967"/>
        <v>0</v>
      </c>
      <c r="H370" s="182">
        <f>운전실적_원본!E370</f>
        <v>17003.900000000001</v>
      </c>
      <c r="I370" s="183">
        <f t="shared" si="1968"/>
        <v>5.6700000000018917</v>
      </c>
      <c r="J370" s="182">
        <f>운전실적_원본!E370</f>
        <v>17003.900000000001</v>
      </c>
      <c r="K370" s="183">
        <f t="shared" si="1968"/>
        <v>5.6700000000018917</v>
      </c>
      <c r="L370" s="182">
        <f>운전실적_원본!G370</f>
        <v>4034.1</v>
      </c>
      <c r="M370" s="185">
        <f t="shared" ref="M370" si="2020">IF(OR(LEN(L370)=0,L370=0),"",L370-L369)</f>
        <v>1</v>
      </c>
      <c r="N370" s="182">
        <f>운전실적_원본!H370</f>
        <v>32935</v>
      </c>
      <c r="O370" s="183">
        <f t="shared" ref="O370" si="2021">IF(OR(LEN(N370)=0,N370=0),"",N370-N369)</f>
        <v>141</v>
      </c>
      <c r="P370" s="182">
        <f>운전실적_원본!I370</f>
        <v>14730</v>
      </c>
      <c r="Q370" s="183">
        <f t="shared" ref="Q370" si="2022">IF(OR(LEN(P370)=0,P370=0),"",P370-P369)</f>
        <v>115</v>
      </c>
      <c r="R370" s="186">
        <f>운전실적_원본!J370</f>
        <v>33.53</v>
      </c>
      <c r="S370" s="187">
        <f t="shared" ref="S370" si="2023">IF(OR(LEN(R370)=0,R370=0),"",R370-R369)</f>
        <v>-0.26999999999999602</v>
      </c>
      <c r="T370" s="186">
        <f>운전실적_원본!K370</f>
        <v>33.04</v>
      </c>
      <c r="U370" s="187">
        <f t="shared" si="1973"/>
        <v>-3.0000000000001137E-2</v>
      </c>
      <c r="V370" s="184">
        <f>운전실적_원본!L370</f>
        <v>8039</v>
      </c>
      <c r="W370" s="183">
        <f t="shared" ref="W370" si="2024">IF(OR(LEN(V370)=0,V370=0),"",V370-V369)</f>
        <v>23</v>
      </c>
      <c r="X370" s="188">
        <f>운전실적_원본!M370</f>
        <v>198795.29999999702</v>
      </c>
      <c r="Y370" s="188">
        <f>운전실적_원본!N370</f>
        <v>0</v>
      </c>
      <c r="Z370" s="188">
        <f>운전실적_원본!O370</f>
        <v>0</v>
      </c>
      <c r="AA370" s="188">
        <f>운전실적_원본!P370</f>
        <v>0</v>
      </c>
      <c r="AB370" s="188">
        <f>운전실적_원본!Q370</f>
        <v>0</v>
      </c>
      <c r="AC370" s="188">
        <f>운전실적_원본!R370</f>
        <v>0</v>
      </c>
      <c r="AD370" s="189">
        <f>운전실적_원본!S370</f>
        <v>24</v>
      </c>
      <c r="AE370" s="189">
        <f>운전실적_원본!T370</f>
        <v>0</v>
      </c>
      <c r="AF370" s="189">
        <f>운전실적_원본!U370</f>
        <v>0</v>
      </c>
      <c r="AG370" s="189">
        <f>운전실적_원본!V370</f>
        <v>0</v>
      </c>
      <c r="AH370" s="190">
        <f t="shared" si="1794"/>
        <v>24</v>
      </c>
      <c r="AI370" s="191">
        <f t="shared" si="1802"/>
        <v>0</v>
      </c>
      <c r="AJ370" s="191">
        <f t="shared" si="1803"/>
        <v>0</v>
      </c>
      <c r="AK370" s="206">
        <f t="shared" si="1804"/>
        <v>0</v>
      </c>
      <c r="AL370" s="192">
        <v>46022</v>
      </c>
      <c r="AM370" s="192">
        <v>46023</v>
      </c>
      <c r="AN370" s="192"/>
      <c r="AO370" s="192"/>
      <c r="AP370" s="192"/>
      <c r="AQ370" s="192"/>
      <c r="AR370" s="192"/>
      <c r="AS370" s="192"/>
      <c r="AT370" s="194"/>
      <c r="AU370" s="194"/>
      <c r="AV370" s="194"/>
      <c r="AW370" s="194"/>
      <c r="AX370" s="195">
        <f>운전실적_원본!W370</f>
        <v>1248.6540000000005</v>
      </c>
      <c r="AY370" s="196">
        <f>운전실적_원본!X370</f>
        <v>0</v>
      </c>
      <c r="AZ370" s="196">
        <f>운전실적_원본!Y370</f>
        <v>0</v>
      </c>
      <c r="BA370" s="196">
        <f>운전실적_원본!Z370</f>
        <v>0</v>
      </c>
      <c r="BB370" s="196">
        <f>운전실적_원본!AA370</f>
        <v>0</v>
      </c>
      <c r="BC370" s="185">
        <f>운전실적_원본!AB370</f>
        <v>1248.6540000000005</v>
      </c>
      <c r="BD370" s="195">
        <f t="shared" si="1787"/>
        <v>52.027250000000016</v>
      </c>
      <c r="BE370" s="196">
        <f t="shared" si="1795"/>
        <v>1.0124002724265424</v>
      </c>
      <c r="BF370" s="196">
        <f>운전실적_원본!AE370</f>
        <v>0</v>
      </c>
      <c r="BG370" s="185">
        <f t="shared" si="1788"/>
        <v>0</v>
      </c>
    </row>
  </sheetData>
  <phoneticPr fontId="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52AB-8E7E-44B6-8205-4299823E86D0}">
  <dimension ref="A2:AC594"/>
  <sheetViews>
    <sheetView showGridLines="0" tabSelected="1" topLeftCell="L1" zoomScale="85" zoomScaleNormal="85" workbookViewId="0">
      <pane ySplit="4" topLeftCell="A344" activePane="bottomLeft" state="frozen"/>
      <selection pane="bottomLeft" activeCell="AC370" sqref="AC370"/>
    </sheetView>
  </sheetViews>
  <sheetFormatPr defaultColWidth="8.625" defaultRowHeight="16.5"/>
  <cols>
    <col min="1" max="1" width="9.75" style="8" bestFit="1" customWidth="1"/>
    <col min="2" max="2" width="8.625" style="8"/>
    <col min="3" max="4" width="10" style="8" bestFit="1" customWidth="1"/>
    <col min="5" max="5" width="8.625" style="8"/>
    <col min="6" max="6" width="9.125" style="8" bestFit="1" customWidth="1"/>
    <col min="7" max="12" width="8.625" style="8"/>
    <col min="13" max="16" width="11.625" style="8" customWidth="1"/>
    <col min="17" max="17" width="15" style="8" bestFit="1" customWidth="1"/>
    <col min="18" max="18" width="11.625" style="8" customWidth="1"/>
    <col min="19" max="22" width="8.625" style="8"/>
    <col min="23" max="23" width="11.625" style="8" bestFit="1" customWidth="1"/>
    <col min="24" max="26" width="6.625" style="8" bestFit="1" customWidth="1"/>
    <col min="27" max="27" width="11.25" style="8" bestFit="1" customWidth="1"/>
    <col min="28" max="28" width="7.625" style="8" bestFit="1" customWidth="1"/>
    <col min="29" max="16384" width="8.625" style="8"/>
  </cols>
  <sheetData>
    <row r="2" spans="1:29">
      <c r="A2" s="180">
        <v>45658</v>
      </c>
    </row>
    <row r="3" spans="1:29">
      <c r="A3" s="4" t="s">
        <v>54</v>
      </c>
      <c r="B3" s="1" t="s">
        <v>93</v>
      </c>
      <c r="C3" s="1" t="s">
        <v>93</v>
      </c>
      <c r="D3" s="1" t="s">
        <v>93</v>
      </c>
      <c r="E3" s="1" t="s">
        <v>93</v>
      </c>
      <c r="F3" s="1" t="s">
        <v>93</v>
      </c>
      <c r="G3" s="1" t="s">
        <v>94</v>
      </c>
      <c r="H3" s="1" t="s">
        <v>93</v>
      </c>
      <c r="I3" s="1" t="s">
        <v>117</v>
      </c>
      <c r="J3" s="1" t="s">
        <v>96</v>
      </c>
      <c r="K3" s="1" t="s">
        <v>96</v>
      </c>
      <c r="L3" s="1" t="s">
        <v>97</v>
      </c>
      <c r="M3" s="33" t="s">
        <v>118</v>
      </c>
      <c r="N3" s="33"/>
      <c r="O3" s="33"/>
      <c r="P3" s="33"/>
      <c r="Q3" s="33"/>
      <c r="R3" s="33"/>
      <c r="S3" s="208" t="s">
        <v>68</v>
      </c>
      <c r="T3" s="208"/>
      <c r="U3" s="208"/>
      <c r="V3" s="208"/>
      <c r="W3" s="33" t="s">
        <v>119</v>
      </c>
      <c r="X3" s="33"/>
      <c r="Y3" s="33"/>
      <c r="Z3" s="33"/>
      <c r="AA3" s="33"/>
      <c r="AB3" s="33"/>
      <c r="AC3" s="33" t="s">
        <v>176</v>
      </c>
    </row>
    <row r="4" spans="1:29">
      <c r="A4" s="5" t="s">
        <v>102</v>
      </c>
      <c r="B4" s="2" t="s">
        <v>103</v>
      </c>
      <c r="C4" s="2" t="s">
        <v>104</v>
      </c>
      <c r="D4" s="2" t="s">
        <v>105</v>
      </c>
      <c r="E4" s="2" t="s">
        <v>106</v>
      </c>
      <c r="F4" s="2" t="s">
        <v>107</v>
      </c>
      <c r="G4" s="2" t="s">
        <v>108</v>
      </c>
      <c r="H4" s="2" t="s">
        <v>109</v>
      </c>
      <c r="I4" s="3" t="s">
        <v>110</v>
      </c>
      <c r="J4" s="7" t="s">
        <v>111</v>
      </c>
      <c r="K4" s="7" t="s">
        <v>112</v>
      </c>
      <c r="L4" s="7" t="s">
        <v>113</v>
      </c>
      <c r="M4" s="7" t="s">
        <v>75</v>
      </c>
      <c r="N4" s="7" t="s">
        <v>76</v>
      </c>
      <c r="O4" s="7" t="s">
        <v>77</v>
      </c>
      <c r="P4" s="7" t="s">
        <v>78</v>
      </c>
      <c r="Q4" s="7" t="s">
        <v>79</v>
      </c>
      <c r="R4" s="7" t="s">
        <v>80</v>
      </c>
      <c r="S4" s="7" t="s">
        <v>81</v>
      </c>
      <c r="T4" s="7" t="s">
        <v>82</v>
      </c>
      <c r="U4" s="7" t="s">
        <v>83</v>
      </c>
      <c r="V4" s="7" t="s">
        <v>84</v>
      </c>
      <c r="W4" s="7" t="s">
        <v>85</v>
      </c>
      <c r="X4" s="7" t="s">
        <v>86</v>
      </c>
      <c r="Y4" s="7" t="s">
        <v>87</v>
      </c>
      <c r="Z4" s="7" t="s">
        <v>88</v>
      </c>
      <c r="AA4" s="7" t="s">
        <v>89</v>
      </c>
      <c r="AB4" s="7" t="s">
        <v>90</v>
      </c>
      <c r="AC4" s="7" t="s">
        <v>115</v>
      </c>
    </row>
    <row r="5" spans="1:29">
      <c r="A5" s="6">
        <f>A2-1</f>
        <v>45657</v>
      </c>
      <c r="B5" s="9">
        <v>3486</v>
      </c>
      <c r="C5" s="9">
        <v>226260</v>
      </c>
      <c r="D5" s="9">
        <v>220542</v>
      </c>
      <c r="E5" s="9">
        <v>13810</v>
      </c>
      <c r="F5" s="9">
        <v>10353</v>
      </c>
      <c r="G5" s="9">
        <v>3741.5</v>
      </c>
      <c r="H5" s="9">
        <v>3667</v>
      </c>
      <c r="I5" s="9">
        <v>241771</v>
      </c>
      <c r="J5" s="10">
        <v>30.97</v>
      </c>
      <c r="K5" s="10">
        <v>30.167000000000002</v>
      </c>
      <c r="L5" s="9">
        <f>'[18]key-in(DCO)'!AR4</f>
        <v>0</v>
      </c>
      <c r="M5" s="10">
        <f>[18]생산!AV3</f>
        <v>8660.2999999999993</v>
      </c>
      <c r="N5" s="10">
        <f>[18]생산!AW3</f>
        <v>0</v>
      </c>
      <c r="O5" s="10">
        <f>[18]생산!AX3</f>
        <v>0</v>
      </c>
      <c r="P5" s="10">
        <f>[18]생산!AY3</f>
        <v>0</v>
      </c>
      <c r="Q5" s="10">
        <f>[18]생산!AZ3</f>
        <v>0</v>
      </c>
      <c r="R5" s="10">
        <f>[18]생산!BA3</f>
        <v>0</v>
      </c>
      <c r="S5" s="9">
        <f>[18]운전시간외!C3</f>
        <v>2</v>
      </c>
      <c r="T5" s="9">
        <f>[18]운전시간외!D3</f>
        <v>0</v>
      </c>
      <c r="U5" s="9">
        <f>[18]운전시간외!E3</f>
        <v>0</v>
      </c>
      <c r="V5" s="9">
        <f>[18]운전시간외!F3</f>
        <v>0</v>
      </c>
      <c r="W5" s="11">
        <f>[18]생산!E3</f>
        <v>56.3</v>
      </c>
      <c r="X5" s="11">
        <f>[18]생산!F3</f>
        <v>0</v>
      </c>
      <c r="Y5" s="11">
        <f>[18]생산!G3</f>
        <v>0</v>
      </c>
      <c r="Z5" s="11">
        <f>[18]생산!H3</f>
        <v>0</v>
      </c>
      <c r="AA5" s="11">
        <f>[18]생산!I3</f>
        <v>0</v>
      </c>
      <c r="AB5" s="11">
        <f>[18]생산!J3</f>
        <v>56.3</v>
      </c>
      <c r="AC5" s="48"/>
    </row>
    <row r="6" spans="1:29">
      <c r="A6" s="6">
        <f>A2</f>
        <v>45658</v>
      </c>
      <c r="B6" s="9">
        <v>3536</v>
      </c>
      <c r="C6" s="9">
        <v>226305</v>
      </c>
      <c r="D6" s="9">
        <v>220548</v>
      </c>
      <c r="E6" s="9">
        <v>13811</v>
      </c>
      <c r="F6" s="9">
        <v>10386</v>
      </c>
      <c r="G6" s="9">
        <v>3742.4</v>
      </c>
      <c r="H6" s="9">
        <v>3739</v>
      </c>
      <c r="I6" s="9">
        <v>241878</v>
      </c>
      <c r="J6" s="10">
        <v>30.74</v>
      </c>
      <c r="K6" s="10">
        <v>30.15</v>
      </c>
      <c r="L6" s="9">
        <f>'[18]key-in(DCO)'!AR5</f>
        <v>0</v>
      </c>
      <c r="M6" s="10">
        <f>[18]생산!AV4</f>
        <v>0</v>
      </c>
      <c r="N6" s="10">
        <f>[18]생산!AW4</f>
        <v>0</v>
      </c>
      <c r="O6" s="10">
        <f>[18]생산!AX4</f>
        <v>0</v>
      </c>
      <c r="P6" s="10">
        <f>[18]생산!AY4</f>
        <v>0</v>
      </c>
      <c r="Q6" s="10">
        <f>[18]생산!AZ4</f>
        <v>0</v>
      </c>
      <c r="R6" s="10">
        <f>[18]생산!BA4</f>
        <v>0</v>
      </c>
      <c r="S6" s="9">
        <f>[18]운전시간외!C4</f>
        <v>0</v>
      </c>
      <c r="T6" s="9">
        <f>[18]운전시간외!D4</f>
        <v>0</v>
      </c>
      <c r="U6" s="9">
        <f>[18]운전시간외!E4</f>
        <v>0</v>
      </c>
      <c r="V6" s="9">
        <f>[18]운전시간외!F4</f>
        <v>0</v>
      </c>
      <c r="W6" s="11">
        <f>[18]생산!E4</f>
        <v>0</v>
      </c>
      <c r="X6" s="11">
        <f>[18]생산!F4</f>
        <v>0</v>
      </c>
      <c r="Y6" s="11">
        <f>[18]생산!G4</f>
        <v>0</v>
      </c>
      <c r="Z6" s="11">
        <f>[18]생산!H4</f>
        <v>0</v>
      </c>
      <c r="AA6" s="11">
        <f>[18]생산!I4</f>
        <v>0</v>
      </c>
      <c r="AB6" s="11">
        <f>[18]생산!J4</f>
        <v>0</v>
      </c>
      <c r="AC6" s="48">
        <f>ROUNDDOWN('[20]2025년'!G2/1000,1)</f>
        <v>1.2</v>
      </c>
    </row>
    <row r="7" spans="1:29">
      <c r="A7" s="6">
        <f>A6+1</f>
        <v>45659</v>
      </c>
      <c r="B7" s="9">
        <v>3564</v>
      </c>
      <c r="C7" s="9">
        <v>226331</v>
      </c>
      <c r="D7" s="9">
        <v>220692</v>
      </c>
      <c r="E7" s="9">
        <v>13816</v>
      </c>
      <c r="F7" s="9">
        <v>10410</v>
      </c>
      <c r="G7" s="9">
        <v>3743.2</v>
      </c>
      <c r="H7" s="9">
        <v>3859</v>
      </c>
      <c r="I7" s="9">
        <v>242123</v>
      </c>
      <c r="J7" s="10">
        <v>30.63</v>
      </c>
      <c r="K7" s="10">
        <v>30.04</v>
      </c>
      <c r="L7" s="9">
        <f>'[18]key-in(DCO)'!AR5</f>
        <v>0</v>
      </c>
      <c r="M7" s="10">
        <f>[18]생산!AV4</f>
        <v>0</v>
      </c>
      <c r="N7" s="10">
        <f>[18]생산!AW4</f>
        <v>0</v>
      </c>
      <c r="O7" s="10">
        <f>[18]생산!AX4</f>
        <v>0</v>
      </c>
      <c r="P7" s="10">
        <f>[18]생산!AY4</f>
        <v>0</v>
      </c>
      <c r="Q7" s="10">
        <f>[18]생산!AZ4</f>
        <v>0</v>
      </c>
      <c r="R7" s="10">
        <f>[18]생산!BA4</f>
        <v>0</v>
      </c>
      <c r="S7" s="9">
        <f>[18]운전시간외!C4</f>
        <v>0</v>
      </c>
      <c r="T7" s="9">
        <f>[18]운전시간외!D4</f>
        <v>0</v>
      </c>
      <c r="U7" s="9">
        <f>[18]운전시간외!E4</f>
        <v>0</v>
      </c>
      <c r="V7" s="9">
        <f>[18]운전시간외!F4</f>
        <v>0</v>
      </c>
      <c r="W7" s="11">
        <f>[18]생산!E4</f>
        <v>0</v>
      </c>
      <c r="X7" s="11">
        <f>[18]생산!F4</f>
        <v>0</v>
      </c>
      <c r="Y7" s="11">
        <f>[18]생산!G4</f>
        <v>0</v>
      </c>
      <c r="Z7" s="11">
        <f>[18]생산!H4</f>
        <v>0</v>
      </c>
      <c r="AA7" s="11">
        <f>[18]생산!I4</f>
        <v>0</v>
      </c>
      <c r="AB7" s="11">
        <f>[18]생산!J4</f>
        <v>0</v>
      </c>
      <c r="AC7" s="48">
        <f>ROUNDDOWN('[20]2025년'!G3/1000,1)</f>
        <v>0</v>
      </c>
    </row>
    <row r="8" spans="1:29">
      <c r="A8" s="6">
        <f t="shared" ref="A8:A71" si="0">A7+1</f>
        <v>45660</v>
      </c>
      <c r="B8" s="9">
        <v>3592</v>
      </c>
      <c r="C8" s="9">
        <v>226467</v>
      </c>
      <c r="D8" s="9">
        <v>220716</v>
      </c>
      <c r="E8" s="9">
        <v>13821</v>
      </c>
      <c r="F8" s="9">
        <v>10410</v>
      </c>
      <c r="G8" s="9">
        <v>3743.9</v>
      </c>
      <c r="H8" s="9">
        <v>3943</v>
      </c>
      <c r="I8" s="9">
        <v>242322</v>
      </c>
      <c r="J8" s="10">
        <v>30.82</v>
      </c>
      <c r="K8" s="10">
        <v>30.15</v>
      </c>
      <c r="L8" s="9">
        <f>'[18]key-in(DCO)'!AR6</f>
        <v>0</v>
      </c>
      <c r="M8" s="10">
        <f>[18]생산!AV5</f>
        <v>0</v>
      </c>
      <c r="N8" s="10">
        <f>[18]생산!AW5</f>
        <v>0</v>
      </c>
      <c r="O8" s="10">
        <f>[18]생산!AX5</f>
        <v>0</v>
      </c>
      <c r="P8" s="10">
        <f>[18]생산!AY5</f>
        <v>0</v>
      </c>
      <c r="Q8" s="10">
        <f>[18]생산!AZ5</f>
        <v>0</v>
      </c>
      <c r="R8" s="10">
        <f>[18]생산!BA5</f>
        <v>0</v>
      </c>
      <c r="S8" s="9">
        <f>[18]운전시간외!C5</f>
        <v>0</v>
      </c>
      <c r="T8" s="9">
        <f>[18]운전시간외!D5</f>
        <v>0</v>
      </c>
      <c r="U8" s="9">
        <f>[18]운전시간외!E5</f>
        <v>0</v>
      </c>
      <c r="V8" s="9">
        <f>[18]운전시간외!F5</f>
        <v>0</v>
      </c>
      <c r="W8" s="11">
        <f>[18]생산!E5</f>
        <v>0</v>
      </c>
      <c r="X8" s="11">
        <f>[18]생산!F5</f>
        <v>0</v>
      </c>
      <c r="Y8" s="11">
        <f>[18]생산!G5</f>
        <v>0</v>
      </c>
      <c r="Z8" s="11">
        <f>[18]생산!H5</f>
        <v>0</v>
      </c>
      <c r="AA8" s="11">
        <f>[18]생산!I5</f>
        <v>0</v>
      </c>
      <c r="AB8" s="11">
        <f>[18]생산!J5</f>
        <v>0</v>
      </c>
      <c r="AC8" s="48">
        <f>ROUNDDOWN('[20]2025년'!G4/1000,1)</f>
        <v>0</v>
      </c>
    </row>
    <row r="9" spans="1:29">
      <c r="A9" s="6">
        <f t="shared" si="0"/>
        <v>45661</v>
      </c>
      <c r="B9" s="9">
        <v>3605</v>
      </c>
      <c r="C9" s="9">
        <v>226467</v>
      </c>
      <c r="D9" s="9">
        <v>220797</v>
      </c>
      <c r="E9" s="9">
        <v>13822</v>
      </c>
      <c r="F9" s="9">
        <v>10417</v>
      </c>
      <c r="G9" s="9">
        <v>3744.5</v>
      </c>
      <c r="H9" s="9">
        <v>3981</v>
      </c>
      <c r="I9" s="9">
        <v>242472</v>
      </c>
      <c r="J9" s="10">
        <v>30.52</v>
      </c>
      <c r="K9" s="10">
        <v>30.19</v>
      </c>
      <c r="L9" s="9">
        <f>'[18]key-in(DCO)'!AR7</f>
        <v>0</v>
      </c>
      <c r="M9" s="10">
        <f>[18]생산!AV6</f>
        <v>74419.7</v>
      </c>
      <c r="N9" s="10">
        <f>[18]생산!AW6</f>
        <v>0</v>
      </c>
      <c r="O9" s="10">
        <f>[18]생산!AX6</f>
        <v>0</v>
      </c>
      <c r="P9" s="10">
        <f>[18]생산!AY6</f>
        <v>0</v>
      </c>
      <c r="Q9" s="10">
        <f>[18]생산!AZ6</f>
        <v>0</v>
      </c>
      <c r="R9" s="10">
        <f>[18]생산!BA6</f>
        <v>0</v>
      </c>
      <c r="S9" s="9">
        <f>[18]운전시간외!C6</f>
        <v>14</v>
      </c>
      <c r="T9" s="9">
        <f>[18]운전시간외!D6</f>
        <v>0</v>
      </c>
      <c r="U9" s="9">
        <f>[18]운전시간외!E6</f>
        <v>0</v>
      </c>
      <c r="V9" s="9">
        <f>[18]운전시간외!F6</f>
        <v>0</v>
      </c>
      <c r="W9" s="11">
        <f>[18]생산!E6</f>
        <v>465</v>
      </c>
      <c r="X9" s="11">
        <f>[18]생산!F6</f>
        <v>0</v>
      </c>
      <c r="Y9" s="11">
        <f>[18]생산!G6</f>
        <v>0</v>
      </c>
      <c r="Z9" s="11">
        <f>[18]생산!H6</f>
        <v>0</v>
      </c>
      <c r="AA9" s="11">
        <f>[18]생산!I6</f>
        <v>0</v>
      </c>
      <c r="AB9" s="11">
        <f>[18]생산!J6</f>
        <v>465</v>
      </c>
      <c r="AC9" s="48">
        <f>ROUNDDOWN('[20]2025년'!G5/1000,1)</f>
        <v>31.8</v>
      </c>
    </row>
    <row r="10" spans="1:29">
      <c r="A10" s="6">
        <f t="shared" si="0"/>
        <v>45662</v>
      </c>
      <c r="B10" s="9">
        <v>3619</v>
      </c>
      <c r="C10" s="9">
        <v>226526</v>
      </c>
      <c r="D10" s="9">
        <v>220881</v>
      </c>
      <c r="E10" s="9">
        <v>13824</v>
      </c>
      <c r="F10" s="9">
        <v>10418</v>
      </c>
      <c r="G10" s="9">
        <v>3745.1</v>
      </c>
      <c r="H10" s="9">
        <v>4035</v>
      </c>
      <c r="I10" s="9">
        <v>242667</v>
      </c>
      <c r="J10" s="10">
        <v>30.46</v>
      </c>
      <c r="K10" s="10">
        <v>30.14</v>
      </c>
      <c r="L10" s="9">
        <f>'[18]key-in(DCO)'!AR8</f>
        <v>0</v>
      </c>
      <c r="M10" s="10">
        <f>[18]생산!AV7</f>
        <v>0</v>
      </c>
      <c r="N10" s="10">
        <f>[18]생산!AW7</f>
        <v>0</v>
      </c>
      <c r="O10" s="10">
        <f>[18]생산!AX7</f>
        <v>0</v>
      </c>
      <c r="P10" s="10">
        <f>[18]생산!AY7</f>
        <v>90259.6</v>
      </c>
      <c r="Q10" s="10">
        <f>[18]생산!AZ7</f>
        <v>0</v>
      </c>
      <c r="R10" s="10">
        <f>[18]생산!BA7</f>
        <v>90259.6</v>
      </c>
      <c r="S10" s="9">
        <f>[18]운전시간외!C7</f>
        <v>0</v>
      </c>
      <c r="T10" s="9">
        <f>[18]운전시간외!D7</f>
        <v>0</v>
      </c>
      <c r="U10" s="9">
        <f>[18]운전시간외!E7</f>
        <v>0</v>
      </c>
      <c r="V10" s="9">
        <f>[18]운전시간외!F7</f>
        <v>14</v>
      </c>
      <c r="W10" s="11">
        <f>[18]생산!E7</f>
        <v>0</v>
      </c>
      <c r="X10" s="11">
        <f>[18]생산!F7</f>
        <v>0</v>
      </c>
      <c r="Y10" s="11">
        <f>[18]생산!G7</f>
        <v>0</v>
      </c>
      <c r="Z10" s="11">
        <f>[18]생산!H7</f>
        <v>805</v>
      </c>
      <c r="AA10" s="11">
        <f>[18]생산!I7</f>
        <v>805</v>
      </c>
      <c r="AB10" s="11">
        <f>[18]생산!J7</f>
        <v>805</v>
      </c>
      <c r="AC10" s="48">
        <f>ROUNDDOWN('[20]2025년'!G6/1000,1)</f>
        <v>0</v>
      </c>
    </row>
    <row r="11" spans="1:29">
      <c r="A11" s="6">
        <f t="shared" si="0"/>
        <v>45663</v>
      </c>
      <c r="B11" s="9">
        <v>3647</v>
      </c>
      <c r="C11" s="9">
        <v>226620</v>
      </c>
      <c r="D11" s="9">
        <v>220940</v>
      </c>
      <c r="E11" s="9">
        <v>13829</v>
      </c>
      <c r="F11" s="9">
        <v>10418</v>
      </c>
      <c r="G11" s="9">
        <v>3745.7</v>
      </c>
      <c r="H11" s="9">
        <v>4081</v>
      </c>
      <c r="I11" s="9">
        <v>242867</v>
      </c>
      <c r="J11" s="10">
        <v>30.38</v>
      </c>
      <c r="K11" s="10">
        <v>30.12</v>
      </c>
      <c r="L11" s="9">
        <f>'[18]key-in(DCO)'!AR9</f>
        <v>0</v>
      </c>
      <c r="M11" s="10">
        <f>[18]생산!AV8</f>
        <v>0</v>
      </c>
      <c r="N11" s="10">
        <f>[18]생산!AW8</f>
        <v>0</v>
      </c>
      <c r="O11" s="10">
        <f>[18]생산!AX8</f>
        <v>0</v>
      </c>
      <c r="P11" s="10">
        <f>[18]생산!AY8</f>
        <v>0</v>
      </c>
      <c r="Q11" s="10">
        <f>[18]생산!AZ8</f>
        <v>0</v>
      </c>
      <c r="R11" s="10">
        <f>[18]생산!BA8</f>
        <v>0</v>
      </c>
      <c r="S11" s="9">
        <f>[18]운전시간외!C8</f>
        <v>0</v>
      </c>
      <c r="T11" s="9">
        <f>[18]운전시간외!D8</f>
        <v>0</v>
      </c>
      <c r="U11" s="9">
        <f>[18]운전시간외!E8</f>
        <v>0</v>
      </c>
      <c r="V11" s="9">
        <f>[18]운전시간외!F8</f>
        <v>0</v>
      </c>
      <c r="W11" s="11">
        <f>[18]생산!E8</f>
        <v>0</v>
      </c>
      <c r="X11" s="11">
        <f>[18]생산!F8</f>
        <v>0</v>
      </c>
      <c r="Y11" s="11">
        <f>[18]생산!G8</f>
        <v>0</v>
      </c>
      <c r="Z11" s="11">
        <f>[18]생산!H8</f>
        <v>0</v>
      </c>
      <c r="AA11" s="11">
        <f>[18]생산!I8</f>
        <v>0</v>
      </c>
      <c r="AB11" s="11">
        <f>[18]생산!J8</f>
        <v>0</v>
      </c>
      <c r="AC11" s="48">
        <f>ROUNDDOWN('[20]2025년'!G7/1000,1)</f>
        <v>0</v>
      </c>
    </row>
    <row r="12" spans="1:29">
      <c r="A12" s="6">
        <f t="shared" si="0"/>
        <v>45664</v>
      </c>
      <c r="B12" s="9">
        <v>3654</v>
      </c>
      <c r="C12" s="9">
        <v>226639</v>
      </c>
      <c r="D12" s="9">
        <v>221040</v>
      </c>
      <c r="E12" s="9">
        <v>13833</v>
      </c>
      <c r="F12" s="9">
        <v>10436</v>
      </c>
      <c r="G12" s="9">
        <v>3746.5</v>
      </c>
      <c r="H12" s="9">
        <v>4204</v>
      </c>
      <c r="I12" s="9">
        <v>243036</v>
      </c>
      <c r="J12" s="10">
        <v>30.7</v>
      </c>
      <c r="K12" s="10">
        <v>30.04</v>
      </c>
      <c r="L12" s="9">
        <f>'[18]key-in(DCO)'!AR10</f>
        <v>0</v>
      </c>
      <c r="M12" s="10">
        <f>[18]생산!AV9</f>
        <v>160135.40000000224</v>
      </c>
      <c r="N12" s="10">
        <f>[18]생산!AW9</f>
        <v>0</v>
      </c>
      <c r="O12" s="10">
        <f>[18]생산!AX9</f>
        <v>0</v>
      </c>
      <c r="P12" s="10">
        <f>[18]생산!AY9</f>
        <v>0</v>
      </c>
      <c r="Q12" s="10">
        <f>[18]생산!AZ9</f>
        <v>0</v>
      </c>
      <c r="R12" s="10">
        <f>[18]생산!BA9</f>
        <v>0</v>
      </c>
      <c r="S12" s="9">
        <f>[18]운전시간외!C9</f>
        <v>23</v>
      </c>
      <c r="T12" s="9">
        <f>[18]운전시간외!D9</f>
        <v>0</v>
      </c>
      <c r="U12" s="9">
        <f>[18]운전시간외!E9</f>
        <v>0</v>
      </c>
      <c r="V12" s="9">
        <f>[18]운전시간외!F9</f>
        <v>0</v>
      </c>
      <c r="W12" s="11">
        <f>[18]생산!E9</f>
        <v>1020</v>
      </c>
      <c r="X12" s="11">
        <f>[18]생산!F9</f>
        <v>0</v>
      </c>
      <c r="Y12" s="11">
        <f>[18]생산!G9</f>
        <v>0</v>
      </c>
      <c r="Z12" s="11">
        <f>[18]생산!H9</f>
        <v>0</v>
      </c>
      <c r="AA12" s="11">
        <f>[18]생산!I9</f>
        <v>0</v>
      </c>
      <c r="AB12" s="11">
        <f>[18]생산!J9</f>
        <v>1020</v>
      </c>
      <c r="AC12" s="48">
        <f>ROUNDDOWN('[20]2025년'!G8/1000,1)</f>
        <v>59.1</v>
      </c>
    </row>
    <row r="13" spans="1:29">
      <c r="A13" s="6">
        <f t="shared" si="0"/>
        <v>45665</v>
      </c>
      <c r="B13" s="9">
        <v>3685</v>
      </c>
      <c r="C13" s="9">
        <v>226756</v>
      </c>
      <c r="D13" s="9">
        <v>221163</v>
      </c>
      <c r="E13" s="9">
        <v>13837</v>
      </c>
      <c r="F13" s="9">
        <v>10450</v>
      </c>
      <c r="G13" s="9">
        <v>3747.7</v>
      </c>
      <c r="H13" s="9">
        <v>4326</v>
      </c>
      <c r="I13" s="9">
        <v>243372</v>
      </c>
      <c r="J13" s="10">
        <v>30.3</v>
      </c>
      <c r="K13" s="10">
        <v>29.9</v>
      </c>
      <c r="L13" s="9">
        <f>'[18]key-in(DCO)'!AR11</f>
        <v>0</v>
      </c>
      <c r="M13" s="10">
        <f>[18]생산!AV10</f>
        <v>99420.9</v>
      </c>
      <c r="N13" s="10">
        <f>[18]생산!AW10</f>
        <v>0</v>
      </c>
      <c r="O13" s="10">
        <f>[18]생산!AX10</f>
        <v>0</v>
      </c>
      <c r="P13" s="10">
        <f>[18]생산!AY10</f>
        <v>0</v>
      </c>
      <c r="Q13" s="10">
        <f>[18]생산!AZ10</f>
        <v>0</v>
      </c>
      <c r="R13" s="10">
        <f>[18]생산!BA10</f>
        <v>0</v>
      </c>
      <c r="S13" s="9">
        <f>[18]운전시간외!C10</f>
        <v>16</v>
      </c>
      <c r="T13" s="9">
        <f>[18]운전시간외!D10</f>
        <v>0</v>
      </c>
      <c r="U13" s="9">
        <f>[18]운전시간외!E10</f>
        <v>0</v>
      </c>
      <c r="V13" s="9">
        <f>[18]운전시간외!F10</f>
        <v>0</v>
      </c>
      <c r="W13" s="11">
        <f>[18]생산!E10</f>
        <v>651</v>
      </c>
      <c r="X13" s="11">
        <f>[18]생산!F10</f>
        <v>0</v>
      </c>
      <c r="Y13" s="11">
        <f>[18]생산!G10</f>
        <v>0</v>
      </c>
      <c r="Z13" s="11">
        <f>[18]생산!H10</f>
        <v>0</v>
      </c>
      <c r="AA13" s="11">
        <f>[18]생산!I10</f>
        <v>0</v>
      </c>
      <c r="AB13" s="11">
        <f>[18]생산!J10</f>
        <v>651</v>
      </c>
      <c r="AC13" s="48">
        <f>ROUNDDOWN('[20]2025년'!G9/1000,1)</f>
        <v>31.4</v>
      </c>
    </row>
    <row r="14" spans="1:29">
      <c r="A14" s="6">
        <f t="shared" si="0"/>
        <v>45666</v>
      </c>
      <c r="B14" s="9">
        <v>3717</v>
      </c>
      <c r="C14" s="9">
        <v>226917</v>
      </c>
      <c r="D14" s="9">
        <v>221196</v>
      </c>
      <c r="E14" s="9">
        <v>13841</v>
      </c>
      <c r="F14" s="9">
        <v>10472</v>
      </c>
      <c r="G14" s="9">
        <v>3748.7</v>
      </c>
      <c r="H14" s="9">
        <v>4448</v>
      </c>
      <c r="I14" s="9">
        <v>243617</v>
      </c>
      <c r="J14" s="10">
        <v>30.3</v>
      </c>
      <c r="K14" s="10">
        <v>29.925000000000001</v>
      </c>
      <c r="L14" s="9">
        <f>'[18]key-in(DCO)'!AR12</f>
        <v>0</v>
      </c>
      <c r="M14" s="10">
        <f>[18]생산!AV11</f>
        <v>195590.1</v>
      </c>
      <c r="N14" s="10">
        <f>[18]생산!AW11</f>
        <v>0</v>
      </c>
      <c r="O14" s="10">
        <f>[18]생산!AX11</f>
        <v>0</v>
      </c>
      <c r="P14" s="10">
        <f>[18]생산!AY11</f>
        <v>31637.4</v>
      </c>
      <c r="Q14" s="10">
        <f>[18]생산!AZ11</f>
        <v>0</v>
      </c>
      <c r="R14" s="10">
        <f>[18]생산!BA11</f>
        <v>31637.4</v>
      </c>
      <c r="S14" s="9">
        <f>[18]운전시간외!C11</f>
        <v>24</v>
      </c>
      <c r="T14" s="9">
        <f>[18]운전시간외!D11</f>
        <v>0</v>
      </c>
      <c r="U14" s="9">
        <f>[18]운전시간외!E11</f>
        <v>0</v>
      </c>
      <c r="V14" s="9">
        <f>[18]운전시간외!F11</f>
        <v>8.5</v>
      </c>
      <c r="W14" s="11">
        <f>[18]생산!E11</f>
        <v>1246.2</v>
      </c>
      <c r="X14" s="11">
        <f>[18]생산!F11</f>
        <v>0</v>
      </c>
      <c r="Y14" s="11">
        <f>[18]생산!G11</f>
        <v>0</v>
      </c>
      <c r="Z14" s="11">
        <f>[18]생산!H11</f>
        <v>281</v>
      </c>
      <c r="AA14" s="11">
        <f>[18]생산!I11</f>
        <v>281</v>
      </c>
      <c r="AB14" s="11">
        <f>[18]생산!J11</f>
        <v>1527.2</v>
      </c>
      <c r="AC14" s="48">
        <f>ROUNDDOWN('[20]2025년'!G10/1000,1)</f>
        <v>81</v>
      </c>
    </row>
    <row r="15" spans="1:29">
      <c r="A15" s="6">
        <f t="shared" si="0"/>
        <v>45667</v>
      </c>
      <c r="B15" s="9">
        <v>3750</v>
      </c>
      <c r="C15" s="9">
        <v>226942</v>
      </c>
      <c r="D15" s="9">
        <v>221360</v>
      </c>
      <c r="E15" s="9">
        <v>13845</v>
      </c>
      <c r="F15" s="9">
        <v>10494</v>
      </c>
      <c r="G15" s="9">
        <v>3749.7</v>
      </c>
      <c r="H15" s="9">
        <v>4564</v>
      </c>
      <c r="I15" s="9">
        <v>243914</v>
      </c>
      <c r="J15" s="10">
        <v>30.6</v>
      </c>
      <c r="K15" s="10">
        <v>29.99</v>
      </c>
      <c r="L15" s="9">
        <f>'[18]key-in(DCO)'!AR13</f>
        <v>0</v>
      </c>
      <c r="M15" s="10">
        <f>[18]생산!AV12</f>
        <v>194758.9</v>
      </c>
      <c r="N15" s="10">
        <f>[18]생산!AW12</f>
        <v>0</v>
      </c>
      <c r="O15" s="10">
        <f>[18]생산!AX12</f>
        <v>0</v>
      </c>
      <c r="P15" s="10">
        <f>[18]생산!AY12</f>
        <v>0</v>
      </c>
      <c r="Q15" s="10">
        <f>[18]생산!AZ12</f>
        <v>0</v>
      </c>
      <c r="R15" s="10">
        <f>[18]생산!BA12</f>
        <v>0</v>
      </c>
      <c r="S15" s="9">
        <f>[18]운전시간외!C12</f>
        <v>24</v>
      </c>
      <c r="T15" s="9">
        <f>[18]운전시간외!D12</f>
        <v>0</v>
      </c>
      <c r="U15" s="9">
        <f>[18]운전시간외!E12</f>
        <v>0</v>
      </c>
      <c r="V15" s="9">
        <f>[18]운전시간외!F12</f>
        <v>0</v>
      </c>
      <c r="W15" s="11">
        <f>[18]생산!E12</f>
        <v>1236.8</v>
      </c>
      <c r="X15" s="11">
        <f>[18]생산!F12</f>
        <v>0</v>
      </c>
      <c r="Y15" s="11">
        <f>[18]생산!G12</f>
        <v>0</v>
      </c>
      <c r="Z15" s="11">
        <f>[18]생산!H12</f>
        <v>0</v>
      </c>
      <c r="AA15" s="11">
        <f>[18]생산!I12</f>
        <v>0</v>
      </c>
      <c r="AB15" s="11">
        <f>[18]생산!J12</f>
        <v>1236.8</v>
      </c>
      <c r="AC15" s="48">
        <f>ROUNDDOWN('[20]2025년'!G11/1000,1)</f>
        <v>74.7</v>
      </c>
    </row>
    <row r="16" spans="1:29">
      <c r="A16" s="6">
        <f t="shared" si="0"/>
        <v>45668</v>
      </c>
      <c r="B16" s="9">
        <v>3782</v>
      </c>
      <c r="C16" s="9">
        <v>227056</v>
      </c>
      <c r="D16" s="9">
        <v>221408</v>
      </c>
      <c r="E16" s="9">
        <v>13846</v>
      </c>
      <c r="F16" s="9">
        <v>10505</v>
      </c>
      <c r="G16" s="9">
        <v>3750.4</v>
      </c>
      <c r="H16" s="9">
        <v>4652</v>
      </c>
      <c r="I16" s="9">
        <v>244154</v>
      </c>
      <c r="J16" s="10">
        <v>30.44</v>
      </c>
      <c r="K16" s="10">
        <v>29.93</v>
      </c>
      <c r="L16" s="9">
        <f>'[18]key-in(DCO)'!AR14</f>
        <v>0</v>
      </c>
      <c r="M16" s="10">
        <f>[18]생산!AV13</f>
        <v>95717</v>
      </c>
      <c r="N16" s="10">
        <f>[18]생산!AW13</f>
        <v>0</v>
      </c>
      <c r="O16" s="10">
        <f>[18]생산!AX13</f>
        <v>0</v>
      </c>
      <c r="P16" s="10">
        <f>[18]생산!AY13</f>
        <v>0</v>
      </c>
      <c r="Q16" s="10">
        <f>[18]생산!AZ13</f>
        <v>0</v>
      </c>
      <c r="R16" s="10">
        <f>[18]생산!BA13</f>
        <v>0</v>
      </c>
      <c r="S16" s="9">
        <f>[18]운전시간외!C13</f>
        <v>12</v>
      </c>
      <c r="T16" s="9">
        <f>[18]운전시간외!D13</f>
        <v>0</v>
      </c>
      <c r="U16" s="9">
        <f>[18]운전시간외!E13</f>
        <v>0</v>
      </c>
      <c r="V16" s="9">
        <f>[18]운전시간외!F13</f>
        <v>0</v>
      </c>
      <c r="W16" s="11">
        <f>[18]생산!E13</f>
        <v>613</v>
      </c>
      <c r="X16" s="11">
        <f>[18]생산!F13</f>
        <v>0</v>
      </c>
      <c r="Y16" s="11">
        <f>[18]생산!G13</f>
        <v>0</v>
      </c>
      <c r="Z16" s="11">
        <f>[18]생산!H13</f>
        <v>0</v>
      </c>
      <c r="AA16" s="11">
        <f>[18]생산!I13</f>
        <v>0</v>
      </c>
      <c r="AB16" s="11">
        <f>[18]생산!J13</f>
        <v>613</v>
      </c>
      <c r="AC16" s="48">
        <f>ROUNDDOWN('[20]2025년'!G12/1000,1)</f>
        <v>36.200000000000003</v>
      </c>
    </row>
    <row r="17" spans="1:29">
      <c r="A17" s="6">
        <f t="shared" si="0"/>
        <v>45669</v>
      </c>
      <c r="B17" s="9">
        <v>3804</v>
      </c>
      <c r="C17" s="9">
        <v>227056</v>
      </c>
      <c r="D17" s="9">
        <v>221539</v>
      </c>
      <c r="E17" s="9">
        <v>13848</v>
      </c>
      <c r="F17" s="9">
        <v>10505</v>
      </c>
      <c r="G17" s="9">
        <v>3750.9</v>
      </c>
      <c r="H17" s="9">
        <v>4702</v>
      </c>
      <c r="I17" s="9">
        <v>244306</v>
      </c>
      <c r="J17" s="10">
        <v>30.46</v>
      </c>
      <c r="K17" s="10">
        <v>29.87</v>
      </c>
      <c r="L17" s="9">
        <f>'[18]key-in(DCO)'!AR15</f>
        <v>0</v>
      </c>
      <c r="M17" s="10">
        <f>[18]생산!AV14</f>
        <v>0</v>
      </c>
      <c r="N17" s="10">
        <f>[18]생산!AW14</f>
        <v>0</v>
      </c>
      <c r="O17" s="10">
        <f>[18]생산!AX14</f>
        <v>0</v>
      </c>
      <c r="P17" s="10">
        <f>[18]생산!AY14</f>
        <v>0</v>
      </c>
      <c r="Q17" s="10">
        <f>[18]생산!AZ14</f>
        <v>0</v>
      </c>
      <c r="R17" s="10">
        <f>[18]생산!BA14</f>
        <v>0</v>
      </c>
      <c r="S17" s="9">
        <f>[18]운전시간외!C14</f>
        <v>0</v>
      </c>
      <c r="T17" s="9">
        <f>[18]운전시간외!D14</f>
        <v>0</v>
      </c>
      <c r="U17" s="9">
        <f>[18]운전시간외!E14</f>
        <v>0</v>
      </c>
      <c r="V17" s="9">
        <f>[18]운전시간외!F14</f>
        <v>0</v>
      </c>
      <c r="W17" s="11">
        <f>[18]생산!E14</f>
        <v>0</v>
      </c>
      <c r="X17" s="11">
        <f>[18]생산!F14</f>
        <v>0</v>
      </c>
      <c r="Y17" s="11">
        <f>[18]생산!G14</f>
        <v>0</v>
      </c>
      <c r="Z17" s="11">
        <f>[18]생산!H14</f>
        <v>0</v>
      </c>
      <c r="AA17" s="11">
        <f>[18]생산!I14</f>
        <v>0</v>
      </c>
      <c r="AB17" s="11">
        <f>[18]생산!J14</f>
        <v>0</v>
      </c>
      <c r="AC17" s="48">
        <f>ROUNDDOWN('[20]2025년'!G13/1000,1)</f>
        <v>0</v>
      </c>
    </row>
    <row r="18" spans="1:29">
      <c r="A18" s="6">
        <f t="shared" si="0"/>
        <v>45670</v>
      </c>
      <c r="B18" s="9">
        <v>3804</v>
      </c>
      <c r="C18" s="9">
        <v>227137</v>
      </c>
      <c r="D18" s="9">
        <v>221589</v>
      </c>
      <c r="E18" s="9">
        <v>13853</v>
      </c>
      <c r="F18" s="9">
        <v>10520</v>
      </c>
      <c r="G18" s="9">
        <v>3751.7</v>
      </c>
      <c r="H18" s="9">
        <v>4785</v>
      </c>
      <c r="I18" s="9">
        <v>244513</v>
      </c>
      <c r="J18" s="10">
        <v>30.23</v>
      </c>
      <c r="K18" s="10">
        <v>29.78</v>
      </c>
      <c r="L18" s="9">
        <f>'[18]key-in(DCO)'!AR16</f>
        <v>0</v>
      </c>
      <c r="M18" s="10">
        <f>[18]생산!AV15</f>
        <v>129103.1</v>
      </c>
      <c r="N18" s="10">
        <f>[18]생산!AW15</f>
        <v>0</v>
      </c>
      <c r="O18" s="10">
        <f>[18]생산!AX15</f>
        <v>0</v>
      </c>
      <c r="P18" s="10">
        <f>[18]생산!AY15</f>
        <v>0</v>
      </c>
      <c r="Q18" s="10">
        <f>[18]생산!AZ15</f>
        <v>0</v>
      </c>
      <c r="R18" s="10">
        <f>[18]생산!BA15</f>
        <v>0</v>
      </c>
      <c r="S18" s="9">
        <f>[18]운전시간외!C15</f>
        <v>16</v>
      </c>
      <c r="T18" s="9">
        <f>[18]운전시간외!D15</f>
        <v>0</v>
      </c>
      <c r="U18" s="9">
        <f>[18]운전시간외!E15</f>
        <v>0</v>
      </c>
      <c r="V18" s="9">
        <f>[18]운전시간외!F15</f>
        <v>0</v>
      </c>
      <c r="W18" s="11">
        <f>[18]생산!E15</f>
        <v>833</v>
      </c>
      <c r="X18" s="11">
        <f>[18]생산!F15</f>
        <v>0</v>
      </c>
      <c r="Y18" s="11">
        <f>[18]생산!G15</f>
        <v>0</v>
      </c>
      <c r="Z18" s="11">
        <f>[18]생산!H15</f>
        <v>0</v>
      </c>
      <c r="AA18" s="11">
        <f>[18]생산!I15</f>
        <v>0</v>
      </c>
      <c r="AB18" s="11">
        <f>[18]생산!J15</f>
        <v>833</v>
      </c>
      <c r="AC18" s="48">
        <f>ROUNDDOWN('[20]2025년'!G14/1000,1)</f>
        <v>49.5</v>
      </c>
    </row>
    <row r="19" spans="1:29">
      <c r="A19" s="6">
        <f t="shared" si="0"/>
        <v>45671</v>
      </c>
      <c r="B19" s="9">
        <v>3836</v>
      </c>
      <c r="C19" s="9">
        <v>227208</v>
      </c>
      <c r="D19" s="9">
        <v>221687</v>
      </c>
      <c r="E19" s="9">
        <v>13857</v>
      </c>
      <c r="F19" s="9">
        <v>10543</v>
      </c>
      <c r="G19" s="9">
        <v>3752.5</v>
      </c>
      <c r="H19" s="9">
        <v>4881</v>
      </c>
      <c r="I19" s="9">
        <v>244776</v>
      </c>
      <c r="J19" s="10">
        <v>30.37</v>
      </c>
      <c r="K19" s="10">
        <v>29.79</v>
      </c>
      <c r="L19" s="9">
        <f>'[18]key-in(DCO)'!AR17</f>
        <v>0</v>
      </c>
      <c r="M19" s="10">
        <f>[18]생산!AV16</f>
        <v>182837.6</v>
      </c>
      <c r="N19" s="10">
        <f>[18]생산!AW16</f>
        <v>0</v>
      </c>
      <c r="O19" s="10">
        <f>[18]생산!AX16</f>
        <v>0</v>
      </c>
      <c r="P19" s="10">
        <f>[18]생산!AY16</f>
        <v>0</v>
      </c>
      <c r="Q19" s="10">
        <f>[18]생산!AZ16</f>
        <v>0</v>
      </c>
      <c r="R19" s="10">
        <f>[18]생산!BA16</f>
        <v>0</v>
      </c>
      <c r="S19" s="9">
        <f>[18]운전시간외!C16</f>
        <v>23</v>
      </c>
      <c r="T19" s="9">
        <f>[18]운전시간외!D16</f>
        <v>0</v>
      </c>
      <c r="U19" s="9">
        <f>[18]운전시간외!E16</f>
        <v>0</v>
      </c>
      <c r="V19" s="9">
        <f>[18]운전시간외!F16</f>
        <v>0</v>
      </c>
      <c r="W19" s="11">
        <f>[18]생산!E16</f>
        <v>1170</v>
      </c>
      <c r="X19" s="11">
        <f>[18]생산!F16</f>
        <v>0</v>
      </c>
      <c r="Y19" s="11">
        <f>[18]생산!G16</f>
        <v>0</v>
      </c>
      <c r="Z19" s="11">
        <f>[18]생산!H16</f>
        <v>0</v>
      </c>
      <c r="AA19" s="11">
        <f>[18]생산!I16</f>
        <v>0</v>
      </c>
      <c r="AB19" s="11">
        <f>[18]생산!J16</f>
        <v>1170</v>
      </c>
      <c r="AC19" s="48">
        <f>ROUNDDOWN('[20]2025년'!G15/1000,1)</f>
        <v>62.9</v>
      </c>
    </row>
    <row r="20" spans="1:29">
      <c r="A20" s="6">
        <f t="shared" si="0"/>
        <v>45672</v>
      </c>
      <c r="B20" s="9">
        <v>3868</v>
      </c>
      <c r="C20" s="9">
        <v>227340</v>
      </c>
      <c r="D20" s="9">
        <v>221752</v>
      </c>
      <c r="E20" s="9">
        <v>13861</v>
      </c>
      <c r="F20" s="9">
        <v>10543</v>
      </c>
      <c r="G20" s="9">
        <v>3753.4</v>
      </c>
      <c r="H20" s="9">
        <v>4966</v>
      </c>
      <c r="I20" s="9">
        <v>245018</v>
      </c>
      <c r="J20" s="10">
        <v>30.32</v>
      </c>
      <c r="K20" s="10">
        <v>29.78</v>
      </c>
      <c r="L20" s="9">
        <f>'[18]key-in(DCO)'!AR18</f>
        <v>0</v>
      </c>
      <c r="M20" s="10">
        <f>[18]생산!AV17</f>
        <v>0</v>
      </c>
      <c r="N20" s="10">
        <f>[18]생산!AW17</f>
        <v>0</v>
      </c>
      <c r="O20" s="10">
        <f>[18]생산!AX17</f>
        <v>0</v>
      </c>
      <c r="P20" s="10">
        <f>[18]생산!AY17</f>
        <v>0</v>
      </c>
      <c r="Q20" s="10">
        <f>[18]생산!AZ17</f>
        <v>0</v>
      </c>
      <c r="R20" s="10">
        <f>[18]생산!BA17</f>
        <v>0</v>
      </c>
      <c r="S20" s="9">
        <f>[18]운전시간외!C17</f>
        <v>0</v>
      </c>
      <c r="T20" s="9">
        <f>[18]운전시간외!D17</f>
        <v>0</v>
      </c>
      <c r="U20" s="9">
        <f>[18]운전시간외!E17</f>
        <v>0</v>
      </c>
      <c r="V20" s="9">
        <f>[18]운전시간외!F17</f>
        <v>0</v>
      </c>
      <c r="W20" s="11">
        <f>[18]생산!E17</f>
        <v>0</v>
      </c>
      <c r="X20" s="11">
        <f>[18]생산!F17</f>
        <v>0</v>
      </c>
      <c r="Y20" s="11">
        <f>[18]생산!G17</f>
        <v>0</v>
      </c>
      <c r="Z20" s="11">
        <f>[18]생산!H17</f>
        <v>0</v>
      </c>
      <c r="AA20" s="11">
        <f>[18]생산!I17</f>
        <v>0</v>
      </c>
      <c r="AB20" s="11">
        <f>[18]생산!J17</f>
        <v>0</v>
      </c>
      <c r="AC20" s="48">
        <f>ROUNDDOWN('[20]2025년'!G16/1000,1)</f>
        <v>0</v>
      </c>
    </row>
    <row r="21" spans="1:29">
      <c r="A21" s="6">
        <f t="shared" si="0"/>
        <v>45673</v>
      </c>
      <c r="B21" s="9">
        <v>3897</v>
      </c>
      <c r="C21" s="9">
        <v>227462</v>
      </c>
      <c r="D21" s="9">
        <v>221834</v>
      </c>
      <c r="E21" s="9">
        <v>13865</v>
      </c>
      <c r="F21" s="9">
        <v>10556</v>
      </c>
      <c r="G21" s="9">
        <v>3754.6</v>
      </c>
      <c r="H21" s="9">
        <v>5066</v>
      </c>
      <c r="I21" s="9">
        <v>245275</v>
      </c>
      <c r="J21" s="10">
        <v>30</v>
      </c>
      <c r="K21" s="10">
        <v>29.4</v>
      </c>
      <c r="L21" s="9">
        <f>'[18]key-in(DCO)'!AR19</f>
        <v>0</v>
      </c>
      <c r="M21" s="10">
        <f>[18]생산!AV18</f>
        <v>107031.9</v>
      </c>
      <c r="N21" s="10">
        <f>[18]생산!AW18</f>
        <v>0</v>
      </c>
      <c r="O21" s="10">
        <f>[18]생산!AX18</f>
        <v>0</v>
      </c>
      <c r="P21" s="10">
        <f>[18]생산!AY18</f>
        <v>0</v>
      </c>
      <c r="Q21" s="10">
        <f>[18]생산!AZ18</f>
        <v>0</v>
      </c>
      <c r="R21" s="10">
        <f>[18]생산!BA18</f>
        <v>0</v>
      </c>
      <c r="S21" s="9">
        <f>[18]운전시간외!C18</f>
        <v>17</v>
      </c>
      <c r="T21" s="9">
        <f>[18]운전시간외!D18</f>
        <v>0</v>
      </c>
      <c r="U21" s="9">
        <f>[18]운전시간외!E18</f>
        <v>0</v>
      </c>
      <c r="V21" s="9">
        <f>[18]운전시간외!F18</f>
        <v>0</v>
      </c>
      <c r="W21" s="11">
        <f>[18]생산!E18</f>
        <v>681.2</v>
      </c>
      <c r="X21" s="11">
        <f>[18]생산!F18</f>
        <v>0</v>
      </c>
      <c r="Y21" s="11">
        <f>[18]생산!G18</f>
        <v>0</v>
      </c>
      <c r="Z21" s="11">
        <f>[18]생산!H18</f>
        <v>0</v>
      </c>
      <c r="AA21" s="11">
        <f>[18]생산!I18</f>
        <v>0</v>
      </c>
      <c r="AB21" s="11">
        <f>[18]생산!J18</f>
        <v>681.2</v>
      </c>
      <c r="AC21" s="48">
        <f>ROUNDDOWN('[20]2025년'!G17/1000,1)</f>
        <v>39.9</v>
      </c>
    </row>
    <row r="22" spans="1:29">
      <c r="A22" s="6">
        <f t="shared" si="0"/>
        <v>45674</v>
      </c>
      <c r="B22" s="9">
        <v>3929</v>
      </c>
      <c r="C22" s="9">
        <v>227546</v>
      </c>
      <c r="D22" s="9">
        <v>221997</v>
      </c>
      <c r="E22" s="9">
        <v>13870</v>
      </c>
      <c r="F22" s="9">
        <v>10578</v>
      </c>
      <c r="G22" s="9">
        <v>3755.9</v>
      </c>
      <c r="H22" s="9">
        <v>5186</v>
      </c>
      <c r="I22" s="9">
        <v>245628</v>
      </c>
      <c r="J22" s="10">
        <v>30.4</v>
      </c>
      <c r="K22" s="10">
        <v>29.8</v>
      </c>
      <c r="L22" s="9">
        <f>'[18]key-in(DCO)'!AR20</f>
        <v>0</v>
      </c>
      <c r="M22" s="10">
        <f>[18]생산!AV19</f>
        <v>121892</v>
      </c>
      <c r="N22" s="10">
        <f>[18]생산!AW19</f>
        <v>0</v>
      </c>
      <c r="O22" s="10">
        <f>[18]생산!AX19</f>
        <v>0</v>
      </c>
      <c r="P22" s="10">
        <f>[18]생산!AY19</f>
        <v>0</v>
      </c>
      <c r="Q22" s="10">
        <f>[18]생산!AZ19</f>
        <v>0</v>
      </c>
      <c r="R22" s="10">
        <f>[18]생산!BA19</f>
        <v>0</v>
      </c>
      <c r="S22" s="9">
        <f>[18]운전시간외!C19</f>
        <v>21</v>
      </c>
      <c r="T22" s="9">
        <f>[18]운전시간외!D19</f>
        <v>0</v>
      </c>
      <c r="U22" s="9">
        <f>[18]운전시간외!E19</f>
        <v>0</v>
      </c>
      <c r="V22" s="9">
        <f>[18]운전시간외!F19</f>
        <v>0</v>
      </c>
      <c r="W22" s="11">
        <f>[18]생산!E19</f>
        <v>794.8</v>
      </c>
      <c r="X22" s="11">
        <f>[18]생산!F19</f>
        <v>0</v>
      </c>
      <c r="Y22" s="11">
        <f>[18]생산!G19</f>
        <v>0</v>
      </c>
      <c r="Z22" s="11">
        <f>[18]생산!H19</f>
        <v>0</v>
      </c>
      <c r="AA22" s="11">
        <f>[18]생산!I19</f>
        <v>0</v>
      </c>
      <c r="AB22" s="11">
        <f>[18]생산!J19</f>
        <v>794.8</v>
      </c>
      <c r="AC22" s="48">
        <f>ROUNDDOWN('[20]2025년'!G18/1000,1)</f>
        <v>33</v>
      </c>
    </row>
    <row r="23" spans="1:29">
      <c r="A23" s="6">
        <f t="shared" si="0"/>
        <v>45675</v>
      </c>
      <c r="B23" s="9">
        <v>3952</v>
      </c>
      <c r="C23" s="9">
        <v>227656</v>
      </c>
      <c r="D23" s="9">
        <v>221997</v>
      </c>
      <c r="E23" s="9">
        <v>13871</v>
      </c>
      <c r="F23" s="9">
        <v>10578</v>
      </c>
      <c r="G23" s="9">
        <v>3756.6</v>
      </c>
      <c r="H23" s="9">
        <v>5246</v>
      </c>
      <c r="I23" s="9">
        <v>245780</v>
      </c>
      <c r="J23" s="10">
        <v>30.6</v>
      </c>
      <c r="K23" s="10">
        <v>29.8</v>
      </c>
      <c r="L23" s="9">
        <f>'[18]key-in(DCO)'!AR21</f>
        <v>0</v>
      </c>
      <c r="M23" s="10">
        <f>[18]생산!AV20</f>
        <v>0</v>
      </c>
      <c r="N23" s="10">
        <f>[18]생산!AW20</f>
        <v>0</v>
      </c>
      <c r="O23" s="10">
        <f>[18]생산!AX20</f>
        <v>0</v>
      </c>
      <c r="P23" s="10">
        <f>[18]생산!AY20</f>
        <v>0</v>
      </c>
      <c r="Q23" s="10">
        <f>[18]생산!AZ20</f>
        <v>0</v>
      </c>
      <c r="R23" s="10">
        <f>[18]생산!BA20</f>
        <v>0</v>
      </c>
      <c r="S23" s="9">
        <f>[18]운전시간외!C20</f>
        <v>0</v>
      </c>
      <c r="T23" s="9">
        <f>[18]운전시간외!D20</f>
        <v>0</v>
      </c>
      <c r="U23" s="9">
        <f>[18]운전시간외!E20</f>
        <v>0</v>
      </c>
      <c r="V23" s="9">
        <f>[18]운전시간외!F20</f>
        <v>0</v>
      </c>
      <c r="W23" s="11">
        <f>[18]생산!E20</f>
        <v>0</v>
      </c>
      <c r="X23" s="11">
        <f>[18]생산!F20</f>
        <v>0</v>
      </c>
      <c r="Y23" s="11">
        <f>[18]생산!G20</f>
        <v>0</v>
      </c>
      <c r="Z23" s="11">
        <f>[18]생산!H20</f>
        <v>0</v>
      </c>
      <c r="AA23" s="11">
        <f>[18]생산!I20</f>
        <v>0</v>
      </c>
      <c r="AB23" s="11">
        <f>[18]생산!J20</f>
        <v>0</v>
      </c>
      <c r="AC23" s="48">
        <f>ROUNDDOWN('[20]2025년'!G19/1000,1)</f>
        <v>0</v>
      </c>
    </row>
    <row r="24" spans="1:29">
      <c r="A24" s="6">
        <f t="shared" si="0"/>
        <v>45676</v>
      </c>
      <c r="B24" s="9">
        <v>3973</v>
      </c>
      <c r="C24" s="9">
        <v>227656</v>
      </c>
      <c r="D24" s="9">
        <v>222123</v>
      </c>
      <c r="E24" s="9">
        <v>13873</v>
      </c>
      <c r="F24" s="9">
        <v>10578</v>
      </c>
      <c r="G24" s="9">
        <v>3757.3</v>
      </c>
      <c r="H24" s="9">
        <v>5346</v>
      </c>
      <c r="I24" s="9">
        <v>245934</v>
      </c>
      <c r="J24" s="10">
        <v>30.533999999999999</v>
      </c>
      <c r="K24" s="10">
        <v>29.864999999999998</v>
      </c>
      <c r="L24" s="9">
        <f>'[18]key-in(DCO)'!AR22</f>
        <v>0</v>
      </c>
      <c r="M24" s="10">
        <f>[18]생산!AV21</f>
        <v>0</v>
      </c>
      <c r="N24" s="10">
        <f>[18]생산!AW21</f>
        <v>0</v>
      </c>
      <c r="O24" s="10">
        <f>[18]생산!AX21</f>
        <v>0</v>
      </c>
      <c r="P24" s="10">
        <f>[18]생산!AY21</f>
        <v>0</v>
      </c>
      <c r="Q24" s="10">
        <f>[18]생산!AZ21</f>
        <v>0</v>
      </c>
      <c r="R24" s="10">
        <f>[18]생산!BA21</f>
        <v>0</v>
      </c>
      <c r="S24" s="9">
        <f>[18]운전시간외!C21</f>
        <v>0</v>
      </c>
      <c r="T24" s="9">
        <f>[18]운전시간외!D21</f>
        <v>0</v>
      </c>
      <c r="U24" s="9">
        <f>[18]운전시간외!E21</f>
        <v>0</v>
      </c>
      <c r="V24" s="9">
        <f>[18]운전시간외!F21</f>
        <v>0</v>
      </c>
      <c r="W24" s="11">
        <f>[18]생산!E21</f>
        <v>0</v>
      </c>
      <c r="X24" s="11">
        <f>[18]생산!F21</f>
        <v>0</v>
      </c>
      <c r="Y24" s="11">
        <f>[18]생산!G21</f>
        <v>0</v>
      </c>
      <c r="Z24" s="11">
        <f>[18]생산!H21</f>
        <v>0</v>
      </c>
      <c r="AA24" s="11">
        <f>[18]생산!I21</f>
        <v>0</v>
      </c>
      <c r="AB24" s="11">
        <f>[18]생산!J21</f>
        <v>0</v>
      </c>
      <c r="AC24" s="48">
        <f>ROUNDDOWN('[20]2025년'!G20/1000,1)</f>
        <v>0</v>
      </c>
    </row>
    <row r="25" spans="1:29">
      <c r="A25" s="6">
        <f t="shared" si="0"/>
        <v>45677</v>
      </c>
      <c r="B25" s="9">
        <v>3989</v>
      </c>
      <c r="C25" s="9">
        <v>227707</v>
      </c>
      <c r="D25" s="9">
        <v>222204</v>
      </c>
      <c r="E25" s="9">
        <v>13878</v>
      </c>
      <c r="F25" s="9">
        <v>10578</v>
      </c>
      <c r="G25" s="9">
        <v>3758.1</v>
      </c>
      <c r="H25" s="9">
        <v>5394</v>
      </c>
      <c r="I25" s="9">
        <v>246134</v>
      </c>
      <c r="J25" s="10">
        <v>30.4</v>
      </c>
      <c r="K25" s="10">
        <v>29.74</v>
      </c>
      <c r="L25" s="9">
        <f>'[18]key-in(DCO)'!AR23</f>
        <v>0</v>
      </c>
      <c r="M25" s="10">
        <f>[18]생산!AV22</f>
        <v>0</v>
      </c>
      <c r="N25" s="10">
        <f>[18]생산!AW22</f>
        <v>0</v>
      </c>
      <c r="O25" s="10">
        <f>[18]생산!AX22</f>
        <v>0</v>
      </c>
      <c r="P25" s="10">
        <f>[18]생산!AY22</f>
        <v>0</v>
      </c>
      <c r="Q25" s="10">
        <f>[19]생산!BE22</f>
        <v>0</v>
      </c>
      <c r="R25" s="10">
        <f>[18]생산!BA22</f>
        <v>0</v>
      </c>
      <c r="S25" s="9">
        <f>[18]운전시간외!C22</f>
        <v>0</v>
      </c>
      <c r="T25" s="9">
        <f>[18]운전시간외!D22</f>
        <v>0</v>
      </c>
      <c r="U25" s="9">
        <f>[18]운전시간외!E22</f>
        <v>0</v>
      </c>
      <c r="V25" s="9">
        <f>[18]운전시간외!F22</f>
        <v>0</v>
      </c>
      <c r="W25" s="11">
        <f>[18]생산!E22</f>
        <v>0</v>
      </c>
      <c r="X25" s="11">
        <f>[18]생산!F22</f>
        <v>0</v>
      </c>
      <c r="Y25" s="11">
        <f>[18]생산!G22</f>
        <v>0</v>
      </c>
      <c r="Z25" s="11">
        <f>[18]생산!H22</f>
        <v>0</v>
      </c>
      <c r="AA25" s="11">
        <f>[18]생산!I22</f>
        <v>0</v>
      </c>
      <c r="AB25" s="11">
        <f>[18]생산!J22</f>
        <v>0</v>
      </c>
      <c r="AC25" s="48">
        <f>ROUNDDOWN('[20]2025년'!G21/1000,1)</f>
        <v>0</v>
      </c>
    </row>
    <row r="26" spans="1:29">
      <c r="A26" s="6">
        <f t="shared" si="0"/>
        <v>45678</v>
      </c>
      <c r="B26" s="9">
        <v>4021</v>
      </c>
      <c r="C26" s="9">
        <v>227824</v>
      </c>
      <c r="D26" s="9">
        <v>222279</v>
      </c>
      <c r="E26" s="9">
        <v>13882</v>
      </c>
      <c r="F26" s="9">
        <v>10578</v>
      </c>
      <c r="G26" s="9">
        <v>3758.8</v>
      </c>
      <c r="H26" s="9">
        <v>5434</v>
      </c>
      <c r="I26" s="9">
        <v>246328</v>
      </c>
      <c r="J26" s="10">
        <v>30.42</v>
      </c>
      <c r="K26" s="10">
        <v>29.91</v>
      </c>
      <c r="L26" s="9">
        <f>'[18]key-in(DCO)'!AR24</f>
        <v>0</v>
      </c>
      <c r="M26" s="10">
        <f>[18]생산!AV23</f>
        <v>0</v>
      </c>
      <c r="N26" s="10">
        <f>[18]생산!AW23</f>
        <v>0</v>
      </c>
      <c r="O26" s="10">
        <f>[18]생산!AX23</f>
        <v>0</v>
      </c>
      <c r="P26" s="10">
        <f>[18]생산!AY23</f>
        <v>0</v>
      </c>
      <c r="Q26" s="10">
        <f>[19]생산!BE23</f>
        <v>0</v>
      </c>
      <c r="R26" s="10">
        <f>[18]생산!BA23</f>
        <v>0</v>
      </c>
      <c r="S26" s="9">
        <f>[18]운전시간외!C23</f>
        <v>0</v>
      </c>
      <c r="T26" s="9">
        <f>[18]운전시간외!D23</f>
        <v>0</v>
      </c>
      <c r="U26" s="9">
        <f>[18]운전시간외!E23</f>
        <v>0</v>
      </c>
      <c r="V26" s="9">
        <f>[18]운전시간외!F23</f>
        <v>0</v>
      </c>
      <c r="W26" s="11">
        <f>[18]생산!E23</f>
        <v>0</v>
      </c>
      <c r="X26" s="11">
        <f>[18]생산!F23</f>
        <v>0</v>
      </c>
      <c r="Y26" s="11">
        <f>[18]생산!G23</f>
        <v>0</v>
      </c>
      <c r="Z26" s="11">
        <f>[18]생산!H23</f>
        <v>0</v>
      </c>
      <c r="AA26" s="11">
        <f>[18]생산!I23</f>
        <v>0</v>
      </c>
      <c r="AB26" s="11">
        <f>[18]생산!J23</f>
        <v>0</v>
      </c>
      <c r="AC26" s="48">
        <f>ROUNDDOWN('[20]2025년'!G22/1000,1)</f>
        <v>0</v>
      </c>
    </row>
    <row r="27" spans="1:29">
      <c r="A27" s="6">
        <f t="shared" si="0"/>
        <v>45679</v>
      </c>
      <c r="B27" s="9">
        <v>4052</v>
      </c>
      <c r="C27" s="9">
        <v>227906</v>
      </c>
      <c r="D27" s="9">
        <v>222429</v>
      </c>
      <c r="E27" s="9">
        <v>13887</v>
      </c>
      <c r="F27" s="9">
        <v>10578</v>
      </c>
      <c r="G27" s="9">
        <v>3759.6</v>
      </c>
      <c r="H27" s="9">
        <v>5539</v>
      </c>
      <c r="I27" s="9">
        <v>246494</v>
      </c>
      <c r="J27" s="10">
        <v>30.57</v>
      </c>
      <c r="K27" s="10">
        <v>29.89</v>
      </c>
      <c r="L27" s="9">
        <f>'[18]key-in(DCO)'!AR25</f>
        <v>0</v>
      </c>
      <c r="M27" s="10">
        <f>[18]생산!AV24</f>
        <v>0</v>
      </c>
      <c r="N27" s="10">
        <f>[18]생산!AW24</f>
        <v>0</v>
      </c>
      <c r="O27" s="10">
        <f>[18]생산!AX24</f>
        <v>0</v>
      </c>
      <c r="P27" s="10">
        <f>[18]생산!AY24</f>
        <v>0</v>
      </c>
      <c r="Q27" s="10">
        <f>[19]생산!BE24</f>
        <v>0</v>
      </c>
      <c r="R27" s="10">
        <f>[18]생산!BA24</f>
        <v>0</v>
      </c>
      <c r="S27" s="9">
        <f>[18]운전시간외!C24</f>
        <v>0</v>
      </c>
      <c r="T27" s="9">
        <f>[18]운전시간외!D24</f>
        <v>0</v>
      </c>
      <c r="U27" s="9">
        <f>[18]운전시간외!E24</f>
        <v>0</v>
      </c>
      <c r="V27" s="9">
        <f>[18]운전시간외!F24</f>
        <v>0</v>
      </c>
      <c r="W27" s="11">
        <f>[18]생산!E24</f>
        <v>0</v>
      </c>
      <c r="X27" s="11">
        <f>[18]생산!F24</f>
        <v>0</v>
      </c>
      <c r="Y27" s="11">
        <f>[18]생산!G24</f>
        <v>0</v>
      </c>
      <c r="Z27" s="11">
        <f>[18]생산!H24</f>
        <v>0</v>
      </c>
      <c r="AA27" s="11">
        <f>[18]생산!I24</f>
        <v>0</v>
      </c>
      <c r="AB27" s="11">
        <f>[18]생산!J24</f>
        <v>0</v>
      </c>
      <c r="AC27" s="48">
        <f>ROUNDDOWN('[20]2025년'!G23/1000,1)</f>
        <v>0</v>
      </c>
    </row>
    <row r="28" spans="1:29">
      <c r="A28" s="6">
        <f t="shared" si="0"/>
        <v>45680</v>
      </c>
      <c r="B28" s="9">
        <v>4082</v>
      </c>
      <c r="C28" s="9">
        <v>227997</v>
      </c>
      <c r="D28" s="9">
        <v>222524</v>
      </c>
      <c r="E28" s="9">
        <v>13892</v>
      </c>
      <c r="F28" s="9">
        <v>10578</v>
      </c>
      <c r="G28" s="9">
        <v>3760.5</v>
      </c>
      <c r="H28" s="9">
        <v>5598</v>
      </c>
      <c r="I28" s="9">
        <v>246711</v>
      </c>
      <c r="J28" s="10">
        <v>30.67</v>
      </c>
      <c r="K28" s="10">
        <v>30.01</v>
      </c>
      <c r="L28" s="9">
        <f>'[18]key-in(DCO)'!AR26</f>
        <v>0</v>
      </c>
      <c r="M28" s="10">
        <f>[18]생산!AV25</f>
        <v>0</v>
      </c>
      <c r="N28" s="10">
        <f>[18]생산!AW25</f>
        <v>0</v>
      </c>
      <c r="O28" s="10">
        <f>[18]생산!AX25</f>
        <v>0</v>
      </c>
      <c r="P28" s="10">
        <f>[18]생산!AY25</f>
        <v>0</v>
      </c>
      <c r="Q28" s="10">
        <f>[19]생산!BE25</f>
        <v>0</v>
      </c>
      <c r="R28" s="10">
        <f>[18]생산!BA25</f>
        <v>0</v>
      </c>
      <c r="S28" s="9">
        <f>[18]운전시간외!C25</f>
        <v>0</v>
      </c>
      <c r="T28" s="9">
        <f>[18]운전시간외!D25</f>
        <v>0</v>
      </c>
      <c r="U28" s="9">
        <f>[18]운전시간외!E25</f>
        <v>0</v>
      </c>
      <c r="V28" s="9">
        <f>[18]운전시간외!F25</f>
        <v>0</v>
      </c>
      <c r="W28" s="11">
        <f>[18]생산!E25</f>
        <v>0</v>
      </c>
      <c r="X28" s="11">
        <f>[18]생산!F25</f>
        <v>0</v>
      </c>
      <c r="Y28" s="11">
        <f>[18]생산!G25</f>
        <v>0</v>
      </c>
      <c r="Z28" s="11">
        <f>[18]생산!H25</f>
        <v>0</v>
      </c>
      <c r="AA28" s="11">
        <f>[18]생산!I25</f>
        <v>0</v>
      </c>
      <c r="AB28" s="11">
        <f>[18]생산!J25</f>
        <v>0</v>
      </c>
      <c r="AC28" s="48">
        <f>ROUNDDOWN('[20]2025년'!G24/1000,1)</f>
        <v>0</v>
      </c>
    </row>
    <row r="29" spans="1:29">
      <c r="A29" s="6">
        <f t="shared" si="0"/>
        <v>45681</v>
      </c>
      <c r="B29" s="9">
        <v>4096</v>
      </c>
      <c r="C29" s="9">
        <v>228067</v>
      </c>
      <c r="D29" s="9">
        <v>222564</v>
      </c>
      <c r="E29" s="9">
        <v>13897</v>
      </c>
      <c r="F29" s="9">
        <v>10578</v>
      </c>
      <c r="G29" s="9">
        <v>3761.5</v>
      </c>
      <c r="H29" s="9">
        <v>5705</v>
      </c>
      <c r="I29" s="9">
        <v>246857</v>
      </c>
      <c r="J29" s="10">
        <v>30.57</v>
      </c>
      <c r="K29" s="10">
        <v>29.93</v>
      </c>
      <c r="L29" s="9">
        <f>'[18]key-in(DCO)'!AR27</f>
        <v>0</v>
      </c>
      <c r="M29" s="10">
        <f>[18]생산!AV26</f>
        <v>0</v>
      </c>
      <c r="N29" s="10">
        <f>[18]생산!AW26</f>
        <v>0</v>
      </c>
      <c r="O29" s="10">
        <f>[18]생산!AX26</f>
        <v>0</v>
      </c>
      <c r="P29" s="10">
        <f>[18]생산!AY26</f>
        <v>0</v>
      </c>
      <c r="Q29" s="10">
        <f>[19]생산!BE26</f>
        <v>0</v>
      </c>
      <c r="R29" s="10">
        <f>[18]생산!BA26</f>
        <v>0</v>
      </c>
      <c r="S29" s="9">
        <f>[18]운전시간외!C26</f>
        <v>0</v>
      </c>
      <c r="T29" s="9">
        <f>[18]운전시간외!D26</f>
        <v>0</v>
      </c>
      <c r="U29" s="9">
        <f>[18]운전시간외!E26</f>
        <v>0</v>
      </c>
      <c r="V29" s="9">
        <f>[18]운전시간외!F26</f>
        <v>0</v>
      </c>
      <c r="W29" s="11">
        <f>[18]생산!E26</f>
        <v>0</v>
      </c>
      <c r="X29" s="11">
        <f>[18]생산!F26</f>
        <v>0</v>
      </c>
      <c r="Y29" s="11">
        <f>[18]생산!G26</f>
        <v>0</v>
      </c>
      <c r="Z29" s="11">
        <f>[18]생산!H26</f>
        <v>0</v>
      </c>
      <c r="AA29" s="11">
        <f>[18]생산!I26</f>
        <v>0</v>
      </c>
      <c r="AB29" s="11">
        <f>[18]생산!J26</f>
        <v>0</v>
      </c>
      <c r="AC29" s="48">
        <f>ROUNDDOWN('[20]2025년'!G25/1000,1)</f>
        <v>0</v>
      </c>
    </row>
    <row r="30" spans="1:29">
      <c r="A30" s="6">
        <f t="shared" si="0"/>
        <v>45682</v>
      </c>
      <c r="B30" s="9">
        <v>4124</v>
      </c>
      <c r="C30" s="9">
        <v>228162</v>
      </c>
      <c r="D30" s="9">
        <v>222605</v>
      </c>
      <c r="E30" s="9">
        <v>13898</v>
      </c>
      <c r="F30" s="9">
        <v>10578</v>
      </c>
      <c r="G30" s="9">
        <v>3762</v>
      </c>
      <c r="H30" s="9">
        <v>5721</v>
      </c>
      <c r="I30" s="9">
        <v>246884</v>
      </c>
      <c r="J30" s="10">
        <v>30.66</v>
      </c>
      <c r="K30" s="10">
        <v>30</v>
      </c>
      <c r="L30" s="9">
        <f>'[18]key-in(DCO)'!AR28</f>
        <v>0</v>
      </c>
      <c r="M30" s="10">
        <f>[18]생산!AV27</f>
        <v>0</v>
      </c>
      <c r="N30" s="10">
        <f>[18]생산!AW27</f>
        <v>0</v>
      </c>
      <c r="O30" s="10">
        <f>[18]생산!AX27</f>
        <v>0</v>
      </c>
      <c r="P30" s="10">
        <f>[18]생산!AY27</f>
        <v>0</v>
      </c>
      <c r="Q30" s="10">
        <f>[19]생산!BE27</f>
        <v>0</v>
      </c>
      <c r="R30" s="10">
        <f>[18]생산!BA27</f>
        <v>0</v>
      </c>
      <c r="S30" s="9">
        <f>[18]운전시간외!C27</f>
        <v>0</v>
      </c>
      <c r="T30" s="9">
        <f>[18]운전시간외!D27</f>
        <v>0</v>
      </c>
      <c r="U30" s="9">
        <f>[18]운전시간외!E27</f>
        <v>0</v>
      </c>
      <c r="V30" s="9">
        <f>[18]운전시간외!F27</f>
        <v>0</v>
      </c>
      <c r="W30" s="11">
        <f>[18]생산!E27</f>
        <v>0</v>
      </c>
      <c r="X30" s="11">
        <f>[18]생산!F27</f>
        <v>0</v>
      </c>
      <c r="Y30" s="11">
        <f>[18]생산!G27</f>
        <v>0</v>
      </c>
      <c r="Z30" s="11">
        <f>[18]생산!H27</f>
        <v>0</v>
      </c>
      <c r="AA30" s="11">
        <f>[18]생산!I27</f>
        <v>0</v>
      </c>
      <c r="AB30" s="11">
        <f>[18]생산!J27</f>
        <v>0</v>
      </c>
      <c r="AC30" s="48">
        <f>ROUNDDOWN('[20]2025년'!G26/1000,1)</f>
        <v>0</v>
      </c>
    </row>
    <row r="31" spans="1:29">
      <c r="A31" s="6">
        <f t="shared" si="0"/>
        <v>45683</v>
      </c>
      <c r="B31" s="9">
        <v>4156</v>
      </c>
      <c r="C31" s="9">
        <v>228272</v>
      </c>
      <c r="D31" s="9">
        <v>222692</v>
      </c>
      <c r="E31" s="9">
        <v>13900</v>
      </c>
      <c r="F31" s="9">
        <v>10578</v>
      </c>
      <c r="G31" s="9">
        <v>3762.6</v>
      </c>
      <c r="H31" s="9">
        <v>5767</v>
      </c>
      <c r="I31" s="9">
        <v>247122</v>
      </c>
      <c r="J31" s="10">
        <v>30.6</v>
      </c>
      <c r="K31" s="10">
        <v>30.07</v>
      </c>
      <c r="L31" s="9">
        <f>'[18]key-in(DCO)'!AR29</f>
        <v>0</v>
      </c>
      <c r="M31" s="10">
        <f>[18]생산!AV28</f>
        <v>0</v>
      </c>
      <c r="N31" s="10">
        <f>[18]생산!AW28</f>
        <v>0</v>
      </c>
      <c r="O31" s="10">
        <f>[18]생산!AX28</f>
        <v>0</v>
      </c>
      <c r="P31" s="10">
        <f>[18]생산!AY28</f>
        <v>0</v>
      </c>
      <c r="Q31" s="10">
        <f>[19]생산!BE28</f>
        <v>0</v>
      </c>
      <c r="R31" s="10">
        <f>[18]생산!BA28</f>
        <v>0</v>
      </c>
      <c r="S31" s="9">
        <f>[18]운전시간외!C28</f>
        <v>0</v>
      </c>
      <c r="T31" s="9">
        <f>[18]운전시간외!D28</f>
        <v>0</v>
      </c>
      <c r="U31" s="9">
        <f>[18]운전시간외!E28</f>
        <v>0</v>
      </c>
      <c r="V31" s="9">
        <f>[18]운전시간외!F28</f>
        <v>0</v>
      </c>
      <c r="W31" s="11">
        <f>[18]생산!E28</f>
        <v>0</v>
      </c>
      <c r="X31" s="11">
        <f>[18]생산!F28</f>
        <v>0</v>
      </c>
      <c r="Y31" s="11">
        <f>[18]생산!G28</f>
        <v>0</v>
      </c>
      <c r="Z31" s="11">
        <f>[18]생산!H28</f>
        <v>0</v>
      </c>
      <c r="AA31" s="11">
        <f>[18]생산!I28</f>
        <v>0</v>
      </c>
      <c r="AB31" s="11">
        <f>[18]생산!J28</f>
        <v>0</v>
      </c>
      <c r="AC31" s="48">
        <f>ROUNDDOWN('[20]2025년'!G27/1000,1)</f>
        <v>0</v>
      </c>
    </row>
    <row r="32" spans="1:29">
      <c r="A32" s="6">
        <f t="shared" si="0"/>
        <v>45684</v>
      </c>
      <c r="B32" s="9">
        <v>4188</v>
      </c>
      <c r="C32" s="9">
        <v>228419</v>
      </c>
      <c r="D32" s="9">
        <v>222749</v>
      </c>
      <c r="E32" s="9">
        <v>13901</v>
      </c>
      <c r="F32" s="9">
        <v>10578</v>
      </c>
      <c r="G32" s="9">
        <v>3763.4</v>
      </c>
      <c r="H32" s="9">
        <v>5853</v>
      </c>
      <c r="I32" s="9">
        <v>247394</v>
      </c>
      <c r="J32" s="10">
        <v>30.597000000000001</v>
      </c>
      <c r="K32" s="10">
        <v>30.067</v>
      </c>
      <c r="L32" s="9">
        <f>'[18]key-in(DCO)'!AR30</f>
        <v>0</v>
      </c>
      <c r="M32" s="10">
        <f>[18]생산!AV29</f>
        <v>601.9</v>
      </c>
      <c r="N32" s="10">
        <f>[18]생산!AW29</f>
        <v>0</v>
      </c>
      <c r="O32" s="10">
        <f>[18]생산!AX29</f>
        <v>0</v>
      </c>
      <c r="P32" s="10">
        <f>[18]생산!AY29</f>
        <v>0</v>
      </c>
      <c r="Q32" s="10">
        <f>[19]생산!BE29</f>
        <v>0</v>
      </c>
      <c r="R32" s="10">
        <f>[18]생산!BA29</f>
        <v>0</v>
      </c>
      <c r="S32" s="9">
        <f>[18]운전시간외!C29</f>
        <v>1</v>
      </c>
      <c r="T32" s="9">
        <f>[18]운전시간외!D29</f>
        <v>0</v>
      </c>
      <c r="U32" s="9">
        <f>[18]운전시간외!E29</f>
        <v>0</v>
      </c>
      <c r="V32" s="9">
        <f>[18]운전시간외!F29</f>
        <v>0</v>
      </c>
      <c r="W32" s="11">
        <f>[18]생산!E29</f>
        <v>0</v>
      </c>
      <c r="X32" s="11">
        <f>[18]생산!F29</f>
        <v>0</v>
      </c>
      <c r="Y32" s="11">
        <f>[18]생산!G29</f>
        <v>0</v>
      </c>
      <c r="Z32" s="11">
        <f>[18]생산!H29</f>
        <v>0</v>
      </c>
      <c r="AA32" s="11">
        <f>[18]생산!I29</f>
        <v>0</v>
      </c>
      <c r="AB32" s="11">
        <f>[18]생산!J29</f>
        <v>0</v>
      </c>
      <c r="AC32" s="48">
        <f>ROUNDDOWN('[20]2025년'!G28/1000,1)</f>
        <v>0</v>
      </c>
    </row>
    <row r="33" spans="1:29">
      <c r="A33" s="6">
        <f t="shared" si="0"/>
        <v>45685</v>
      </c>
      <c r="B33" s="9">
        <v>4213</v>
      </c>
      <c r="C33" s="9">
        <v>228490</v>
      </c>
      <c r="D33" s="9">
        <v>222867</v>
      </c>
      <c r="E33" s="9">
        <v>13902</v>
      </c>
      <c r="F33" s="9">
        <v>10594</v>
      </c>
      <c r="G33" s="9">
        <v>3764.2</v>
      </c>
      <c r="H33" s="9">
        <v>5909</v>
      </c>
      <c r="I33" s="9">
        <v>247655</v>
      </c>
      <c r="J33" s="10">
        <v>30.4</v>
      </c>
      <c r="K33" s="10">
        <v>30.2</v>
      </c>
      <c r="L33" s="9">
        <f>'[18]key-in(DCO)'!AR31</f>
        <v>0</v>
      </c>
      <c r="M33" s="10">
        <f>[18]생산!AV30</f>
        <v>160186.6</v>
      </c>
      <c r="N33" s="10">
        <f>[18]생산!AW30</f>
        <v>0</v>
      </c>
      <c r="O33" s="10">
        <f>[18]생산!AX30</f>
        <v>0</v>
      </c>
      <c r="P33" s="10">
        <f>[18]생산!AY30</f>
        <v>0</v>
      </c>
      <c r="Q33" s="10">
        <f>[19]생산!BE30</f>
        <v>0</v>
      </c>
      <c r="R33" s="10">
        <f>[18]생산!BA30</f>
        <v>0</v>
      </c>
      <c r="S33" s="9">
        <f>[18]운전시간외!C30</f>
        <v>24</v>
      </c>
      <c r="T33" s="9">
        <f>[18]운전시간외!D30</f>
        <v>0</v>
      </c>
      <c r="U33" s="9">
        <f>[18]운전시간외!E30</f>
        <v>0</v>
      </c>
      <c r="V33" s="9">
        <f>[18]운전시간외!F30</f>
        <v>0</v>
      </c>
      <c r="W33" s="11">
        <f>[18]생산!E30</f>
        <v>1009</v>
      </c>
      <c r="X33" s="11">
        <f>[18]생산!F30</f>
        <v>0</v>
      </c>
      <c r="Y33" s="11">
        <f>[18]생산!G30</f>
        <v>0</v>
      </c>
      <c r="Z33" s="11">
        <f>[18]생산!H30</f>
        <v>0</v>
      </c>
      <c r="AA33" s="11">
        <f>[18]생산!I30</f>
        <v>0</v>
      </c>
      <c r="AB33" s="11">
        <f>[18]생산!J30</f>
        <v>1009</v>
      </c>
      <c r="AC33" s="48">
        <f>ROUNDDOWN('[20]2025년'!G29/1000,1)</f>
        <v>76</v>
      </c>
    </row>
    <row r="34" spans="1:29">
      <c r="A34" s="6">
        <f t="shared" si="0"/>
        <v>45686</v>
      </c>
      <c r="B34" s="9">
        <v>4239</v>
      </c>
      <c r="C34" s="9">
        <v>228600</v>
      </c>
      <c r="D34" s="9">
        <v>222949</v>
      </c>
      <c r="E34" s="9">
        <v>13904</v>
      </c>
      <c r="F34" s="9">
        <v>10609</v>
      </c>
      <c r="G34" s="9">
        <v>3765</v>
      </c>
      <c r="H34" s="9">
        <v>6003</v>
      </c>
      <c r="I34" s="9">
        <v>247931</v>
      </c>
      <c r="J34" s="10">
        <v>30.74</v>
      </c>
      <c r="K34" s="10">
        <v>30.26</v>
      </c>
      <c r="L34" s="9">
        <f>'[18]key-in(DCO)'!AR32</f>
        <v>0</v>
      </c>
      <c r="M34" s="10">
        <f>[18]생산!AV31</f>
        <v>141605.9</v>
      </c>
      <c r="N34" s="10">
        <f>[18]생산!AW31</f>
        <v>0</v>
      </c>
      <c r="O34" s="10">
        <f>[18]생산!AX31</f>
        <v>0</v>
      </c>
      <c r="P34" s="10">
        <f>[18]생산!AY31</f>
        <v>18380</v>
      </c>
      <c r="Q34" s="10">
        <f>[19]생산!BE31</f>
        <v>0</v>
      </c>
      <c r="R34" s="10">
        <f>[18]생산!BA31</f>
        <v>18380</v>
      </c>
      <c r="S34" s="9">
        <f>[18]운전시간외!C31</f>
        <v>19</v>
      </c>
      <c r="T34" s="9">
        <f>[18]운전시간외!D31</f>
        <v>0</v>
      </c>
      <c r="U34" s="9">
        <f>[18]운전시간외!E31</f>
        <v>0</v>
      </c>
      <c r="V34" s="9">
        <f>[18]운전시간외!F31</f>
        <v>3</v>
      </c>
      <c r="W34" s="11">
        <f>[18]생산!E31</f>
        <v>909</v>
      </c>
      <c r="X34" s="11">
        <f>[18]생산!F31</f>
        <v>0</v>
      </c>
      <c r="Y34" s="11">
        <f>[18]생산!G31</f>
        <v>0</v>
      </c>
      <c r="Z34" s="11">
        <f>[18]생산!H31</f>
        <v>159</v>
      </c>
      <c r="AA34" s="11">
        <f>[18]생산!I31</f>
        <v>159</v>
      </c>
      <c r="AB34" s="11">
        <f>[18]생산!J31</f>
        <v>1068</v>
      </c>
      <c r="AC34" s="48">
        <f>ROUNDDOWN('[20]2025년'!G30/1000,1)</f>
        <v>64</v>
      </c>
    </row>
    <row r="35" spans="1:29">
      <c r="A35" s="6">
        <f t="shared" si="0"/>
        <v>45687</v>
      </c>
      <c r="B35" s="9">
        <v>4271</v>
      </c>
      <c r="C35" s="9">
        <v>228633</v>
      </c>
      <c r="D35" s="9">
        <v>223106</v>
      </c>
      <c r="E35" s="9">
        <v>13905</v>
      </c>
      <c r="F35" s="9">
        <v>10614</v>
      </c>
      <c r="G35" s="9">
        <v>3765.8</v>
      </c>
      <c r="H35" s="9">
        <v>6056</v>
      </c>
      <c r="I35" s="9">
        <v>248190</v>
      </c>
      <c r="J35" s="10">
        <v>30.84</v>
      </c>
      <c r="K35" s="10">
        <v>30.28</v>
      </c>
      <c r="L35" s="9">
        <f>'[18]key-in(DCO)'!AR33</f>
        <v>0</v>
      </c>
      <c r="M35" s="10">
        <f>[18]생산!AV32</f>
        <v>20610</v>
      </c>
      <c r="N35" s="10">
        <f>[18]생산!AW32</f>
        <v>0</v>
      </c>
      <c r="O35" s="10">
        <f>[18]생산!AX32</f>
        <v>0</v>
      </c>
      <c r="P35" s="10">
        <f>[18]생산!AY32</f>
        <v>0</v>
      </c>
      <c r="Q35" s="10">
        <f>[19]생산!BE32</f>
        <v>0</v>
      </c>
      <c r="R35" s="10">
        <f>[18]생산!BA32</f>
        <v>0</v>
      </c>
      <c r="S35" s="9">
        <f>[18]운전시간외!C32</f>
        <v>4</v>
      </c>
      <c r="T35" s="9">
        <f>[18]운전시간외!D32</f>
        <v>0</v>
      </c>
      <c r="U35" s="9">
        <f>[18]운전시간외!E32</f>
        <v>0</v>
      </c>
      <c r="V35" s="9">
        <f>[18]운전시간외!F32</f>
        <v>0</v>
      </c>
      <c r="W35" s="11">
        <f>[18]생산!E32</f>
        <v>131</v>
      </c>
      <c r="X35" s="11">
        <f>[18]생산!F32</f>
        <v>0</v>
      </c>
      <c r="Y35" s="11">
        <f>[18]생산!G32</f>
        <v>0</v>
      </c>
      <c r="Z35" s="11">
        <f>[18]생산!H32</f>
        <v>0</v>
      </c>
      <c r="AA35" s="11">
        <f>[18]생산!I32</f>
        <v>0</v>
      </c>
      <c r="AB35" s="11">
        <f>[18]생산!J32</f>
        <v>131</v>
      </c>
      <c r="AC35" s="48">
        <f>ROUNDDOWN('[20]2025년'!G31/1000,1)</f>
        <v>8.6999999999999993</v>
      </c>
    </row>
    <row r="36" spans="1:29">
      <c r="A36" s="6">
        <f t="shared" si="0"/>
        <v>45688</v>
      </c>
      <c r="B36" s="9">
        <v>4302</v>
      </c>
      <c r="C36" s="9">
        <v>228800</v>
      </c>
      <c r="D36" s="9">
        <v>223130</v>
      </c>
      <c r="E36" s="9">
        <v>13910</v>
      </c>
      <c r="F36" s="9">
        <v>10614</v>
      </c>
      <c r="G36" s="9">
        <v>3766.7</v>
      </c>
      <c r="H36" s="9">
        <v>6150</v>
      </c>
      <c r="I36" s="9">
        <v>248432</v>
      </c>
      <c r="J36" s="10">
        <v>30.37</v>
      </c>
      <c r="K36" s="10">
        <v>30.75</v>
      </c>
      <c r="L36" s="9">
        <f>'[18]key-in(DCO)'!AR34</f>
        <v>0</v>
      </c>
      <c r="M36" s="10">
        <f>[18]생산!AV33</f>
        <v>94.699999999999989</v>
      </c>
      <c r="N36" s="10">
        <f>[18]생산!AW33</f>
        <v>0</v>
      </c>
      <c r="O36" s="10">
        <f>[18]생산!AX33</f>
        <v>0</v>
      </c>
      <c r="P36" s="10">
        <f>[18]생산!AY33</f>
        <v>0</v>
      </c>
      <c r="Q36" s="10">
        <f>[19]생산!BE33</f>
        <v>0</v>
      </c>
      <c r="R36" s="10">
        <f>[18]생산!BA33</f>
        <v>0</v>
      </c>
      <c r="S36" s="9">
        <f>[18]운전시간외!C33</f>
        <v>1</v>
      </c>
      <c r="T36" s="9">
        <f>[18]운전시간외!D33</f>
        <v>0</v>
      </c>
      <c r="U36" s="9">
        <f>[18]운전시간외!E33</f>
        <v>0</v>
      </c>
      <c r="V36" s="9">
        <f>[18]운전시간외!F33</f>
        <v>0</v>
      </c>
      <c r="W36" s="11">
        <f>[18]생산!E33</f>
        <v>2</v>
      </c>
      <c r="X36" s="11">
        <f>[18]생산!F33</f>
        <v>0</v>
      </c>
      <c r="Y36" s="11">
        <f>[18]생산!G33</f>
        <v>0</v>
      </c>
      <c r="Z36" s="11">
        <f>[18]생산!H33</f>
        <v>0</v>
      </c>
      <c r="AA36" s="11">
        <f>[18]생산!I33</f>
        <v>0</v>
      </c>
      <c r="AB36" s="11">
        <f>[18]생산!J33</f>
        <v>2</v>
      </c>
      <c r="AC36" s="48">
        <f>ROUNDDOWN('[20]2025년'!G32/1000,1)</f>
        <v>0</v>
      </c>
    </row>
    <row r="37" spans="1:29">
      <c r="A37" s="6">
        <f t="shared" si="0"/>
        <v>45689</v>
      </c>
      <c r="B37" s="9">
        <v>4324</v>
      </c>
      <c r="C37" s="9">
        <v>228800</v>
      </c>
      <c r="D37" s="9">
        <v>223260</v>
      </c>
      <c r="E37" s="9">
        <v>13911</v>
      </c>
      <c r="F37" s="9">
        <v>10631</v>
      </c>
      <c r="G37" s="9">
        <v>3767.3</v>
      </c>
      <c r="H37" s="9">
        <v>6189</v>
      </c>
      <c r="I37" s="9">
        <v>248588</v>
      </c>
      <c r="J37" s="10">
        <v>30.66</v>
      </c>
      <c r="K37" s="10">
        <v>30.28</v>
      </c>
      <c r="L37" s="9">
        <f>'[18]key-in(DCO)'!AR35</f>
        <v>0</v>
      </c>
      <c r="M37" s="10">
        <f>[18]생산!AV34</f>
        <v>131640</v>
      </c>
      <c r="N37" s="10">
        <f>[18]생산!AW34</f>
        <v>0</v>
      </c>
      <c r="O37" s="10">
        <f>[18]생산!AX34</f>
        <v>0</v>
      </c>
      <c r="P37" s="10">
        <f>[18]생산!AY34</f>
        <v>0</v>
      </c>
      <c r="Q37" s="10">
        <f>[19]생산!BE34</f>
        <v>0</v>
      </c>
      <c r="R37" s="10">
        <f>[18]생산!BA34</f>
        <v>0</v>
      </c>
      <c r="S37" s="9">
        <f>[18]운전시간외!C34</f>
        <v>18</v>
      </c>
      <c r="T37" s="9">
        <f>[18]운전시간외!D34</f>
        <v>0</v>
      </c>
      <c r="U37" s="9">
        <f>[18]운전시간외!E34</f>
        <v>0</v>
      </c>
      <c r="V37" s="9">
        <f>[18]운전시간외!F34</f>
        <v>0</v>
      </c>
      <c r="W37" s="11">
        <f>[18]생산!E34</f>
        <v>842</v>
      </c>
      <c r="X37" s="11">
        <f>[18]생산!F34</f>
        <v>0</v>
      </c>
      <c r="Y37" s="11">
        <f>[18]생산!G34</f>
        <v>0</v>
      </c>
      <c r="Z37" s="11">
        <f>[18]생산!H34</f>
        <v>0</v>
      </c>
      <c r="AA37" s="11">
        <f>[18]생산!I34</f>
        <v>0</v>
      </c>
      <c r="AB37" s="11">
        <f>[18]생산!J34</f>
        <v>842</v>
      </c>
      <c r="AC37" s="48">
        <f>ROUNDDOWN('[20]2025년'!G33/1000,1)</f>
        <v>65.3</v>
      </c>
    </row>
    <row r="38" spans="1:29">
      <c r="A38" s="6">
        <f t="shared" si="0"/>
        <v>45690</v>
      </c>
      <c r="B38" s="9">
        <v>4324</v>
      </c>
      <c r="C38" s="9">
        <v>228800</v>
      </c>
      <c r="D38" s="9">
        <v>223292</v>
      </c>
      <c r="E38" s="9">
        <v>13912</v>
      </c>
      <c r="F38" s="9">
        <v>10654</v>
      </c>
      <c r="G38" s="9">
        <v>3768.1</v>
      </c>
      <c r="H38" s="9">
        <v>6311</v>
      </c>
      <c r="I38" s="9">
        <v>248792</v>
      </c>
      <c r="J38" s="10">
        <v>30.53</v>
      </c>
      <c r="K38" s="10">
        <v>30.21</v>
      </c>
      <c r="L38" s="9">
        <f>'[18]key-in(DCO)'!AR36</f>
        <v>0</v>
      </c>
      <c r="M38" s="10">
        <f>[18]생산!AV35</f>
        <v>194825.4</v>
      </c>
      <c r="N38" s="10">
        <f>[18]생산!AW35</f>
        <v>0</v>
      </c>
      <c r="O38" s="10">
        <f>[18]생산!AX35</f>
        <v>0</v>
      </c>
      <c r="P38" s="10">
        <f>[18]생산!AY35</f>
        <v>0</v>
      </c>
      <c r="Q38" s="10">
        <f>[19]생산!BE35</f>
        <v>0</v>
      </c>
      <c r="R38" s="10">
        <f>[18]생산!BA35</f>
        <v>0</v>
      </c>
      <c r="S38" s="9">
        <f>[18]운전시간외!C35</f>
        <v>24</v>
      </c>
      <c r="T38" s="9">
        <f>[18]운전시간외!D35</f>
        <v>0</v>
      </c>
      <c r="U38" s="9">
        <f>[18]운전시간외!E35</f>
        <v>0</v>
      </c>
      <c r="V38" s="9">
        <f>[18]운전시간외!F35</f>
        <v>0</v>
      </c>
      <c r="W38" s="11">
        <f>[18]생산!E35</f>
        <v>1244</v>
      </c>
      <c r="X38" s="11">
        <f>[18]생산!F35</f>
        <v>0</v>
      </c>
      <c r="Y38" s="11">
        <f>[18]생산!G35</f>
        <v>0</v>
      </c>
      <c r="Z38" s="11">
        <f>[18]생산!H35</f>
        <v>0</v>
      </c>
      <c r="AA38" s="11">
        <f>[18]생산!I35</f>
        <v>0</v>
      </c>
      <c r="AB38" s="11">
        <f>[18]생산!J35</f>
        <v>1244</v>
      </c>
      <c r="AC38" s="48">
        <f>ROUNDDOWN('[20]2025년'!G34/1000,1)</f>
        <v>87.2</v>
      </c>
    </row>
    <row r="39" spans="1:29">
      <c r="A39" s="6">
        <f t="shared" si="0"/>
        <v>45691</v>
      </c>
      <c r="B39" s="9">
        <v>4355</v>
      </c>
      <c r="C39" s="9">
        <v>228952</v>
      </c>
      <c r="D39" s="9">
        <v>223353</v>
      </c>
      <c r="E39" s="9">
        <v>13917</v>
      </c>
      <c r="F39" s="9">
        <v>10677</v>
      </c>
      <c r="G39" s="9">
        <v>3769</v>
      </c>
      <c r="H39" s="9">
        <v>6406</v>
      </c>
      <c r="I39" s="9">
        <v>248996</v>
      </c>
      <c r="J39" s="10">
        <v>30.82</v>
      </c>
      <c r="K39" s="10">
        <v>30.24</v>
      </c>
      <c r="L39" s="9">
        <f>'[18]key-in(DCO)'!AR37</f>
        <v>0</v>
      </c>
      <c r="M39" s="10">
        <f>[18]생산!AV36</f>
        <v>198278.39999999851</v>
      </c>
      <c r="N39" s="10">
        <f>[18]생산!AW36</f>
        <v>0</v>
      </c>
      <c r="O39" s="10">
        <f>[18]생산!AX36</f>
        <v>0</v>
      </c>
      <c r="P39" s="10">
        <f>[18]생산!AY36</f>
        <v>0</v>
      </c>
      <c r="Q39" s="10">
        <f>[19]생산!BE36</f>
        <v>0</v>
      </c>
      <c r="R39" s="10">
        <f>[18]생산!BA36</f>
        <v>0</v>
      </c>
      <c r="S39" s="9">
        <f>[18]운전시간외!C36</f>
        <v>24</v>
      </c>
      <c r="T39" s="9">
        <f>[18]운전시간외!D36</f>
        <v>0</v>
      </c>
      <c r="U39" s="9">
        <f>[18]운전시간외!E36</f>
        <v>0</v>
      </c>
      <c r="V39" s="9">
        <f>[18]운전시간외!F36</f>
        <v>0</v>
      </c>
      <c r="W39" s="11">
        <f>[18]생산!E36</f>
        <v>1252</v>
      </c>
      <c r="X39" s="11">
        <f>[18]생산!F36</f>
        <v>0</v>
      </c>
      <c r="Y39" s="11">
        <f>[18]생산!G36</f>
        <v>0</v>
      </c>
      <c r="Z39" s="11">
        <f>[18]생산!H36</f>
        <v>0</v>
      </c>
      <c r="AA39" s="11">
        <f>[18]생산!I36</f>
        <v>0</v>
      </c>
      <c r="AB39" s="11">
        <f>[18]생산!J36</f>
        <v>1252</v>
      </c>
      <c r="AC39" s="48">
        <f>ROUNDDOWN('[20]2025년'!G35/1000,1)</f>
        <v>90.5</v>
      </c>
    </row>
    <row r="40" spans="1:29">
      <c r="A40" s="6">
        <f t="shared" si="0"/>
        <v>45692</v>
      </c>
      <c r="B40" s="9">
        <v>4388</v>
      </c>
      <c r="C40" s="9">
        <v>229064</v>
      </c>
      <c r="D40" s="9">
        <v>223474</v>
      </c>
      <c r="E40" s="9">
        <v>13921</v>
      </c>
      <c r="F40" s="9">
        <v>10698</v>
      </c>
      <c r="G40" s="9">
        <v>3770</v>
      </c>
      <c r="H40" s="9">
        <v>6514</v>
      </c>
      <c r="I40" s="9">
        <v>249331</v>
      </c>
      <c r="J40" s="10">
        <v>30.63</v>
      </c>
      <c r="K40" s="10">
        <v>30.15</v>
      </c>
      <c r="L40" s="9">
        <f>'[18]key-in(DCO)'!AR38</f>
        <v>0</v>
      </c>
      <c r="M40" s="10">
        <f>[18]생산!AV37</f>
        <v>195706.80000000075</v>
      </c>
      <c r="N40" s="10">
        <f>[18]생산!AW37</f>
        <v>0</v>
      </c>
      <c r="O40" s="10">
        <f>[18]생산!AX37</f>
        <v>0</v>
      </c>
      <c r="P40" s="10">
        <f>[18]생산!AY37</f>
        <v>0</v>
      </c>
      <c r="Q40" s="10">
        <f>[19]생산!BE37</f>
        <v>0</v>
      </c>
      <c r="R40" s="10">
        <f>[18]생산!BA37</f>
        <v>0</v>
      </c>
      <c r="S40" s="9">
        <f>[18]운전시간외!C37</f>
        <v>24</v>
      </c>
      <c r="T40" s="9">
        <f>[18]운전시간외!D37</f>
        <v>0</v>
      </c>
      <c r="U40" s="9">
        <f>[18]운전시간외!E37</f>
        <v>0</v>
      </c>
      <c r="V40" s="9">
        <f>[18]운전시간외!F37</f>
        <v>0</v>
      </c>
      <c r="W40" s="11">
        <f>[18]생산!E37</f>
        <v>1252</v>
      </c>
      <c r="X40" s="11">
        <f>[18]생산!F37</f>
        <v>0</v>
      </c>
      <c r="Y40" s="11">
        <f>[18]생산!G37</f>
        <v>0</v>
      </c>
      <c r="Z40" s="11">
        <f>[18]생산!H37</f>
        <v>0</v>
      </c>
      <c r="AA40" s="11">
        <f>[18]생산!I37</f>
        <v>0</v>
      </c>
      <c r="AB40" s="11">
        <f>[18]생산!J37</f>
        <v>1252</v>
      </c>
      <c r="AC40" s="48">
        <f>ROUNDDOWN('[20]2025년'!G36/1000,1)</f>
        <v>88.6</v>
      </c>
    </row>
    <row r="41" spans="1:29">
      <c r="A41" s="6">
        <f t="shared" si="0"/>
        <v>45693</v>
      </c>
      <c r="B41" s="9">
        <v>4420</v>
      </c>
      <c r="C41" s="9">
        <v>229166</v>
      </c>
      <c r="D41" s="9">
        <v>223594</v>
      </c>
      <c r="E41" s="9">
        <v>13925</v>
      </c>
      <c r="F41" s="9">
        <v>10718</v>
      </c>
      <c r="G41" s="9">
        <v>3771.1</v>
      </c>
      <c r="H41" s="9">
        <v>6602</v>
      </c>
      <c r="I41" s="9">
        <v>249649</v>
      </c>
      <c r="J41" s="10">
        <v>30.678999999999998</v>
      </c>
      <c r="K41" s="10">
        <v>30.175000000000001</v>
      </c>
      <c r="L41" s="9">
        <f>'[18]key-in(DCO)'!AR39</f>
        <v>0</v>
      </c>
      <c r="M41" s="10">
        <f>[18]생산!AV38</f>
        <v>194700.7</v>
      </c>
      <c r="N41" s="10">
        <f>[18]생산!AW38</f>
        <v>0</v>
      </c>
      <c r="O41" s="10">
        <f>[18]생산!AX38</f>
        <v>0</v>
      </c>
      <c r="P41" s="10">
        <f>[18]생산!AY38</f>
        <v>0</v>
      </c>
      <c r="Q41" s="10">
        <f>[19]생산!BE38</f>
        <v>0</v>
      </c>
      <c r="R41" s="10">
        <f>[18]생산!BA38</f>
        <v>0</v>
      </c>
      <c r="S41" s="9">
        <f>[18]운전시간외!C38</f>
        <v>24</v>
      </c>
      <c r="T41" s="9">
        <f>[18]운전시간외!D38</f>
        <v>0</v>
      </c>
      <c r="U41" s="9">
        <f>[18]운전시간외!E38</f>
        <v>0</v>
      </c>
      <c r="V41" s="9">
        <f>[18]운전시간외!F38</f>
        <v>0</v>
      </c>
      <c r="W41" s="11">
        <f>[18]생산!E38</f>
        <v>1245.7</v>
      </c>
      <c r="X41" s="11">
        <f>[18]생산!F38</f>
        <v>0</v>
      </c>
      <c r="Y41" s="11">
        <f>[18]생산!G38</f>
        <v>0</v>
      </c>
      <c r="Z41" s="11">
        <f>[18]생산!H38</f>
        <v>0</v>
      </c>
      <c r="AA41" s="11">
        <f>[18]생산!I38</f>
        <v>0</v>
      </c>
      <c r="AB41" s="11">
        <f>[18]생산!J38</f>
        <v>1245.7</v>
      </c>
      <c r="AC41" s="48">
        <f>ROUNDDOWN('[20]2025년'!G37/1000,1)</f>
        <v>90.6</v>
      </c>
    </row>
    <row r="42" spans="1:29">
      <c r="A42" s="6">
        <f t="shared" si="0"/>
        <v>45694</v>
      </c>
      <c r="B42" s="9">
        <v>4452</v>
      </c>
      <c r="C42" s="9">
        <v>229266</v>
      </c>
      <c r="D42" s="9">
        <v>223688</v>
      </c>
      <c r="E42" s="9">
        <v>13929</v>
      </c>
      <c r="F42" s="9">
        <v>10739</v>
      </c>
      <c r="G42" s="9">
        <v>3772</v>
      </c>
      <c r="H42" s="9">
        <v>6672</v>
      </c>
      <c r="I42" s="9">
        <v>249941</v>
      </c>
      <c r="J42" s="10">
        <v>30.8</v>
      </c>
      <c r="K42" s="10">
        <v>30.257000000000001</v>
      </c>
      <c r="L42" s="9">
        <f>'[18]key-in(DCO)'!AR40</f>
        <v>0</v>
      </c>
      <c r="M42" s="10">
        <f>[18]생산!AV39</f>
        <v>197196.4</v>
      </c>
      <c r="N42" s="10">
        <f>[18]생산!AW39</f>
        <v>0</v>
      </c>
      <c r="O42" s="10">
        <f>[18]생산!AX39</f>
        <v>0</v>
      </c>
      <c r="P42" s="10">
        <f>[18]생산!AY39</f>
        <v>0</v>
      </c>
      <c r="Q42" s="10">
        <f>[19]생산!BE39</f>
        <v>0</v>
      </c>
      <c r="R42" s="10">
        <f>[18]생산!BA39</f>
        <v>0</v>
      </c>
      <c r="S42" s="9">
        <f>[18]운전시간외!C39</f>
        <v>24</v>
      </c>
      <c r="T42" s="9">
        <f>[18]운전시간외!D39</f>
        <v>0</v>
      </c>
      <c r="U42" s="9">
        <f>[18]운전시간외!E39</f>
        <v>0</v>
      </c>
      <c r="V42" s="9">
        <f>[18]운전시간외!F39</f>
        <v>0</v>
      </c>
      <c r="W42" s="11">
        <f>[18]생산!E39</f>
        <v>1248.5999999999999</v>
      </c>
      <c r="X42" s="11">
        <f>[18]생산!F39</f>
        <v>0</v>
      </c>
      <c r="Y42" s="11">
        <f>[18]생산!G39</f>
        <v>0</v>
      </c>
      <c r="Z42" s="11">
        <f>[18]생산!H39</f>
        <v>0</v>
      </c>
      <c r="AA42" s="11">
        <f>[18]생산!I39</f>
        <v>0</v>
      </c>
      <c r="AB42" s="11">
        <f>[18]생산!J39</f>
        <v>1248.5999999999999</v>
      </c>
      <c r="AC42" s="48">
        <f>ROUNDDOWN('[20]2025년'!G38/1000,1)</f>
        <v>85.3</v>
      </c>
    </row>
    <row r="43" spans="1:29">
      <c r="A43" s="6">
        <f t="shared" si="0"/>
        <v>45695</v>
      </c>
      <c r="B43" s="9">
        <v>4483</v>
      </c>
      <c r="C43" s="9">
        <v>229352</v>
      </c>
      <c r="D43" s="9">
        <v>223798</v>
      </c>
      <c r="E43" s="9">
        <v>13933</v>
      </c>
      <c r="F43" s="9">
        <v>10759</v>
      </c>
      <c r="G43" s="9">
        <v>3773</v>
      </c>
      <c r="H43" s="9">
        <v>6816</v>
      </c>
      <c r="I43" s="9">
        <v>250190</v>
      </c>
      <c r="J43" s="10">
        <v>30.86</v>
      </c>
      <c r="K43" s="10">
        <v>30.35</v>
      </c>
      <c r="L43" s="9">
        <f>'[18]key-in(DCO)'!AR41</f>
        <v>0</v>
      </c>
      <c r="M43" s="10">
        <f>[18]생산!AV40</f>
        <v>196723.20000000001</v>
      </c>
      <c r="N43" s="10">
        <f>[18]생산!AW40</f>
        <v>0</v>
      </c>
      <c r="O43" s="10">
        <f>[18]생산!AX40</f>
        <v>0</v>
      </c>
      <c r="P43" s="10">
        <f>[18]생산!AY40</f>
        <v>0</v>
      </c>
      <c r="Q43" s="10">
        <f>[19]생산!BE40</f>
        <v>0</v>
      </c>
      <c r="R43" s="10">
        <f>[18]생산!BA40</f>
        <v>0</v>
      </c>
      <c r="S43" s="9">
        <f>[18]운전시간외!C40</f>
        <v>24</v>
      </c>
      <c r="T43" s="9">
        <f>[18]운전시간외!D40</f>
        <v>0</v>
      </c>
      <c r="U43" s="9">
        <f>[18]운전시간외!E40</f>
        <v>0</v>
      </c>
      <c r="V43" s="9">
        <f>[18]운전시간외!F40</f>
        <v>0</v>
      </c>
      <c r="W43" s="11">
        <f>[18]생산!E40</f>
        <v>1254.7</v>
      </c>
      <c r="X43" s="11">
        <f>[18]생산!F40</f>
        <v>0</v>
      </c>
      <c r="Y43" s="11">
        <f>[18]생산!G40</f>
        <v>0</v>
      </c>
      <c r="Z43" s="11">
        <f>[18]생산!H40</f>
        <v>0</v>
      </c>
      <c r="AA43" s="11">
        <f>[18]생산!I40</f>
        <v>0</v>
      </c>
      <c r="AB43" s="11">
        <f>[18]생산!J40</f>
        <v>1254.7</v>
      </c>
      <c r="AC43" s="48">
        <f>ROUNDDOWN('[20]2025년'!G39/1000,1)</f>
        <v>86.8</v>
      </c>
    </row>
    <row r="44" spans="1:29">
      <c r="A44" s="6">
        <f t="shared" si="0"/>
        <v>45696</v>
      </c>
      <c r="B44" s="9">
        <v>4497</v>
      </c>
      <c r="C44" s="9">
        <v>229437</v>
      </c>
      <c r="D44" s="9">
        <v>223893</v>
      </c>
      <c r="E44" s="9">
        <v>13934</v>
      </c>
      <c r="F44" s="9">
        <v>10785</v>
      </c>
      <c r="G44" s="9">
        <v>3774.2</v>
      </c>
      <c r="H44" s="9">
        <v>6961</v>
      </c>
      <c r="I44" s="9">
        <v>250477</v>
      </c>
      <c r="J44" s="10">
        <v>30.8</v>
      </c>
      <c r="K44" s="10">
        <v>30.26</v>
      </c>
      <c r="L44" s="9">
        <f>'[18]key-in(DCO)'!AR42</f>
        <v>0</v>
      </c>
      <c r="M44" s="10">
        <f>[18]생산!AV41</f>
        <v>196860</v>
      </c>
      <c r="N44" s="10">
        <f>[18]생산!AW41</f>
        <v>0</v>
      </c>
      <c r="O44" s="10">
        <f>[18]생산!AX41</f>
        <v>0</v>
      </c>
      <c r="P44" s="10">
        <f>[18]생산!AY41</f>
        <v>0</v>
      </c>
      <c r="Q44" s="10">
        <f>[19]생산!BE41</f>
        <v>0</v>
      </c>
      <c r="R44" s="10">
        <f>[18]생산!BA41</f>
        <v>0</v>
      </c>
      <c r="S44" s="9">
        <f>[18]운전시간외!C41</f>
        <v>24</v>
      </c>
      <c r="T44" s="9">
        <f>[18]운전시간외!D41</f>
        <v>0</v>
      </c>
      <c r="U44" s="9">
        <f>[18]운전시간외!E41</f>
        <v>0</v>
      </c>
      <c r="V44" s="9">
        <f>[18]운전시간외!F41</f>
        <v>0</v>
      </c>
      <c r="W44" s="11">
        <f>[18]생산!E41</f>
        <v>1258</v>
      </c>
      <c r="X44" s="11">
        <f>[18]생산!F41</f>
        <v>0</v>
      </c>
      <c r="Y44" s="11">
        <f>[18]생산!G41</f>
        <v>0</v>
      </c>
      <c r="Z44" s="11">
        <f>[18]생산!H41</f>
        <v>0</v>
      </c>
      <c r="AA44" s="11">
        <f>[18]생산!I41</f>
        <v>0</v>
      </c>
      <c r="AB44" s="11">
        <f>[18]생산!J41</f>
        <v>1258</v>
      </c>
      <c r="AC44" s="48">
        <f>ROUNDDOWN('[20]2025년'!G40/1000,1)</f>
        <v>65.3</v>
      </c>
    </row>
    <row r="45" spans="1:29">
      <c r="A45" s="6">
        <f t="shared" si="0"/>
        <v>45697</v>
      </c>
      <c r="B45" s="9">
        <v>4497</v>
      </c>
      <c r="C45" s="9">
        <v>229437</v>
      </c>
      <c r="D45" s="9">
        <v>223934</v>
      </c>
      <c r="E45" s="9">
        <v>13936</v>
      </c>
      <c r="F45" s="9">
        <v>10815</v>
      </c>
      <c r="G45" s="9">
        <v>3775.1</v>
      </c>
      <c r="H45" s="9">
        <v>7056</v>
      </c>
      <c r="I45" s="9">
        <v>250584</v>
      </c>
      <c r="J45" s="10">
        <v>30.18</v>
      </c>
      <c r="K45" s="10">
        <v>30.04</v>
      </c>
      <c r="L45" s="9">
        <f>'[18]key-in(DCO)'!AR43</f>
        <v>0</v>
      </c>
      <c r="M45" s="10">
        <f>[18]생산!AV42</f>
        <v>194725.6</v>
      </c>
      <c r="N45" s="10">
        <f>[18]생산!AW42</f>
        <v>0</v>
      </c>
      <c r="O45" s="10">
        <f>[18]생산!AX42</f>
        <v>0</v>
      </c>
      <c r="P45" s="10">
        <f>[18]생산!AY42</f>
        <v>0</v>
      </c>
      <c r="Q45" s="10">
        <f>[19]생산!BE42</f>
        <v>0</v>
      </c>
      <c r="R45" s="10">
        <f>[18]생산!BA42</f>
        <v>0</v>
      </c>
      <c r="S45" s="9">
        <f>[18]운전시간외!C42</f>
        <v>24</v>
      </c>
      <c r="T45" s="9">
        <f>[18]운전시간외!D42</f>
        <v>0</v>
      </c>
      <c r="U45" s="9">
        <f>[18]운전시간외!E42</f>
        <v>0</v>
      </c>
      <c r="V45" s="9">
        <f>[18]운전시간외!F42</f>
        <v>0</v>
      </c>
      <c r="W45" s="11">
        <f>[18]생산!E42</f>
        <v>1252</v>
      </c>
      <c r="X45" s="11">
        <f>[18]생산!F42</f>
        <v>0</v>
      </c>
      <c r="Y45" s="11">
        <f>[18]생산!G42</f>
        <v>0</v>
      </c>
      <c r="Z45" s="11">
        <f>[18]생산!H42</f>
        <v>0</v>
      </c>
      <c r="AA45" s="11">
        <f>[18]생산!I42</f>
        <v>0</v>
      </c>
      <c r="AB45" s="11">
        <f>[18]생산!J42</f>
        <v>1252</v>
      </c>
      <c r="AC45" s="48">
        <f>ROUNDDOWN('[20]2025년'!G41/1000,1)</f>
        <v>34.9</v>
      </c>
    </row>
    <row r="46" spans="1:29">
      <c r="A46" s="6">
        <f t="shared" si="0"/>
        <v>45698</v>
      </c>
      <c r="B46" s="9">
        <v>4497</v>
      </c>
      <c r="C46" s="9">
        <v>229518</v>
      </c>
      <c r="D46" s="9">
        <v>223934</v>
      </c>
      <c r="E46" s="9">
        <v>13940</v>
      </c>
      <c r="F46" s="9">
        <v>10846</v>
      </c>
      <c r="G46" s="9">
        <v>3775.8</v>
      </c>
      <c r="H46" s="9">
        <v>7160</v>
      </c>
      <c r="I46" s="9">
        <v>250784</v>
      </c>
      <c r="J46" s="10">
        <v>30.17</v>
      </c>
      <c r="K46" s="10">
        <v>29.88</v>
      </c>
      <c r="L46" s="9">
        <f>'[18]key-in(DCO)'!AR44</f>
        <v>0</v>
      </c>
      <c r="M46" s="10">
        <f>[18]생산!AV43</f>
        <v>195627.4</v>
      </c>
      <c r="N46" s="10">
        <f>[18]생산!AW43</f>
        <v>0</v>
      </c>
      <c r="O46" s="10">
        <f>[18]생산!AX43</f>
        <v>0</v>
      </c>
      <c r="P46" s="10">
        <f>[18]생산!AY43</f>
        <v>0</v>
      </c>
      <c r="Q46" s="10">
        <f>[19]생산!BE43</f>
        <v>0</v>
      </c>
      <c r="R46" s="10">
        <f>[18]생산!BA43</f>
        <v>0</v>
      </c>
      <c r="S46" s="9">
        <f>[18]운전시간외!C43</f>
        <v>24</v>
      </c>
      <c r="T46" s="9">
        <f>[18]운전시간외!D43</f>
        <v>0</v>
      </c>
      <c r="U46" s="9">
        <f>[18]운전시간외!E43</f>
        <v>0</v>
      </c>
      <c r="V46" s="9">
        <f>[18]운전시간외!F43</f>
        <v>0</v>
      </c>
      <c r="W46" s="11">
        <f>[18]생산!E43</f>
        <v>1248</v>
      </c>
      <c r="X46" s="11">
        <f>[18]생산!F43</f>
        <v>0</v>
      </c>
      <c r="Y46" s="11">
        <f>[18]생산!G43</f>
        <v>0</v>
      </c>
      <c r="Z46" s="11">
        <f>[18]생산!H43</f>
        <v>0</v>
      </c>
      <c r="AA46" s="11">
        <f>[18]생산!I43</f>
        <v>0</v>
      </c>
      <c r="AB46" s="11">
        <f>[18]생산!J43</f>
        <v>1248</v>
      </c>
      <c r="AC46" s="48">
        <f>ROUNDDOWN('[20]2025년'!G42/1000,1)</f>
        <v>85.8</v>
      </c>
    </row>
    <row r="47" spans="1:29">
      <c r="A47" s="6">
        <f t="shared" si="0"/>
        <v>45699</v>
      </c>
      <c r="B47" s="9">
        <v>4529</v>
      </c>
      <c r="C47" s="9">
        <v>229630</v>
      </c>
      <c r="D47" s="9">
        <v>224057</v>
      </c>
      <c r="E47" s="9">
        <v>13945</v>
      </c>
      <c r="F47" s="9">
        <v>10878</v>
      </c>
      <c r="G47" s="9">
        <v>3776.8</v>
      </c>
      <c r="H47" s="9">
        <v>7276</v>
      </c>
      <c r="I47" s="9">
        <v>251092</v>
      </c>
      <c r="J47" s="10">
        <v>30.53</v>
      </c>
      <c r="K47" s="10">
        <v>29.9</v>
      </c>
      <c r="L47" s="9">
        <f>'[18]key-in(DCO)'!AR45</f>
        <v>0</v>
      </c>
      <c r="M47" s="10">
        <f>[18]생산!AV44</f>
        <v>178529</v>
      </c>
      <c r="N47" s="10">
        <f>[18]생산!AW44</f>
        <v>0</v>
      </c>
      <c r="O47" s="10">
        <f>[18]생산!AX44</f>
        <v>0</v>
      </c>
      <c r="P47" s="10">
        <f>[18]생산!AY44</f>
        <v>0</v>
      </c>
      <c r="Q47" s="10">
        <f>[19]생산!BE44</f>
        <v>0</v>
      </c>
      <c r="R47" s="10">
        <f>[18]생산!BA44</f>
        <v>0</v>
      </c>
      <c r="S47" s="9">
        <f>[18]운전시간외!C44</f>
        <v>22</v>
      </c>
      <c r="T47" s="9">
        <f>[18]운전시간외!D44</f>
        <v>0</v>
      </c>
      <c r="U47" s="9">
        <f>[18]운전시간외!E44</f>
        <v>0</v>
      </c>
      <c r="V47" s="9">
        <f>[18]운전시간외!F44</f>
        <v>0</v>
      </c>
      <c r="W47" s="11">
        <f>[18]생산!E44</f>
        <v>1127</v>
      </c>
      <c r="X47" s="11">
        <f>[18]생산!F44</f>
        <v>0</v>
      </c>
      <c r="Y47" s="11">
        <f>[18]생산!G44</f>
        <v>0</v>
      </c>
      <c r="Z47" s="11">
        <f>[18]생산!H44</f>
        <v>0</v>
      </c>
      <c r="AA47" s="11">
        <f>[18]생산!I44</f>
        <v>0</v>
      </c>
      <c r="AB47" s="11">
        <f>[18]생산!J44</f>
        <v>1127</v>
      </c>
      <c r="AC47" s="48">
        <f>ROUNDDOWN('[20]2025년'!G43/1000,1)</f>
        <v>77.5</v>
      </c>
    </row>
    <row r="48" spans="1:29">
      <c r="A48" s="6">
        <f t="shared" si="0"/>
        <v>45700</v>
      </c>
      <c r="B48" s="9">
        <v>4560</v>
      </c>
      <c r="C48" s="9">
        <v>229756</v>
      </c>
      <c r="D48" s="9">
        <v>224142</v>
      </c>
      <c r="E48" s="9">
        <v>13949</v>
      </c>
      <c r="F48" s="9">
        <v>10903</v>
      </c>
      <c r="G48" s="9">
        <v>3777.9</v>
      </c>
      <c r="H48" s="9">
        <v>7392</v>
      </c>
      <c r="I48" s="9">
        <v>251389</v>
      </c>
      <c r="J48" s="10">
        <v>30.44</v>
      </c>
      <c r="K48" s="10">
        <v>30</v>
      </c>
      <c r="L48" s="9">
        <f>'[18]key-in(DCO)'!AR46</f>
        <v>0</v>
      </c>
      <c r="M48" s="10">
        <f>[18]생산!AV45</f>
        <v>131754.30000000075</v>
      </c>
      <c r="N48" s="10">
        <f>[18]생산!AW45</f>
        <v>0</v>
      </c>
      <c r="O48" s="10">
        <f>[18]생산!AX45</f>
        <v>0</v>
      </c>
      <c r="P48" s="10">
        <f>[18]생산!AY45</f>
        <v>0</v>
      </c>
      <c r="Q48" s="10">
        <f>[19]생산!BE45</f>
        <v>0</v>
      </c>
      <c r="R48" s="10">
        <f>[18]생산!BA45</f>
        <v>0</v>
      </c>
      <c r="S48" s="9">
        <f>[18]운전시간외!C45</f>
        <v>18</v>
      </c>
      <c r="T48" s="9">
        <f>[18]운전시간외!D45</f>
        <v>0</v>
      </c>
      <c r="U48" s="9">
        <f>[18]운전시간외!E45</f>
        <v>0</v>
      </c>
      <c r="V48" s="9">
        <f>[18]운전시간외!F45</f>
        <v>0</v>
      </c>
      <c r="W48" s="11">
        <f>[18]생산!E45</f>
        <v>834</v>
      </c>
      <c r="X48" s="11">
        <f>[18]생산!F45</f>
        <v>0</v>
      </c>
      <c r="Y48" s="11">
        <f>[18]생산!G45</f>
        <v>0</v>
      </c>
      <c r="Z48" s="11">
        <f>[18]생산!H45</f>
        <v>0</v>
      </c>
      <c r="AA48" s="11">
        <f>[18]생산!I45</f>
        <v>0</v>
      </c>
      <c r="AB48" s="11">
        <f>[18]생산!J45</f>
        <v>834</v>
      </c>
      <c r="AC48" s="48">
        <f>ROUNDDOWN('[20]2025년'!G44/1000,1)</f>
        <v>53.2</v>
      </c>
    </row>
    <row r="49" spans="1:29">
      <c r="A49" s="6">
        <f t="shared" si="0"/>
        <v>45701</v>
      </c>
      <c r="B49" s="9">
        <v>4591</v>
      </c>
      <c r="C49" s="9">
        <v>229816</v>
      </c>
      <c r="D49" s="9">
        <v>224267</v>
      </c>
      <c r="E49" s="9">
        <v>13955</v>
      </c>
      <c r="F49" s="9">
        <v>10933</v>
      </c>
      <c r="G49" s="9">
        <v>3779</v>
      </c>
      <c r="H49" s="9">
        <v>7507</v>
      </c>
      <c r="I49" s="9">
        <v>251684</v>
      </c>
      <c r="J49" s="10">
        <v>30.53</v>
      </c>
      <c r="K49" s="10">
        <v>30.07</v>
      </c>
      <c r="L49" s="9">
        <f>'[18]key-in(DCO)'!AR47</f>
        <v>0</v>
      </c>
      <c r="M49" s="10">
        <f>[18]생산!AV46</f>
        <v>183181.89999999851</v>
      </c>
      <c r="N49" s="10">
        <f>[18]생산!AW46</f>
        <v>0</v>
      </c>
      <c r="O49" s="10">
        <f>[18]생산!AX46</f>
        <v>0</v>
      </c>
      <c r="P49" s="10">
        <f>[18]생산!AY46</f>
        <v>0</v>
      </c>
      <c r="Q49" s="10">
        <f>[19]생산!BE46</f>
        <v>0</v>
      </c>
      <c r="R49" s="10">
        <f>[18]생산!BA46</f>
        <v>0</v>
      </c>
      <c r="S49" s="9">
        <f>[18]운전시간외!C46</f>
        <v>23</v>
      </c>
      <c r="T49" s="9">
        <f>[18]운전시간외!D46</f>
        <v>0</v>
      </c>
      <c r="U49" s="9">
        <f>[18]운전시간외!E46</f>
        <v>0</v>
      </c>
      <c r="V49" s="9">
        <f>[18]운전시간외!F46</f>
        <v>0</v>
      </c>
      <c r="W49" s="11">
        <f>[18]생산!E46</f>
        <v>1178</v>
      </c>
      <c r="X49" s="11">
        <f>[18]생산!F46</f>
        <v>0</v>
      </c>
      <c r="Y49" s="11">
        <f>[18]생산!G46</f>
        <v>0</v>
      </c>
      <c r="Z49" s="11">
        <f>[18]생산!H46</f>
        <v>0</v>
      </c>
      <c r="AA49" s="11">
        <f>[18]생산!I46</f>
        <v>0</v>
      </c>
      <c r="AB49" s="11">
        <f>[18]생산!J46</f>
        <v>1178</v>
      </c>
      <c r="AC49" s="48">
        <f>ROUNDDOWN('[20]2025년'!G45/1000,1)</f>
        <v>74.900000000000006</v>
      </c>
    </row>
    <row r="50" spans="1:29">
      <c r="A50" s="6">
        <f t="shared" si="0"/>
        <v>45702</v>
      </c>
      <c r="B50" s="9">
        <v>4623</v>
      </c>
      <c r="C50" s="9">
        <v>229915</v>
      </c>
      <c r="D50" s="9">
        <v>224391</v>
      </c>
      <c r="E50" s="9">
        <v>13958</v>
      </c>
      <c r="F50" s="9">
        <v>10961</v>
      </c>
      <c r="G50" s="9">
        <v>3780.2</v>
      </c>
      <c r="H50" s="9">
        <v>7622</v>
      </c>
      <c r="I50" s="9">
        <v>251982</v>
      </c>
      <c r="J50" s="10">
        <v>30.8</v>
      </c>
      <c r="K50" s="10">
        <v>30.1</v>
      </c>
      <c r="L50" s="9">
        <f>'[18]key-in(DCO)'!AR48</f>
        <v>0</v>
      </c>
      <c r="M50" s="10">
        <f>[18]생산!AV47</f>
        <v>118169.1</v>
      </c>
      <c r="N50" s="10">
        <f>[18]생산!AW47</f>
        <v>0</v>
      </c>
      <c r="O50" s="10">
        <f>[18]생산!AX47</f>
        <v>0</v>
      </c>
      <c r="P50" s="10">
        <f>[18]생산!AY47</f>
        <v>0</v>
      </c>
      <c r="Q50" s="10">
        <f>[19]생산!BE47</f>
        <v>0</v>
      </c>
      <c r="R50" s="10">
        <f>[18]생산!BA47</f>
        <v>0</v>
      </c>
      <c r="S50" s="9">
        <f>[18]운전시간외!C47</f>
        <v>14</v>
      </c>
      <c r="T50" s="9">
        <f>[18]운전시간외!D47</f>
        <v>0</v>
      </c>
      <c r="U50" s="9">
        <f>[18]운전시간외!E47</f>
        <v>0</v>
      </c>
      <c r="V50" s="9">
        <f>[18]운전시간외!F47</f>
        <v>0</v>
      </c>
      <c r="W50" s="11">
        <f>[18]생산!E47</f>
        <v>753.5</v>
      </c>
      <c r="X50" s="11">
        <f>[18]생산!F47</f>
        <v>0</v>
      </c>
      <c r="Y50" s="11">
        <f>[18]생산!G47</f>
        <v>0</v>
      </c>
      <c r="Z50" s="11">
        <f>[18]생산!H47</f>
        <v>0</v>
      </c>
      <c r="AA50" s="11">
        <f>[18]생산!I47</f>
        <v>0</v>
      </c>
      <c r="AB50" s="11">
        <f>[18]생산!J47</f>
        <v>753.5</v>
      </c>
      <c r="AC50" s="48">
        <f>ROUNDDOWN('[20]2025년'!G46/1000,1)</f>
        <v>38.6</v>
      </c>
    </row>
    <row r="51" spans="1:29">
      <c r="A51" s="6">
        <f t="shared" si="0"/>
        <v>45703</v>
      </c>
      <c r="B51" s="9">
        <v>4652</v>
      </c>
      <c r="C51" s="9">
        <v>230048</v>
      </c>
      <c r="D51" s="9">
        <v>224430</v>
      </c>
      <c r="E51" s="9">
        <v>13961</v>
      </c>
      <c r="F51" s="9">
        <v>10974</v>
      </c>
      <c r="G51" s="9">
        <v>3781.1</v>
      </c>
      <c r="H51" s="9">
        <v>7738</v>
      </c>
      <c r="I51" s="9">
        <v>252224</v>
      </c>
      <c r="J51" s="10">
        <v>30.8</v>
      </c>
      <c r="K51" s="10">
        <v>30.1</v>
      </c>
      <c r="L51" s="9">
        <f>'[18]key-in(DCO)'!AR49</f>
        <v>0</v>
      </c>
      <c r="M51" s="10">
        <f>[18]생산!AV48</f>
        <v>0</v>
      </c>
      <c r="N51" s="10">
        <f>[18]생산!AW48</f>
        <v>0</v>
      </c>
      <c r="O51" s="10">
        <f>[18]생산!AX48</f>
        <v>0</v>
      </c>
      <c r="P51" s="10">
        <f>[18]생산!AY48</f>
        <v>0</v>
      </c>
      <c r="Q51" s="10">
        <f>[19]생산!BE48</f>
        <v>0</v>
      </c>
      <c r="R51" s="10">
        <f>[18]생산!BA48</f>
        <v>0</v>
      </c>
      <c r="S51" s="9">
        <f>[18]운전시간외!C48</f>
        <v>0</v>
      </c>
      <c r="T51" s="9">
        <f>[18]운전시간외!D48</f>
        <v>0</v>
      </c>
      <c r="U51" s="9">
        <f>[18]운전시간외!E48</f>
        <v>0</v>
      </c>
      <c r="V51" s="9">
        <f>[18]운전시간외!F48</f>
        <v>0</v>
      </c>
      <c r="W51" s="11">
        <f>[18]생산!E48</f>
        <v>0</v>
      </c>
      <c r="X51" s="11">
        <f>[18]생산!F48</f>
        <v>0</v>
      </c>
      <c r="Y51" s="11">
        <f>[18]생산!G48</f>
        <v>0</v>
      </c>
      <c r="Z51" s="11">
        <f>[18]생산!H48</f>
        <v>0</v>
      </c>
      <c r="AA51" s="11">
        <f>[18]생산!I48</f>
        <v>0</v>
      </c>
      <c r="AB51" s="11">
        <f>[18]생산!J48</f>
        <v>0</v>
      </c>
      <c r="AC51" s="48">
        <f>ROUNDDOWN('[20]2025년'!G47/1000,1)</f>
        <v>0</v>
      </c>
    </row>
    <row r="52" spans="1:29">
      <c r="A52" s="6">
        <f t="shared" si="0"/>
        <v>45704</v>
      </c>
      <c r="B52" s="9">
        <v>4652</v>
      </c>
      <c r="C52" s="9">
        <v>230048</v>
      </c>
      <c r="D52" s="9">
        <v>224430</v>
      </c>
      <c r="E52" s="9">
        <v>13963</v>
      </c>
      <c r="F52" s="9">
        <v>10989</v>
      </c>
      <c r="G52" s="9">
        <v>3781.5</v>
      </c>
      <c r="H52" s="9">
        <v>7738</v>
      </c>
      <c r="I52" s="9">
        <v>252252</v>
      </c>
      <c r="J52" s="10">
        <v>30.5</v>
      </c>
      <c r="K52" s="10">
        <v>30.036000000000001</v>
      </c>
      <c r="L52" s="9">
        <f>'[18]key-in(DCO)'!AR50</f>
        <v>0</v>
      </c>
      <c r="M52" s="10">
        <f>[18]생산!AV49</f>
        <v>0</v>
      </c>
      <c r="N52" s="10">
        <f>[18]생산!AW49</f>
        <v>0</v>
      </c>
      <c r="O52" s="10">
        <f>[18]생산!AX49</f>
        <v>0</v>
      </c>
      <c r="P52" s="10">
        <f>[18]생산!AY49</f>
        <v>0</v>
      </c>
      <c r="Q52" s="10">
        <f>[19]생산!BE49</f>
        <v>0</v>
      </c>
      <c r="R52" s="10">
        <f>[18]생산!BA49</f>
        <v>0</v>
      </c>
      <c r="S52" s="9">
        <f>[18]운전시간외!C49</f>
        <v>0</v>
      </c>
      <c r="T52" s="9">
        <f>[18]운전시간외!D49</f>
        <v>0</v>
      </c>
      <c r="U52" s="9">
        <f>[18]운전시간외!E49</f>
        <v>0</v>
      </c>
      <c r="V52" s="9">
        <f>[18]운전시간외!F49</f>
        <v>0</v>
      </c>
      <c r="W52" s="11">
        <f>[18]생산!E49</f>
        <v>0</v>
      </c>
      <c r="X52" s="11">
        <f>[18]생산!F49</f>
        <v>0</v>
      </c>
      <c r="Y52" s="11">
        <f>[18]생산!G49</f>
        <v>0</v>
      </c>
      <c r="Z52" s="11">
        <f>[18]생산!H49</f>
        <v>0</v>
      </c>
      <c r="AA52" s="11">
        <f>[18]생산!I49</f>
        <v>0</v>
      </c>
      <c r="AB52" s="11">
        <f>[18]생산!J49</f>
        <v>0</v>
      </c>
      <c r="AC52" s="48">
        <f>ROUNDDOWN('[20]2025년'!G48/1000,1)</f>
        <v>0</v>
      </c>
    </row>
    <row r="53" spans="1:29">
      <c r="A53" s="6">
        <f t="shared" si="0"/>
        <v>45705</v>
      </c>
      <c r="B53" s="9">
        <v>4655</v>
      </c>
      <c r="C53" s="9">
        <v>230124</v>
      </c>
      <c r="D53" s="9">
        <v>224498</v>
      </c>
      <c r="E53" s="9">
        <v>13970</v>
      </c>
      <c r="F53" s="9">
        <v>11016</v>
      </c>
      <c r="G53" s="9">
        <v>3782.3</v>
      </c>
      <c r="H53" s="9">
        <v>7846</v>
      </c>
      <c r="I53" s="9">
        <v>252473</v>
      </c>
      <c r="J53" s="10">
        <v>30.39</v>
      </c>
      <c r="K53" s="10">
        <v>29.95</v>
      </c>
      <c r="L53" s="9">
        <f>'[18]key-in(DCO)'!AR51</f>
        <v>0</v>
      </c>
      <c r="M53" s="10">
        <f>[18]생산!AV50</f>
        <v>139122</v>
      </c>
      <c r="N53" s="10">
        <f>[18]생산!AW50</f>
        <v>0</v>
      </c>
      <c r="O53" s="10">
        <f>[18]생산!AX50</f>
        <v>0</v>
      </c>
      <c r="P53" s="10">
        <f>[18]생산!AY50</f>
        <v>0</v>
      </c>
      <c r="Q53" s="10">
        <f>[19]생산!BE50</f>
        <v>0</v>
      </c>
      <c r="R53" s="10">
        <f>[18]생산!BA50</f>
        <v>0</v>
      </c>
      <c r="S53" s="9">
        <f>[18]운전시간외!C50</f>
        <v>21</v>
      </c>
      <c r="T53" s="9">
        <f>[18]운전시간외!D50</f>
        <v>0</v>
      </c>
      <c r="U53" s="9">
        <f>[18]운전시간외!E50</f>
        <v>0</v>
      </c>
      <c r="V53" s="9">
        <f>[18]운전시간외!F50</f>
        <v>0</v>
      </c>
      <c r="W53" s="11">
        <f>[18]생산!E50</f>
        <v>902.5</v>
      </c>
      <c r="X53" s="11">
        <f>[18]생산!F50</f>
        <v>0</v>
      </c>
      <c r="Y53" s="11">
        <f>[18]생산!G50</f>
        <v>0</v>
      </c>
      <c r="Z53" s="11">
        <f>[18]생산!H50</f>
        <v>0</v>
      </c>
      <c r="AA53" s="11">
        <f>[18]생산!I50</f>
        <v>0</v>
      </c>
      <c r="AB53" s="11">
        <f>[18]생산!J50</f>
        <v>902.5</v>
      </c>
      <c r="AC53" s="48">
        <f>ROUNDDOWN('[20]2025년'!G49/1000,1)</f>
        <v>54</v>
      </c>
    </row>
    <row r="54" spans="1:29">
      <c r="A54" s="6">
        <f t="shared" si="0"/>
        <v>45706</v>
      </c>
      <c r="B54" s="9">
        <v>4687</v>
      </c>
      <c r="C54" s="9">
        <v>230206</v>
      </c>
      <c r="D54" s="9">
        <v>224599</v>
      </c>
      <c r="E54" s="9">
        <v>13975</v>
      </c>
      <c r="F54" s="9">
        <v>11045</v>
      </c>
      <c r="G54" s="9">
        <v>3783.4</v>
      </c>
      <c r="H54" s="9">
        <v>7959</v>
      </c>
      <c r="I54" s="9">
        <v>252769</v>
      </c>
      <c r="J54" s="10">
        <v>30.49</v>
      </c>
      <c r="K54" s="10">
        <v>30.04</v>
      </c>
      <c r="L54" s="9">
        <f>'[18]key-in(DCO)'!AR52</f>
        <v>0</v>
      </c>
      <c r="M54" s="10">
        <f>[18]생산!AV51</f>
        <v>150568</v>
      </c>
      <c r="N54" s="10">
        <f>[18]생산!AW51</f>
        <v>0</v>
      </c>
      <c r="O54" s="10">
        <f>[18]생산!AX51</f>
        <v>0</v>
      </c>
      <c r="P54" s="10">
        <f>[18]생산!AY51</f>
        <v>0</v>
      </c>
      <c r="Q54" s="10">
        <f>[19]생산!BE51</f>
        <v>0</v>
      </c>
      <c r="R54" s="10">
        <f>[18]생산!BA51</f>
        <v>0</v>
      </c>
      <c r="S54" s="9">
        <f>[18]운전시간외!C51</f>
        <v>18</v>
      </c>
      <c r="T54" s="9">
        <f>[18]운전시간외!D51</f>
        <v>0</v>
      </c>
      <c r="U54" s="9">
        <f>[18]운전시간외!E51</f>
        <v>0</v>
      </c>
      <c r="V54" s="9">
        <f>[18]운전시간외!F51</f>
        <v>0</v>
      </c>
      <c r="W54" s="11">
        <f>[18]생산!E51</f>
        <v>944</v>
      </c>
      <c r="X54" s="11">
        <f>[18]생산!F51</f>
        <v>0</v>
      </c>
      <c r="Y54" s="11">
        <f>[18]생산!G51</f>
        <v>0</v>
      </c>
      <c r="Z54" s="11">
        <f>[18]생산!H51</f>
        <v>0</v>
      </c>
      <c r="AA54" s="11">
        <f>[18]생산!I51</f>
        <v>0</v>
      </c>
      <c r="AB54" s="11">
        <f>[18]생산!J51</f>
        <v>944</v>
      </c>
      <c r="AC54" s="48">
        <f>ROUNDDOWN('[20]2025년'!G50/1000,1)</f>
        <v>50.1</v>
      </c>
    </row>
    <row r="55" spans="1:29">
      <c r="A55" s="6">
        <f t="shared" si="0"/>
        <v>45707</v>
      </c>
      <c r="B55" s="9">
        <v>4712</v>
      </c>
      <c r="C55" s="9">
        <v>230299</v>
      </c>
      <c r="D55" s="9">
        <v>224742</v>
      </c>
      <c r="E55" s="9">
        <v>13981</v>
      </c>
      <c r="F55" s="9">
        <v>11071</v>
      </c>
      <c r="G55" s="9">
        <v>3784.4</v>
      </c>
      <c r="H55" s="9">
        <v>8077</v>
      </c>
      <c r="I55" s="9">
        <v>253074</v>
      </c>
      <c r="J55" s="10">
        <v>30.6</v>
      </c>
      <c r="K55" s="10">
        <v>29.99</v>
      </c>
      <c r="L55" s="9">
        <f>'[18]key-in(DCO)'!AR53</f>
        <v>0</v>
      </c>
      <c r="M55" s="10">
        <f>[18]생산!AV52</f>
        <v>133461.9</v>
      </c>
      <c r="N55" s="10">
        <f>[18]생산!AW52</f>
        <v>0</v>
      </c>
      <c r="O55" s="10">
        <f>[18]생산!AX52</f>
        <v>0</v>
      </c>
      <c r="P55" s="10">
        <f>[18]생산!AY52</f>
        <v>0</v>
      </c>
      <c r="Q55" s="10">
        <f>[19]생산!BE52</f>
        <v>0</v>
      </c>
      <c r="R55" s="10">
        <f>[18]생산!BA52</f>
        <v>0</v>
      </c>
      <c r="S55" s="9">
        <f>[18]운전시간외!C52</f>
        <v>18</v>
      </c>
      <c r="T55" s="9">
        <f>[18]운전시간외!D52</f>
        <v>0</v>
      </c>
      <c r="U55" s="9">
        <f>[18]운전시간외!E52</f>
        <v>0</v>
      </c>
      <c r="V55" s="9">
        <f>[18]운전시간외!F52</f>
        <v>0</v>
      </c>
      <c r="W55" s="11">
        <f>[18]생산!E52</f>
        <v>855</v>
      </c>
      <c r="X55" s="11">
        <f>[18]생산!F52</f>
        <v>0</v>
      </c>
      <c r="Y55" s="11">
        <f>[18]생산!G52</f>
        <v>0</v>
      </c>
      <c r="Z55" s="11">
        <f>[18]생산!H52</f>
        <v>0</v>
      </c>
      <c r="AA55" s="11">
        <f>[18]생산!I52</f>
        <v>0</v>
      </c>
      <c r="AB55" s="11">
        <f>[18]생산!J52</f>
        <v>855</v>
      </c>
      <c r="AC55" s="48">
        <f>ROUNDDOWN('[20]2025년'!G51/1000,1)</f>
        <v>54.6</v>
      </c>
    </row>
    <row r="56" spans="1:29">
      <c r="A56" s="6">
        <f t="shared" si="0"/>
        <v>45708</v>
      </c>
      <c r="B56" s="9">
        <v>4742</v>
      </c>
      <c r="C56" s="9">
        <v>230405</v>
      </c>
      <c r="D56" s="9">
        <v>224797</v>
      </c>
      <c r="E56" s="9">
        <v>13985</v>
      </c>
      <c r="F56" s="9">
        <v>11098</v>
      </c>
      <c r="G56" s="9">
        <v>3785.7</v>
      </c>
      <c r="H56" s="9">
        <v>8198</v>
      </c>
      <c r="I56" s="9">
        <v>253295</v>
      </c>
      <c r="J56" s="10">
        <v>30.63</v>
      </c>
      <c r="K56" s="10">
        <v>30.06</v>
      </c>
      <c r="L56" s="9">
        <f>'[18]key-in(DCO)'!AR54</f>
        <v>0</v>
      </c>
      <c r="M56" s="10">
        <f>[18]생산!AV53</f>
        <v>134333.1</v>
      </c>
      <c r="N56" s="10">
        <f>[18]생산!AW53</f>
        <v>0</v>
      </c>
      <c r="O56" s="10">
        <f>[18]생산!AX53</f>
        <v>0</v>
      </c>
      <c r="P56" s="10">
        <f>[18]생산!AY53</f>
        <v>0</v>
      </c>
      <c r="Q56" s="10">
        <f>[19]생산!BE53</f>
        <v>0</v>
      </c>
      <c r="R56" s="10">
        <f>[18]생산!BA53</f>
        <v>0</v>
      </c>
      <c r="S56" s="9">
        <f>[18]운전시간외!C53</f>
        <v>18</v>
      </c>
      <c r="T56" s="9">
        <f>[18]운전시간외!D53</f>
        <v>0</v>
      </c>
      <c r="U56" s="9">
        <f>[18]운전시간외!E53</f>
        <v>0</v>
      </c>
      <c r="V56" s="9">
        <f>[18]운전시간외!F53</f>
        <v>0</v>
      </c>
      <c r="W56" s="11">
        <f>[18]생산!E53</f>
        <v>859</v>
      </c>
      <c r="X56" s="11">
        <f>[18]생산!F53</f>
        <v>0</v>
      </c>
      <c r="Y56" s="11">
        <f>[18]생산!G53</f>
        <v>0</v>
      </c>
      <c r="Z56" s="11">
        <f>[18]생산!H53</f>
        <v>0</v>
      </c>
      <c r="AA56" s="11">
        <f>[18]생산!I53</f>
        <v>0</v>
      </c>
      <c r="AB56" s="11">
        <f>[18]생산!J53</f>
        <v>859</v>
      </c>
      <c r="AC56" s="48">
        <f>ROUNDDOWN('[20]2025년'!G52/1000,1)</f>
        <v>55.7</v>
      </c>
    </row>
    <row r="57" spans="1:29">
      <c r="A57" s="6">
        <f t="shared" si="0"/>
        <v>45709</v>
      </c>
      <c r="B57" s="9">
        <v>4773</v>
      </c>
      <c r="C57" s="9">
        <v>230474</v>
      </c>
      <c r="D57" s="9">
        <v>224901</v>
      </c>
      <c r="E57" s="9">
        <v>13990</v>
      </c>
      <c r="F57" s="9">
        <v>11123</v>
      </c>
      <c r="G57" s="9">
        <v>3786.5</v>
      </c>
      <c r="H57" s="9">
        <v>8321</v>
      </c>
      <c r="I57" s="9">
        <v>253579</v>
      </c>
      <c r="J57" s="10">
        <v>30.69</v>
      </c>
      <c r="K57" s="10">
        <v>29.99</v>
      </c>
      <c r="L57" s="9">
        <f>'[18]key-in(DCO)'!AR55</f>
        <v>0</v>
      </c>
      <c r="M57" s="10">
        <f>[18]생산!AV54</f>
        <v>134422.40000000596</v>
      </c>
      <c r="N57" s="10">
        <f>[18]생산!AW54</f>
        <v>0</v>
      </c>
      <c r="O57" s="10">
        <f>[18]생산!AX54</f>
        <v>0</v>
      </c>
      <c r="P57" s="10">
        <f>[18]생산!AY54</f>
        <v>0</v>
      </c>
      <c r="Q57" s="10">
        <f>[19]생산!BE54</f>
        <v>0</v>
      </c>
      <c r="R57" s="10">
        <f>[18]생산!BA54</f>
        <v>0</v>
      </c>
      <c r="S57" s="9">
        <f>[18]운전시간외!C54</f>
        <v>18</v>
      </c>
      <c r="T57" s="9">
        <f>[18]운전시간외!D54</f>
        <v>0</v>
      </c>
      <c r="U57" s="9">
        <f>[18]운전시간외!E54</f>
        <v>0</v>
      </c>
      <c r="V57" s="9">
        <f>[18]운전시간외!F54</f>
        <v>0</v>
      </c>
      <c r="W57" s="11">
        <f>[18]생산!E54</f>
        <v>859</v>
      </c>
      <c r="X57" s="11">
        <f>[18]생산!F54</f>
        <v>0</v>
      </c>
      <c r="Y57" s="11">
        <f>[18]생산!G54</f>
        <v>0</v>
      </c>
      <c r="Z57" s="11">
        <f>[18]생산!H54</f>
        <v>0</v>
      </c>
      <c r="AA57" s="11">
        <f>[18]생산!I54</f>
        <v>0</v>
      </c>
      <c r="AB57" s="11">
        <f>[18]생산!J54</f>
        <v>859</v>
      </c>
      <c r="AC57" s="48">
        <f>ROUNDDOWN('[20]2025년'!G53/1000,1)</f>
        <v>52.5</v>
      </c>
    </row>
    <row r="58" spans="1:29">
      <c r="A58" s="6">
        <f t="shared" si="0"/>
        <v>45710</v>
      </c>
      <c r="B58" s="9">
        <v>4806</v>
      </c>
      <c r="C58" s="9">
        <v>230556</v>
      </c>
      <c r="D58" s="9">
        <v>225022</v>
      </c>
      <c r="E58" s="9">
        <v>13993</v>
      </c>
      <c r="F58" s="9">
        <v>11138</v>
      </c>
      <c r="G58" s="9">
        <v>3787.2</v>
      </c>
      <c r="H58" s="9">
        <v>8438</v>
      </c>
      <c r="I58" s="9">
        <v>253876</v>
      </c>
      <c r="J58" s="10">
        <v>30.35</v>
      </c>
      <c r="K58" s="10">
        <v>30.04</v>
      </c>
      <c r="L58" s="9">
        <f>'[18]key-in(DCO)'!AR56</f>
        <v>0</v>
      </c>
      <c r="M58" s="10">
        <f>[18]생산!AV55</f>
        <v>26710.79999999702</v>
      </c>
      <c r="N58" s="10">
        <f>[18]생산!AW55</f>
        <v>0</v>
      </c>
      <c r="O58" s="10">
        <f>[18]생산!AX55</f>
        <v>0</v>
      </c>
      <c r="P58" s="10">
        <f>[18]생산!AY55</f>
        <v>0</v>
      </c>
      <c r="Q58" s="10">
        <f>[19]생산!BE55</f>
        <v>0</v>
      </c>
      <c r="R58" s="10">
        <f>[18]생산!BA55</f>
        <v>0</v>
      </c>
      <c r="S58" s="9">
        <f>[18]운전시간외!C55</f>
        <v>5</v>
      </c>
      <c r="T58" s="9">
        <f>[18]운전시간외!D55</f>
        <v>0</v>
      </c>
      <c r="U58" s="9">
        <f>[18]운전시간외!E55</f>
        <v>0</v>
      </c>
      <c r="V58" s="9">
        <f>[18]운전시간외!F55</f>
        <v>0</v>
      </c>
      <c r="W58" s="11">
        <f>[18]생산!E55</f>
        <v>160</v>
      </c>
      <c r="X58" s="11">
        <f>[18]생산!F55</f>
        <v>0</v>
      </c>
      <c r="Y58" s="11">
        <f>[18]생산!G55</f>
        <v>0</v>
      </c>
      <c r="Z58" s="11">
        <f>[18]생산!H55</f>
        <v>0</v>
      </c>
      <c r="AA58" s="11">
        <f>[18]생산!I55</f>
        <v>0</v>
      </c>
      <c r="AB58" s="11">
        <f>[18]생산!J55</f>
        <v>160</v>
      </c>
      <c r="AC58" s="48">
        <f>ROUNDDOWN('[20]2025년'!G54/1000,1)</f>
        <v>7.3</v>
      </c>
    </row>
    <row r="59" spans="1:29">
      <c r="A59" s="6">
        <f t="shared" si="0"/>
        <v>45711</v>
      </c>
      <c r="B59" s="9">
        <v>4821</v>
      </c>
      <c r="C59" s="9">
        <v>230594</v>
      </c>
      <c r="D59" s="9">
        <v>225049</v>
      </c>
      <c r="E59" s="9">
        <v>13995</v>
      </c>
      <c r="F59" s="9">
        <v>11156</v>
      </c>
      <c r="G59" s="9">
        <v>3787.9</v>
      </c>
      <c r="H59" s="9">
        <v>8495</v>
      </c>
      <c r="I59" s="9">
        <v>253993</v>
      </c>
      <c r="J59" s="10">
        <v>30.15</v>
      </c>
      <c r="K59" s="10">
        <v>29.94</v>
      </c>
      <c r="L59" s="9">
        <f>'[18]key-in(DCO)'!AR57</f>
        <v>0</v>
      </c>
      <c r="M59" s="10">
        <f>[18]생산!AV56</f>
        <v>44511.29999999702</v>
      </c>
      <c r="N59" s="10">
        <f>[18]생산!AW56</f>
        <v>0</v>
      </c>
      <c r="O59" s="10">
        <f>[18]생산!AX56</f>
        <v>0</v>
      </c>
      <c r="P59" s="10">
        <f>[18]생산!AY56</f>
        <v>0</v>
      </c>
      <c r="Q59" s="10">
        <f>[19]생산!BE56</f>
        <v>0</v>
      </c>
      <c r="R59" s="10">
        <f>[18]생산!BA56</f>
        <v>0</v>
      </c>
      <c r="S59" s="9">
        <f>[18]운전시간외!C56</f>
        <v>7</v>
      </c>
      <c r="T59" s="9">
        <f>[18]운전시간외!D56</f>
        <v>0</v>
      </c>
      <c r="U59" s="9">
        <f>[18]운전시간외!E56</f>
        <v>0</v>
      </c>
      <c r="V59" s="9">
        <f>[18]운전시간외!F56</f>
        <v>0</v>
      </c>
      <c r="W59" s="11">
        <f>[18]생산!E56</f>
        <v>274</v>
      </c>
      <c r="X59" s="11">
        <f>[18]생산!F56</f>
        <v>0</v>
      </c>
      <c r="Y59" s="11">
        <f>[18]생산!G56</f>
        <v>0</v>
      </c>
      <c r="Z59" s="11">
        <f>[18]생산!H56</f>
        <v>0</v>
      </c>
      <c r="AA59" s="11">
        <f>[18]생산!I56</f>
        <v>0</v>
      </c>
      <c r="AB59" s="11">
        <f>[18]생산!J56</f>
        <v>274</v>
      </c>
      <c r="AC59" s="48">
        <f>ROUNDDOWN('[20]2025년'!G55/1000,1)</f>
        <v>13.3</v>
      </c>
    </row>
    <row r="60" spans="1:29">
      <c r="A60" s="6">
        <f t="shared" si="0"/>
        <v>45712</v>
      </c>
      <c r="B60" s="9">
        <v>4834</v>
      </c>
      <c r="C60" s="9">
        <v>230688</v>
      </c>
      <c r="D60" s="9">
        <v>225066</v>
      </c>
      <c r="E60" s="9">
        <v>14000</v>
      </c>
      <c r="F60" s="9">
        <v>11185</v>
      </c>
      <c r="G60" s="9">
        <v>3788.9</v>
      </c>
      <c r="H60" s="9">
        <v>8623</v>
      </c>
      <c r="I60" s="9">
        <v>254200</v>
      </c>
      <c r="J60" s="10">
        <v>30.231999999999999</v>
      </c>
      <c r="K60" s="10">
        <v>29.853999999999999</v>
      </c>
      <c r="L60" s="9">
        <f>'[18]key-in(DCO)'!AR58</f>
        <v>0</v>
      </c>
      <c r="M60" s="10">
        <f>[18]생산!AV57</f>
        <v>184632.9</v>
      </c>
      <c r="N60" s="10">
        <f>[18]생산!AW57</f>
        <v>0</v>
      </c>
      <c r="O60" s="10">
        <f>[18]생산!AX57</f>
        <v>0</v>
      </c>
      <c r="P60" s="10">
        <f>[18]생산!AY57</f>
        <v>0</v>
      </c>
      <c r="Q60" s="10">
        <f>[19]생산!BE57</f>
        <v>0</v>
      </c>
      <c r="R60" s="10">
        <f>[18]생산!BA57</f>
        <v>0</v>
      </c>
      <c r="S60" s="9">
        <f>[18]운전시간외!C57</f>
        <v>24</v>
      </c>
      <c r="T60" s="9">
        <f>[18]운전시간외!D57</f>
        <v>0</v>
      </c>
      <c r="U60" s="9">
        <f>[18]운전시간외!E57</f>
        <v>0</v>
      </c>
      <c r="V60" s="9">
        <f>[18]운전시간외!F57</f>
        <v>0</v>
      </c>
      <c r="W60" s="11">
        <f>[18]생산!E57</f>
        <v>1194.8</v>
      </c>
      <c r="X60" s="11">
        <f>[18]생산!F57</f>
        <v>0</v>
      </c>
      <c r="Y60" s="11">
        <f>[18]생산!G57</f>
        <v>0</v>
      </c>
      <c r="Z60" s="11">
        <f>[18]생산!H57</f>
        <v>0</v>
      </c>
      <c r="AA60" s="11">
        <f>[18]생산!I57</f>
        <v>0</v>
      </c>
      <c r="AB60" s="11">
        <f>[18]생산!J57</f>
        <v>1194.8</v>
      </c>
      <c r="AC60" s="48">
        <f>ROUNDDOWN('[20]2025년'!G56/1000,1)</f>
        <v>65.400000000000006</v>
      </c>
    </row>
    <row r="61" spans="1:29">
      <c r="A61" s="6">
        <f t="shared" si="0"/>
        <v>45713</v>
      </c>
      <c r="B61" s="9">
        <v>4866</v>
      </c>
      <c r="C61" s="9">
        <v>230755</v>
      </c>
      <c r="D61" s="9">
        <v>225189</v>
      </c>
      <c r="E61" s="9">
        <v>14004</v>
      </c>
      <c r="F61" s="9">
        <v>11210</v>
      </c>
      <c r="G61" s="9">
        <v>3789.9</v>
      </c>
      <c r="H61" s="9">
        <v>8729</v>
      </c>
      <c r="I61" s="9">
        <v>254494</v>
      </c>
      <c r="J61" s="10">
        <v>30.442</v>
      </c>
      <c r="K61" s="10">
        <v>29.9</v>
      </c>
      <c r="L61" s="9">
        <f>'[18]key-in(DCO)'!AR59</f>
        <v>0</v>
      </c>
      <c r="M61" s="10">
        <f>[18]생산!AV58</f>
        <v>102889.4</v>
      </c>
      <c r="N61" s="10">
        <f>[18]생산!AW58</f>
        <v>188</v>
      </c>
      <c r="O61" s="10">
        <f>[18]생산!AX58</f>
        <v>0</v>
      </c>
      <c r="P61" s="10">
        <f>[18]생산!AY58</f>
        <v>0</v>
      </c>
      <c r="Q61" s="10">
        <f>[19]생산!BE58</f>
        <v>0</v>
      </c>
      <c r="R61" s="10">
        <f>[18]생산!BA58</f>
        <v>188</v>
      </c>
      <c r="S61" s="9">
        <f>[18]운전시간외!C58</f>
        <v>14</v>
      </c>
      <c r="T61" s="9">
        <f>[18]운전시간외!D58</f>
        <v>0</v>
      </c>
      <c r="U61" s="9">
        <f>[18]운전시간외!E58</f>
        <v>0</v>
      </c>
      <c r="V61" s="9">
        <f>[18]운전시간외!F58</f>
        <v>0</v>
      </c>
      <c r="W61" s="11">
        <f>[18]생산!E58</f>
        <v>658</v>
      </c>
      <c r="X61" s="11">
        <f>[18]생산!F58</f>
        <v>0</v>
      </c>
      <c r="Y61" s="11">
        <f>[18]생산!G58</f>
        <v>0</v>
      </c>
      <c r="Z61" s="11">
        <f>[18]생산!H58</f>
        <v>0</v>
      </c>
      <c r="AA61" s="11">
        <f>[18]생산!I58</f>
        <v>0</v>
      </c>
      <c r="AB61" s="11">
        <f>[18]생산!J58</f>
        <v>658</v>
      </c>
      <c r="AC61" s="48">
        <f>ROUNDDOWN('[20]2025년'!G57/1000,1)</f>
        <v>25.1</v>
      </c>
    </row>
    <row r="62" spans="1:29">
      <c r="A62" s="6">
        <f t="shared" si="0"/>
        <v>45714</v>
      </c>
      <c r="B62" s="9">
        <v>4899</v>
      </c>
      <c r="C62" s="9">
        <v>230906</v>
      </c>
      <c r="D62" s="9">
        <v>225231</v>
      </c>
      <c r="E62" s="9">
        <v>14008</v>
      </c>
      <c r="F62" s="9">
        <v>11223</v>
      </c>
      <c r="G62" s="9">
        <v>3790.5</v>
      </c>
      <c r="H62" s="9">
        <v>8788</v>
      </c>
      <c r="I62" s="9">
        <v>254772</v>
      </c>
      <c r="J62" s="10">
        <v>30.56</v>
      </c>
      <c r="K62" s="10">
        <v>29.98</v>
      </c>
      <c r="L62" s="9">
        <f>'[18]key-in(DCO)'!AR60</f>
        <v>0</v>
      </c>
      <c r="M62" s="10">
        <f>[18]생산!AV59</f>
        <v>0</v>
      </c>
      <c r="N62" s="10">
        <f>[18]생산!AW59</f>
        <v>0</v>
      </c>
      <c r="O62" s="10">
        <f>[18]생산!AX59</f>
        <v>0</v>
      </c>
      <c r="P62" s="10">
        <f>[18]생산!AY59</f>
        <v>0</v>
      </c>
      <c r="Q62" s="10">
        <f>[19]생산!BE59</f>
        <v>0</v>
      </c>
      <c r="R62" s="10">
        <f>[18]생산!BA59</f>
        <v>0</v>
      </c>
      <c r="S62" s="9">
        <f>[18]운전시간외!C59</f>
        <v>0</v>
      </c>
      <c r="T62" s="9">
        <f>[18]운전시간외!D59</f>
        <v>0</v>
      </c>
      <c r="U62" s="9">
        <f>[18]운전시간외!E59</f>
        <v>0</v>
      </c>
      <c r="V62" s="9">
        <f>[18]운전시간외!F59</f>
        <v>0</v>
      </c>
      <c r="W62" s="11">
        <f>[18]생산!E59</f>
        <v>0</v>
      </c>
      <c r="X62" s="11">
        <f>[18]생산!F59</f>
        <v>0</v>
      </c>
      <c r="Y62" s="11">
        <f>[18]생산!G59</f>
        <v>0</v>
      </c>
      <c r="Z62" s="11">
        <f>[18]생산!H59</f>
        <v>0</v>
      </c>
      <c r="AA62" s="11">
        <f>[18]생산!I59</f>
        <v>0</v>
      </c>
      <c r="AB62" s="11">
        <f>[18]생산!J59</f>
        <v>0</v>
      </c>
      <c r="AC62" s="48">
        <f>ROUNDDOWN('[20]2025년'!G58/1000,1)</f>
        <v>0</v>
      </c>
    </row>
    <row r="63" spans="1:29">
      <c r="A63" s="6">
        <f t="shared" si="0"/>
        <v>45715</v>
      </c>
      <c r="B63" s="9">
        <v>4931</v>
      </c>
      <c r="C63" s="9">
        <v>230932</v>
      </c>
      <c r="D63" s="9">
        <v>225392</v>
      </c>
      <c r="E63" s="9">
        <v>14013</v>
      </c>
      <c r="F63" s="9">
        <v>11238</v>
      </c>
      <c r="G63" s="9">
        <v>3791</v>
      </c>
      <c r="H63" s="9">
        <v>8845</v>
      </c>
      <c r="I63" s="9">
        <v>254825</v>
      </c>
      <c r="J63" s="10">
        <v>30.74</v>
      </c>
      <c r="K63" s="10">
        <v>30.1</v>
      </c>
      <c r="L63" s="9">
        <f>'[18]key-in(DCO)'!AR61</f>
        <v>0</v>
      </c>
      <c r="M63" s="10">
        <f>[18]생산!AV60</f>
        <v>0</v>
      </c>
      <c r="N63" s="10">
        <f>[18]생산!AW60</f>
        <v>0</v>
      </c>
      <c r="O63" s="10">
        <f>[18]생산!AX60</f>
        <v>0</v>
      </c>
      <c r="P63" s="10">
        <f>[18]생산!AY60</f>
        <v>0</v>
      </c>
      <c r="Q63" s="10">
        <f>[19]생산!BE60</f>
        <v>0</v>
      </c>
      <c r="R63" s="10">
        <f>[18]생산!BA60</f>
        <v>0</v>
      </c>
      <c r="S63" s="9">
        <f>[18]운전시간외!C60</f>
        <v>0</v>
      </c>
      <c r="T63" s="9">
        <f>[18]운전시간외!D60</f>
        <v>0</v>
      </c>
      <c r="U63" s="9">
        <f>[18]운전시간외!E60</f>
        <v>0</v>
      </c>
      <c r="V63" s="9">
        <f>[18]운전시간외!F60</f>
        <v>0</v>
      </c>
      <c r="W63" s="11">
        <f>[18]생산!E60</f>
        <v>0</v>
      </c>
      <c r="X63" s="11">
        <f>[18]생산!F60</f>
        <v>0</v>
      </c>
      <c r="Y63" s="11">
        <f>[18]생산!G60</f>
        <v>0</v>
      </c>
      <c r="Z63" s="11">
        <f>[18]생산!H60</f>
        <v>0</v>
      </c>
      <c r="AA63" s="11">
        <f>[18]생산!I60</f>
        <v>0</v>
      </c>
      <c r="AB63" s="11">
        <f>[18]생산!J60</f>
        <v>0</v>
      </c>
      <c r="AC63" s="48">
        <f>ROUNDDOWN('[20]2025년'!G59/1000,1)</f>
        <v>0</v>
      </c>
    </row>
    <row r="64" spans="1:29">
      <c r="A64" s="6">
        <f t="shared" si="0"/>
        <v>45716</v>
      </c>
      <c r="B64" s="9">
        <v>4962</v>
      </c>
      <c r="C64" s="9">
        <v>231051</v>
      </c>
      <c r="D64" s="9">
        <v>225462</v>
      </c>
      <c r="E64" s="9">
        <v>14019</v>
      </c>
      <c r="F64" s="9">
        <v>11252</v>
      </c>
      <c r="G64" s="9">
        <v>3791.9</v>
      </c>
      <c r="H64" s="9">
        <v>8904</v>
      </c>
      <c r="I64" s="9">
        <v>254857</v>
      </c>
      <c r="J64" s="10">
        <v>30.73</v>
      </c>
      <c r="K64" s="10">
        <v>30.22</v>
      </c>
      <c r="L64" s="9">
        <f>'[18]key-in(DCO)'!AR62</f>
        <v>0</v>
      </c>
      <c r="M64" s="10">
        <f>[18]생산!AV61</f>
        <v>0</v>
      </c>
      <c r="N64" s="10">
        <f>[18]생산!AW61</f>
        <v>0</v>
      </c>
      <c r="O64" s="10">
        <f>[18]생산!AX61</f>
        <v>0</v>
      </c>
      <c r="P64" s="10">
        <f>[18]생산!AY61</f>
        <v>0</v>
      </c>
      <c r="Q64" s="10">
        <f>[19]생산!BE61</f>
        <v>0</v>
      </c>
      <c r="R64" s="10">
        <f>[18]생산!BA61</f>
        <v>0</v>
      </c>
      <c r="S64" s="9">
        <f>[18]운전시간외!C61</f>
        <v>0</v>
      </c>
      <c r="T64" s="9">
        <f>[18]운전시간외!D61</f>
        <v>0</v>
      </c>
      <c r="U64" s="9">
        <f>[18]운전시간외!E61</f>
        <v>0</v>
      </c>
      <c r="V64" s="9">
        <f>[18]운전시간외!F61</f>
        <v>0</v>
      </c>
      <c r="W64" s="11">
        <f>[18]생산!E61</f>
        <v>0</v>
      </c>
      <c r="X64" s="11">
        <f>[18]생산!F61</f>
        <v>0</v>
      </c>
      <c r="Y64" s="11">
        <f>[18]생산!G61</f>
        <v>0</v>
      </c>
      <c r="Z64" s="11">
        <f>[18]생산!H61</f>
        <v>0</v>
      </c>
      <c r="AA64" s="11">
        <f>[18]생산!I61</f>
        <v>0</v>
      </c>
      <c r="AB64" s="11">
        <f>[18]생산!J61</f>
        <v>0</v>
      </c>
      <c r="AC64" s="48">
        <f>ROUNDDOWN('[20]2025년'!G60/1000,1)</f>
        <v>0</v>
      </c>
    </row>
    <row r="65" spans="1:29">
      <c r="A65" s="6">
        <f t="shared" si="0"/>
        <v>45717</v>
      </c>
      <c r="B65" s="9">
        <v>4995</v>
      </c>
      <c r="C65" s="9">
        <v>231125</v>
      </c>
      <c r="D65" s="9">
        <v>225574</v>
      </c>
      <c r="E65" s="9">
        <v>14021</v>
      </c>
      <c r="F65" s="9">
        <v>11264</v>
      </c>
      <c r="G65" s="9">
        <v>3792.5</v>
      </c>
      <c r="H65" s="9">
        <v>8944</v>
      </c>
      <c r="I65" s="9">
        <v>255057</v>
      </c>
      <c r="J65" s="10">
        <v>30.47</v>
      </c>
      <c r="K65" s="10">
        <v>30.19</v>
      </c>
      <c r="L65" s="9">
        <f>'[18]key-in(DCO)'!AR63</f>
        <v>0</v>
      </c>
      <c r="M65" s="10">
        <f>[18]생산!AV62</f>
        <v>0</v>
      </c>
      <c r="N65" s="10">
        <f>[18]생산!AW62</f>
        <v>0</v>
      </c>
      <c r="O65" s="10">
        <f>[18]생산!AX62</f>
        <v>0</v>
      </c>
      <c r="P65" s="10">
        <f>[18]생산!AY62</f>
        <v>0</v>
      </c>
      <c r="Q65" s="10">
        <f>[19]생산!BE62</f>
        <v>0</v>
      </c>
      <c r="R65" s="10">
        <f>[18]생산!BA62</f>
        <v>0</v>
      </c>
      <c r="S65" s="9">
        <f>[18]운전시간외!C62</f>
        <v>0</v>
      </c>
      <c r="T65" s="9">
        <f>[18]운전시간외!D62</f>
        <v>0</v>
      </c>
      <c r="U65" s="9">
        <f>[18]운전시간외!E62</f>
        <v>0</v>
      </c>
      <c r="V65" s="9">
        <f>[18]운전시간외!F62</f>
        <v>0</v>
      </c>
      <c r="W65" s="11">
        <f>[18]생산!E62</f>
        <v>0</v>
      </c>
      <c r="X65" s="11">
        <f>[18]생산!F62</f>
        <v>0</v>
      </c>
      <c r="Y65" s="11">
        <f>[18]생산!G62</f>
        <v>0</v>
      </c>
      <c r="Z65" s="11">
        <f>[18]생산!H62</f>
        <v>0</v>
      </c>
      <c r="AA65" s="11">
        <f>[18]생산!I62</f>
        <v>0</v>
      </c>
      <c r="AB65" s="11">
        <f>[18]생산!J62</f>
        <v>0</v>
      </c>
      <c r="AC65" s="48">
        <f>ROUNDDOWN('[20]2025년'!G61/1000,1)</f>
        <v>0</v>
      </c>
    </row>
    <row r="66" spans="1:29">
      <c r="A66" s="6">
        <f t="shared" si="0"/>
        <v>45718</v>
      </c>
      <c r="B66" s="9">
        <v>5027</v>
      </c>
      <c r="C66" s="9">
        <v>231223</v>
      </c>
      <c r="D66" s="9">
        <v>225631</v>
      </c>
      <c r="E66" s="9">
        <v>14024</v>
      </c>
      <c r="F66" s="9">
        <v>11277</v>
      </c>
      <c r="G66" s="9">
        <v>3793</v>
      </c>
      <c r="H66" s="9">
        <v>8985</v>
      </c>
      <c r="I66" s="9">
        <v>255212</v>
      </c>
      <c r="J66" s="10">
        <v>30.31</v>
      </c>
      <c r="K66" s="10">
        <v>30.31</v>
      </c>
      <c r="L66" s="9">
        <f>'[18]key-in(DCO)'!AR64</f>
        <v>0</v>
      </c>
      <c r="M66" s="10">
        <f>[18]생산!AV63</f>
        <v>0</v>
      </c>
      <c r="N66" s="10">
        <f>[18]생산!AW63</f>
        <v>0</v>
      </c>
      <c r="O66" s="10">
        <f>[18]생산!AX63</f>
        <v>0</v>
      </c>
      <c r="P66" s="10">
        <f>[18]생산!AY63</f>
        <v>0</v>
      </c>
      <c r="Q66" s="10">
        <f>[19]생산!BE63</f>
        <v>0</v>
      </c>
      <c r="R66" s="10">
        <f>[18]생산!BA63</f>
        <v>0</v>
      </c>
      <c r="S66" s="9">
        <f>[18]운전시간외!C63</f>
        <v>0</v>
      </c>
      <c r="T66" s="9">
        <f>[18]운전시간외!D63</f>
        <v>0</v>
      </c>
      <c r="U66" s="9">
        <f>[18]운전시간외!E63</f>
        <v>0</v>
      </c>
      <c r="V66" s="9">
        <f>[18]운전시간외!F63</f>
        <v>0</v>
      </c>
      <c r="W66" s="11">
        <f>[18]생산!E63</f>
        <v>0</v>
      </c>
      <c r="X66" s="11">
        <f>[18]생산!F63</f>
        <v>0</v>
      </c>
      <c r="Y66" s="11">
        <f>[18]생산!G63</f>
        <v>0</v>
      </c>
      <c r="Z66" s="11">
        <f>[18]생산!H63</f>
        <v>0</v>
      </c>
      <c r="AA66" s="11">
        <f>[18]생산!I63</f>
        <v>0</v>
      </c>
      <c r="AB66" s="11">
        <f>[18]생산!J63</f>
        <v>0</v>
      </c>
      <c r="AC66" s="48">
        <f>ROUNDDOWN('[20]2025년'!G62/1000,1)</f>
        <v>0</v>
      </c>
    </row>
    <row r="67" spans="1:29">
      <c r="A67" s="6">
        <f t="shared" si="0"/>
        <v>45719</v>
      </c>
      <c r="B67" s="9">
        <v>5053</v>
      </c>
      <c r="C67" s="9">
        <v>231223</v>
      </c>
      <c r="D67" s="9">
        <v>225725</v>
      </c>
      <c r="E67" s="9">
        <v>14027</v>
      </c>
      <c r="F67" s="9">
        <v>11301</v>
      </c>
      <c r="G67" s="9">
        <v>3793.5</v>
      </c>
      <c r="H67" s="9">
        <v>9018</v>
      </c>
      <c r="I67" s="9">
        <v>255407</v>
      </c>
      <c r="J67" s="10">
        <v>30.67</v>
      </c>
      <c r="K67" s="10">
        <v>30.18</v>
      </c>
      <c r="L67" s="9">
        <f>'[18]key-in(DCO)'!AR65</f>
        <v>0</v>
      </c>
      <c r="M67" s="10">
        <f>[18]생산!AV64</f>
        <v>129212.39999999851</v>
      </c>
      <c r="N67" s="10">
        <f>[18]생산!AW64</f>
        <v>0</v>
      </c>
      <c r="O67" s="10">
        <f>[18]생산!AX64</f>
        <v>0</v>
      </c>
      <c r="P67" s="10">
        <f>[18]생산!AY64</f>
        <v>0</v>
      </c>
      <c r="Q67" s="10">
        <f>[19]생산!BE64</f>
        <v>0</v>
      </c>
      <c r="R67" s="10">
        <f>[18]생산!BA64</f>
        <v>0</v>
      </c>
      <c r="S67" s="9">
        <f>[18]운전시간외!C64</f>
        <v>22</v>
      </c>
      <c r="T67" s="9">
        <f>[18]운전시간외!D64</f>
        <v>0</v>
      </c>
      <c r="U67" s="9">
        <f>[18]운전시간외!E64</f>
        <v>0</v>
      </c>
      <c r="V67" s="9">
        <f>[18]운전시간외!F64</f>
        <v>0</v>
      </c>
      <c r="W67" s="11">
        <f>[18]생산!E64</f>
        <v>806.29999999998836</v>
      </c>
      <c r="X67" s="11">
        <f>[18]생산!F64</f>
        <v>0</v>
      </c>
      <c r="Y67" s="11">
        <f>[18]생산!G64</f>
        <v>0</v>
      </c>
      <c r="Z67" s="11">
        <f>[18]생산!H64</f>
        <v>0</v>
      </c>
      <c r="AA67" s="11">
        <f>[18]생산!I64</f>
        <v>0</v>
      </c>
      <c r="AB67" s="11">
        <f>[18]생산!J64</f>
        <v>806.29999999998836</v>
      </c>
      <c r="AC67" s="48">
        <f>ROUNDDOWN('[20]2025년'!G63/1000,1)</f>
        <v>51.8</v>
      </c>
    </row>
    <row r="68" spans="1:29">
      <c r="A68" s="6">
        <f t="shared" si="0"/>
        <v>45720</v>
      </c>
      <c r="B68" s="9">
        <v>5053</v>
      </c>
      <c r="C68" s="9">
        <v>231231</v>
      </c>
      <c r="D68" s="9">
        <v>225782</v>
      </c>
      <c r="E68" s="9">
        <v>14033</v>
      </c>
      <c r="F68" s="9">
        <v>11324</v>
      </c>
      <c r="G68" s="9">
        <v>3794.4</v>
      </c>
      <c r="H68" s="9">
        <v>9118</v>
      </c>
      <c r="I68" s="9">
        <v>255564</v>
      </c>
      <c r="J68" s="10">
        <v>30.28</v>
      </c>
      <c r="K68" s="10">
        <v>30.11</v>
      </c>
      <c r="L68" s="9">
        <f>'[18]key-in(DCO)'!AR66</f>
        <v>0</v>
      </c>
      <c r="M68" s="10">
        <f>[18]생산!AV65</f>
        <v>120437.60000000149</v>
      </c>
      <c r="N68" s="10">
        <f>[18]생산!AW65</f>
        <v>0</v>
      </c>
      <c r="O68" s="10">
        <f>[18]생산!AX65</f>
        <v>0</v>
      </c>
      <c r="P68" s="10">
        <f>[18]생산!AY65</f>
        <v>0</v>
      </c>
      <c r="Q68" s="10">
        <f>[19]생산!BE65</f>
        <v>0</v>
      </c>
      <c r="R68" s="10">
        <f>[18]생산!BA65</f>
        <v>0</v>
      </c>
      <c r="S68" s="9">
        <f>[18]운전시간외!C65</f>
        <v>16</v>
      </c>
      <c r="T68" s="9">
        <f>[18]운전시간외!D65</f>
        <v>0</v>
      </c>
      <c r="U68" s="9">
        <f>[18]운전시간외!E65</f>
        <v>0</v>
      </c>
      <c r="V68" s="9">
        <f>[18]운전시간외!F65</f>
        <v>0</v>
      </c>
      <c r="W68" s="11">
        <f>[18]생산!E65</f>
        <v>766</v>
      </c>
      <c r="X68" s="11">
        <f>[18]생산!F65</f>
        <v>0</v>
      </c>
      <c r="Y68" s="11">
        <f>[18]생산!G65</f>
        <v>0</v>
      </c>
      <c r="Z68" s="11">
        <f>[18]생산!H65</f>
        <v>0</v>
      </c>
      <c r="AA68" s="11">
        <f>[18]생산!I65</f>
        <v>0</v>
      </c>
      <c r="AB68" s="11">
        <f>[18]생산!J65</f>
        <v>766</v>
      </c>
      <c r="AC68" s="48">
        <f>ROUNDDOWN('[20]2025년'!G64/1000,1)</f>
        <v>50.5</v>
      </c>
    </row>
    <row r="69" spans="1:29">
      <c r="A69" s="6">
        <f t="shared" si="0"/>
        <v>45721</v>
      </c>
      <c r="B69" s="9">
        <v>5062</v>
      </c>
      <c r="C69" s="9">
        <v>231322</v>
      </c>
      <c r="D69" s="9">
        <v>225803</v>
      </c>
      <c r="E69" s="9">
        <v>14038</v>
      </c>
      <c r="F69" s="9">
        <v>11353</v>
      </c>
      <c r="G69" s="9">
        <v>3795.2</v>
      </c>
      <c r="H69" s="9">
        <v>9199</v>
      </c>
      <c r="I69" s="9">
        <v>255768</v>
      </c>
      <c r="J69" s="10">
        <v>30.36</v>
      </c>
      <c r="K69" s="10">
        <v>30.01</v>
      </c>
      <c r="L69" s="9">
        <f>'[18]key-in(DCO)'!AR67</f>
        <v>0</v>
      </c>
      <c r="M69" s="10">
        <f>[18]생산!AV66</f>
        <v>136409.20000000001</v>
      </c>
      <c r="N69" s="10">
        <f>[18]생산!AW66</f>
        <v>0</v>
      </c>
      <c r="O69" s="10">
        <f>[18]생산!AX66</f>
        <v>0</v>
      </c>
      <c r="P69" s="10">
        <f>[18]생산!AY66</f>
        <v>0</v>
      </c>
      <c r="Q69" s="10">
        <f>[19]생산!BE66</f>
        <v>0</v>
      </c>
      <c r="R69" s="10">
        <f>[18]생산!BA66</f>
        <v>0</v>
      </c>
      <c r="S69" s="9">
        <f>[18]운전시간외!C66</f>
        <v>18</v>
      </c>
      <c r="T69" s="9">
        <f>[18]운전시간외!D66</f>
        <v>0</v>
      </c>
      <c r="U69" s="9">
        <f>[18]운전시간외!E66</f>
        <v>0</v>
      </c>
      <c r="V69" s="9">
        <f>[18]운전시간외!F66</f>
        <v>0</v>
      </c>
      <c r="W69" s="11">
        <f>[18]생산!E66</f>
        <v>864</v>
      </c>
      <c r="X69" s="11">
        <f>[18]생산!F66</f>
        <v>0</v>
      </c>
      <c r="Y69" s="11">
        <f>[18]생산!G66</f>
        <v>0</v>
      </c>
      <c r="Z69" s="11">
        <f>[18]생산!H66</f>
        <v>0</v>
      </c>
      <c r="AA69" s="11">
        <f>[18]생산!I66</f>
        <v>0</v>
      </c>
      <c r="AB69" s="11">
        <f>[18]생산!J66</f>
        <v>864</v>
      </c>
      <c r="AC69" s="48">
        <f>ROUNDDOWN('[20]2025년'!G65/1000,1)</f>
        <v>56</v>
      </c>
    </row>
    <row r="70" spans="1:29">
      <c r="A70" s="6">
        <f t="shared" si="0"/>
        <v>45722</v>
      </c>
      <c r="B70" s="9">
        <v>5092</v>
      </c>
      <c r="C70" s="9">
        <v>231413</v>
      </c>
      <c r="D70" s="9">
        <v>225955</v>
      </c>
      <c r="E70" s="9">
        <v>14043</v>
      </c>
      <c r="F70" s="9">
        <v>11380</v>
      </c>
      <c r="G70" s="9">
        <v>3796.3</v>
      </c>
      <c r="H70" s="9">
        <v>9326</v>
      </c>
      <c r="I70" s="9">
        <v>256121</v>
      </c>
      <c r="J70" s="10">
        <v>30.36</v>
      </c>
      <c r="K70" s="10">
        <v>30.11</v>
      </c>
      <c r="L70" s="9">
        <f>'[18]key-in(DCO)'!AR68</f>
        <v>0</v>
      </c>
      <c r="M70" s="10">
        <f>[18]생산!AV67</f>
        <v>111981</v>
      </c>
      <c r="N70" s="10">
        <f>[18]생산!AW67</f>
        <v>0</v>
      </c>
      <c r="O70" s="10">
        <f>[18]생산!AX67</f>
        <v>0</v>
      </c>
      <c r="P70" s="10">
        <f>[18]생산!AY67</f>
        <v>0</v>
      </c>
      <c r="Q70" s="10">
        <f>[19]생산!BE67</f>
        <v>0</v>
      </c>
      <c r="R70" s="10">
        <f>[18]생산!BA67</f>
        <v>0</v>
      </c>
      <c r="S70" s="9">
        <f>[18]운전시간외!C67</f>
        <v>15</v>
      </c>
      <c r="T70" s="9">
        <f>[18]운전시간외!D67</f>
        <v>0</v>
      </c>
      <c r="U70" s="9">
        <f>[18]운전시간외!E67</f>
        <v>0</v>
      </c>
      <c r="V70" s="9">
        <f>[18]운전시간외!F67</f>
        <v>0</v>
      </c>
      <c r="W70" s="11">
        <f>[18]생산!E67</f>
        <v>704</v>
      </c>
      <c r="X70" s="11">
        <f>[18]생산!F67</f>
        <v>0</v>
      </c>
      <c r="Y70" s="11">
        <f>[18]생산!G67</f>
        <v>0</v>
      </c>
      <c r="Z70" s="11">
        <f>[18]생산!H67</f>
        <v>0</v>
      </c>
      <c r="AA70" s="11">
        <f>[18]생산!I67</f>
        <v>0</v>
      </c>
      <c r="AB70" s="11">
        <f>[18]생산!J67</f>
        <v>704</v>
      </c>
      <c r="AC70" s="48">
        <f>ROUNDDOWN('[20]2025년'!G66/1000,1)</f>
        <v>35.200000000000003</v>
      </c>
    </row>
    <row r="71" spans="1:29">
      <c r="A71" s="6">
        <f t="shared" si="0"/>
        <v>45723</v>
      </c>
      <c r="B71" s="9">
        <v>5125</v>
      </c>
      <c r="C71" s="9">
        <v>231492</v>
      </c>
      <c r="D71" s="9">
        <v>226039</v>
      </c>
      <c r="E71" s="9">
        <v>14048</v>
      </c>
      <c r="F71" s="9">
        <v>11406</v>
      </c>
      <c r="G71" s="9">
        <v>3797.3</v>
      </c>
      <c r="H71" s="9">
        <v>9414</v>
      </c>
      <c r="I71" s="9">
        <v>256359</v>
      </c>
      <c r="J71" s="10">
        <v>30.76</v>
      </c>
      <c r="K71" s="10">
        <v>30.2</v>
      </c>
      <c r="L71" s="9">
        <f>'[18]key-in(DCO)'!AR69</f>
        <v>0</v>
      </c>
      <c r="M71" s="10">
        <f>[18]생산!AV68</f>
        <v>132489.4</v>
      </c>
      <c r="N71" s="10">
        <f>[18]생산!AW68</f>
        <v>0</v>
      </c>
      <c r="O71" s="10">
        <f>[18]생산!AX68</f>
        <v>0</v>
      </c>
      <c r="P71" s="10">
        <f>[18]생산!AY68</f>
        <v>0</v>
      </c>
      <c r="Q71" s="10">
        <f>[19]생산!BE68</f>
        <v>0</v>
      </c>
      <c r="R71" s="10">
        <f>[18]생산!BA68</f>
        <v>0</v>
      </c>
      <c r="S71" s="9">
        <f>[18]운전시간외!C68</f>
        <v>17</v>
      </c>
      <c r="T71" s="9">
        <f>[18]운전시간외!D68</f>
        <v>0</v>
      </c>
      <c r="U71" s="9">
        <f>[18]운전시간외!E68</f>
        <v>0</v>
      </c>
      <c r="V71" s="9">
        <f>[18]운전시간외!F68</f>
        <v>0</v>
      </c>
      <c r="W71" s="11">
        <f>[18]생산!E68</f>
        <v>837</v>
      </c>
      <c r="X71" s="11">
        <f>[18]생산!F68</f>
        <v>0</v>
      </c>
      <c r="Y71" s="11">
        <f>[18]생산!G68</f>
        <v>0</v>
      </c>
      <c r="Z71" s="11">
        <f>[18]생산!H68</f>
        <v>0</v>
      </c>
      <c r="AA71" s="11">
        <f>[18]생산!I68</f>
        <v>0</v>
      </c>
      <c r="AB71" s="11">
        <f>[18]생산!J68</f>
        <v>837</v>
      </c>
      <c r="AC71" s="48">
        <f>ROUNDDOWN('[20]2025년'!G67/1000,1)</f>
        <v>45.3</v>
      </c>
    </row>
    <row r="72" spans="1:29">
      <c r="A72" s="6">
        <f t="shared" ref="A72:A135" si="1">A71+1</f>
        <v>45724</v>
      </c>
      <c r="B72" s="9">
        <v>5158</v>
      </c>
      <c r="C72" s="9">
        <v>231546</v>
      </c>
      <c r="D72" s="9">
        <v>226146</v>
      </c>
      <c r="E72" s="9">
        <v>14052</v>
      </c>
      <c r="F72" s="9">
        <v>11431</v>
      </c>
      <c r="G72" s="9">
        <v>3798</v>
      </c>
      <c r="H72" s="9">
        <v>9505</v>
      </c>
      <c r="I72" s="9">
        <v>256812</v>
      </c>
      <c r="J72" s="10">
        <v>30.76</v>
      </c>
      <c r="K72" s="10">
        <v>30.13</v>
      </c>
      <c r="L72" s="9">
        <f>'[18]key-in(DCO)'!AR70</f>
        <v>0</v>
      </c>
      <c r="M72" s="10">
        <f>[18]생산!AV69</f>
        <v>76359</v>
      </c>
      <c r="N72" s="10">
        <f>[18]생산!AW69</f>
        <v>0</v>
      </c>
      <c r="O72" s="10">
        <f>[18]생산!AX69</f>
        <v>0</v>
      </c>
      <c r="P72" s="10">
        <f>[18]생산!AY69</f>
        <v>0</v>
      </c>
      <c r="Q72" s="10">
        <f>[19]생산!BE69</f>
        <v>0</v>
      </c>
      <c r="R72" s="10">
        <f>[18]생산!BA69</f>
        <v>0</v>
      </c>
      <c r="S72" s="9">
        <f>[18]운전시간외!C69</f>
        <v>13</v>
      </c>
      <c r="T72" s="9">
        <f>[18]운전시간외!D69</f>
        <v>0</v>
      </c>
      <c r="U72" s="9">
        <f>[18]운전시간외!E69</f>
        <v>0</v>
      </c>
      <c r="V72" s="9">
        <f>[18]운전시간외!F69</f>
        <v>0</v>
      </c>
      <c r="W72" s="11">
        <f>[18]생산!E69</f>
        <v>448</v>
      </c>
      <c r="X72" s="11">
        <f>[18]생산!F69</f>
        <v>0</v>
      </c>
      <c r="Y72" s="11">
        <f>[18]생산!G69</f>
        <v>0</v>
      </c>
      <c r="Z72" s="11">
        <f>[18]생산!H69</f>
        <v>0</v>
      </c>
      <c r="AA72" s="11">
        <f>[18]생산!I69</f>
        <v>0</v>
      </c>
      <c r="AB72" s="11">
        <f>[18]생산!J69</f>
        <v>448</v>
      </c>
      <c r="AC72" s="48">
        <f>ROUNDDOWN('[20]2025년'!G68/1000,1)</f>
        <v>29.7</v>
      </c>
    </row>
    <row r="73" spans="1:29">
      <c r="A73" s="6">
        <f t="shared" si="1"/>
        <v>45725</v>
      </c>
      <c r="B73" s="9">
        <v>5185</v>
      </c>
      <c r="C73" s="9">
        <v>231662</v>
      </c>
      <c r="D73" s="9">
        <v>226146</v>
      </c>
      <c r="E73" s="9">
        <v>14054</v>
      </c>
      <c r="F73" s="9">
        <v>11452</v>
      </c>
      <c r="G73" s="9">
        <v>3799.1</v>
      </c>
      <c r="H73" s="9">
        <v>9530</v>
      </c>
      <c r="I73" s="9">
        <v>256923</v>
      </c>
      <c r="J73" s="10">
        <v>30.59</v>
      </c>
      <c r="K73" s="10">
        <v>30.19</v>
      </c>
      <c r="L73" s="9">
        <f>'[18]key-in(DCO)'!AR71</f>
        <v>0</v>
      </c>
      <c r="M73" s="10">
        <f>[18]생산!AV70</f>
        <v>63376</v>
      </c>
      <c r="N73" s="10">
        <f>[18]생산!AW70</f>
        <v>0</v>
      </c>
      <c r="O73" s="10">
        <f>[18]생산!AX70</f>
        <v>0</v>
      </c>
      <c r="P73" s="10">
        <f>[18]생산!AY70</f>
        <v>0</v>
      </c>
      <c r="Q73" s="10">
        <f>[19]생산!BE70</f>
        <v>0</v>
      </c>
      <c r="R73" s="10">
        <f>[18]생산!BA70</f>
        <v>0</v>
      </c>
      <c r="S73" s="9">
        <f>[18]운전시간외!C70</f>
        <v>7</v>
      </c>
      <c r="T73" s="9">
        <f>[18]운전시간외!D70</f>
        <v>0</v>
      </c>
      <c r="U73" s="9">
        <f>[18]운전시간외!E70</f>
        <v>0</v>
      </c>
      <c r="V73" s="9">
        <f>[18]운전시간외!F70</f>
        <v>0</v>
      </c>
      <c r="W73" s="11">
        <f>[18]생산!E70</f>
        <v>387</v>
      </c>
      <c r="X73" s="11">
        <f>[18]생산!F70</f>
        <v>0</v>
      </c>
      <c r="Y73" s="11">
        <f>[18]생산!G70</f>
        <v>0</v>
      </c>
      <c r="Z73" s="11">
        <f>[18]생산!H70</f>
        <v>0</v>
      </c>
      <c r="AA73" s="11">
        <f>[18]생산!I70</f>
        <v>0</v>
      </c>
      <c r="AB73" s="11">
        <f>[18]생산!J70</f>
        <v>387</v>
      </c>
      <c r="AC73" s="48">
        <f>ROUNDDOWN('[20]2025년'!G69/1000,1)</f>
        <v>20.9</v>
      </c>
    </row>
    <row r="74" spans="1:29">
      <c r="A74" s="6">
        <f t="shared" si="1"/>
        <v>45726</v>
      </c>
      <c r="B74" s="9">
        <v>5217</v>
      </c>
      <c r="C74" s="9">
        <v>231732</v>
      </c>
      <c r="D74" s="9">
        <v>226230</v>
      </c>
      <c r="E74" s="9">
        <v>14063</v>
      </c>
      <c r="F74" s="9">
        <v>11479</v>
      </c>
      <c r="G74" s="9">
        <v>3800.1</v>
      </c>
      <c r="H74" s="9">
        <v>9622</v>
      </c>
      <c r="I74" s="9">
        <v>257216</v>
      </c>
      <c r="J74" s="10">
        <v>30.54</v>
      </c>
      <c r="K74" s="10">
        <v>30.11</v>
      </c>
      <c r="L74" s="9">
        <f>'[18]key-in(DCO)'!AR72</f>
        <v>0</v>
      </c>
      <c r="M74" s="10">
        <f>[18]생산!AV71</f>
        <v>85234.8</v>
      </c>
      <c r="N74" s="10">
        <f>[18]생산!AW71</f>
        <v>0</v>
      </c>
      <c r="O74" s="10">
        <f>[18]생산!AX71</f>
        <v>0</v>
      </c>
      <c r="P74" s="10">
        <f>[18]생산!AY71</f>
        <v>0</v>
      </c>
      <c r="Q74" s="10">
        <f>[19]생산!BE71</f>
        <v>0</v>
      </c>
      <c r="R74" s="10">
        <f>[18]생산!BA71</f>
        <v>0</v>
      </c>
      <c r="S74" s="9">
        <f>[18]운전시간외!C71</f>
        <v>13</v>
      </c>
      <c r="T74" s="9">
        <f>[18]운전시간외!D71</f>
        <v>0</v>
      </c>
      <c r="U74" s="9">
        <f>[18]운전시간외!E71</f>
        <v>0</v>
      </c>
      <c r="V74" s="9">
        <f>[18]운전시간외!F71</f>
        <v>0</v>
      </c>
      <c r="W74" s="11">
        <f>[18]생산!E71</f>
        <v>537</v>
      </c>
      <c r="X74" s="11">
        <f>[18]생산!F71</f>
        <v>0</v>
      </c>
      <c r="Y74" s="11">
        <f>[18]생산!G71</f>
        <v>0</v>
      </c>
      <c r="Z74" s="11">
        <f>[18]생산!H71</f>
        <v>0</v>
      </c>
      <c r="AA74" s="11">
        <f>[18]생산!I71</f>
        <v>0</v>
      </c>
      <c r="AB74" s="11">
        <f>[18]생산!J71</f>
        <v>537</v>
      </c>
      <c r="AC74" s="48">
        <f>ROUNDDOWN('[20]2025년'!G70/1000,1)</f>
        <v>30.4</v>
      </c>
    </row>
    <row r="75" spans="1:29">
      <c r="A75" s="6">
        <f t="shared" si="1"/>
        <v>45727</v>
      </c>
      <c r="B75" s="9">
        <v>5231</v>
      </c>
      <c r="C75" s="9">
        <v>231732</v>
      </c>
      <c r="D75" s="9">
        <v>226296</v>
      </c>
      <c r="E75" s="9">
        <v>14072</v>
      </c>
      <c r="F75" s="9">
        <v>11504</v>
      </c>
      <c r="G75" s="9">
        <v>3801.4</v>
      </c>
      <c r="H75" s="9">
        <v>9719</v>
      </c>
      <c r="I75" s="9">
        <v>257341</v>
      </c>
      <c r="J75" s="10">
        <v>30.45</v>
      </c>
      <c r="K75" s="10">
        <v>30.08</v>
      </c>
      <c r="L75" s="9">
        <f>'[18]key-in(DCO)'!AR73</f>
        <v>0</v>
      </c>
      <c r="M75" s="10">
        <f>[18]생산!AV72</f>
        <v>84595.5</v>
      </c>
      <c r="N75" s="10">
        <f>[18]생산!AW72</f>
        <v>0</v>
      </c>
      <c r="O75" s="10">
        <f>[18]생산!AX72</f>
        <v>0</v>
      </c>
      <c r="P75" s="10">
        <f>[18]생산!AY72</f>
        <v>0</v>
      </c>
      <c r="Q75" s="10">
        <f>[19]생산!BE72</f>
        <v>0</v>
      </c>
      <c r="R75" s="10">
        <f>[18]생산!BA72</f>
        <v>0</v>
      </c>
      <c r="S75" s="9">
        <f>[18]운전시간외!C72</f>
        <v>13</v>
      </c>
      <c r="T75" s="9">
        <f>[18]운전시간외!D72</f>
        <v>0</v>
      </c>
      <c r="U75" s="9">
        <f>[18]운전시간외!E72</f>
        <v>0</v>
      </c>
      <c r="V75" s="9">
        <f>[18]운전시간외!F72</f>
        <v>0</v>
      </c>
      <c r="W75" s="11">
        <f>[18]생산!E72</f>
        <v>532</v>
      </c>
      <c r="X75" s="11">
        <f>[18]생산!F72</f>
        <v>0</v>
      </c>
      <c r="Y75" s="11">
        <f>[18]생산!G72</f>
        <v>0</v>
      </c>
      <c r="Z75" s="11">
        <f>[18]생산!H72</f>
        <v>0</v>
      </c>
      <c r="AA75" s="11">
        <f>[18]생산!I72</f>
        <v>0</v>
      </c>
      <c r="AB75" s="11">
        <f>[18]생산!J72</f>
        <v>532</v>
      </c>
      <c r="AC75" s="48">
        <f>ROUNDDOWN('[20]2025년'!G71/1000,1)</f>
        <v>29.2</v>
      </c>
    </row>
    <row r="76" spans="1:29">
      <c r="A76" s="6">
        <f t="shared" si="1"/>
        <v>45728</v>
      </c>
      <c r="B76" s="9">
        <v>5231</v>
      </c>
      <c r="C76" s="9">
        <v>231835</v>
      </c>
      <c r="D76" s="9">
        <v>226333</v>
      </c>
      <c r="E76" s="9">
        <v>14077</v>
      </c>
      <c r="F76" s="9">
        <v>11528</v>
      </c>
      <c r="G76" s="9">
        <v>3802.6</v>
      </c>
      <c r="H76" s="9">
        <v>9840</v>
      </c>
      <c r="I76" s="9">
        <v>257663</v>
      </c>
      <c r="J76" s="10">
        <v>30.35</v>
      </c>
      <c r="K76" s="10">
        <v>29.88</v>
      </c>
      <c r="L76" s="9">
        <f>'[18]key-in(DCO)'!AR74</f>
        <v>0</v>
      </c>
      <c r="M76" s="10">
        <f>[18]생산!AV73</f>
        <v>92979.40000000596</v>
      </c>
      <c r="N76" s="10">
        <f>[18]생산!AW73</f>
        <v>0</v>
      </c>
      <c r="O76" s="10">
        <f>[18]생산!AX73</f>
        <v>0</v>
      </c>
      <c r="P76" s="10">
        <f>[18]생산!AY73</f>
        <v>0</v>
      </c>
      <c r="Q76" s="10">
        <f>[19]생산!BE73</f>
        <v>0</v>
      </c>
      <c r="R76" s="10">
        <f>[18]생산!BA73</f>
        <v>0</v>
      </c>
      <c r="S76" s="9">
        <f>[18]운전시간외!C73</f>
        <v>14</v>
      </c>
      <c r="T76" s="9">
        <f>[18]운전시간외!D73</f>
        <v>0</v>
      </c>
      <c r="U76" s="9">
        <f>[18]운전시간외!E73</f>
        <v>0</v>
      </c>
      <c r="V76" s="9">
        <f>[18]운전시간외!F73</f>
        <v>0</v>
      </c>
      <c r="W76" s="11">
        <f>[18]생산!E73</f>
        <v>587</v>
      </c>
      <c r="X76" s="11">
        <f>[18]생산!F73</f>
        <v>0</v>
      </c>
      <c r="Y76" s="11">
        <f>[18]생산!G73</f>
        <v>0</v>
      </c>
      <c r="Z76" s="11">
        <f>[18]생산!H73</f>
        <v>0</v>
      </c>
      <c r="AA76" s="11">
        <f>[18]생산!I73</f>
        <v>0</v>
      </c>
      <c r="AB76" s="11">
        <f>[18]생산!J73</f>
        <v>587</v>
      </c>
      <c r="AC76" s="48">
        <f>ROUNDDOWN('[20]2025년'!G72/1000,1)</f>
        <v>35.5</v>
      </c>
    </row>
    <row r="77" spans="1:29">
      <c r="A77" s="6">
        <f t="shared" si="1"/>
        <v>45729</v>
      </c>
      <c r="B77" s="9">
        <v>5258</v>
      </c>
      <c r="C77" s="9">
        <v>231918</v>
      </c>
      <c r="D77" s="9">
        <v>226439</v>
      </c>
      <c r="E77" s="9">
        <v>14082</v>
      </c>
      <c r="F77" s="9">
        <v>11541</v>
      </c>
      <c r="G77" s="9">
        <v>3803.8</v>
      </c>
      <c r="H77" s="9">
        <v>9959</v>
      </c>
      <c r="I77" s="9">
        <v>257874</v>
      </c>
      <c r="J77" s="10">
        <v>30.55</v>
      </c>
      <c r="K77" s="10">
        <v>30</v>
      </c>
      <c r="L77" s="9">
        <f>'[18]key-in(DCO)'!AR75</f>
        <v>0</v>
      </c>
      <c r="M77" s="10">
        <f>[18]생산!AV74</f>
        <v>0</v>
      </c>
      <c r="N77" s="10">
        <f>[18]생산!AW74</f>
        <v>0</v>
      </c>
      <c r="O77" s="10">
        <f>[18]생산!AX74</f>
        <v>0</v>
      </c>
      <c r="P77" s="10">
        <f>[18]생산!AY74</f>
        <v>0</v>
      </c>
      <c r="Q77" s="10">
        <f>[19]생산!BE74</f>
        <v>0</v>
      </c>
      <c r="R77" s="10">
        <f>[18]생산!BA74</f>
        <v>0</v>
      </c>
      <c r="S77" s="9">
        <f>[18]운전시간외!C74</f>
        <v>0</v>
      </c>
      <c r="T77" s="9">
        <f>[18]운전시간외!D74</f>
        <v>0</v>
      </c>
      <c r="U77" s="9">
        <f>[18]운전시간외!E74</f>
        <v>0</v>
      </c>
      <c r="V77" s="9">
        <f>[18]운전시간외!F74</f>
        <v>0</v>
      </c>
      <c r="W77" s="11">
        <f>[18]생산!E74</f>
        <v>0</v>
      </c>
      <c r="X77" s="11">
        <f>[18]생산!F74</f>
        <v>0</v>
      </c>
      <c r="Y77" s="11">
        <f>[18]생산!G74</f>
        <v>0</v>
      </c>
      <c r="Z77" s="11">
        <f>[18]생산!H74</f>
        <v>0</v>
      </c>
      <c r="AA77" s="11">
        <f>[18]생산!I74</f>
        <v>0</v>
      </c>
      <c r="AB77" s="11">
        <f>[18]생산!J74</f>
        <v>0</v>
      </c>
      <c r="AC77" s="48">
        <f>ROUNDDOWN('[20]2025년'!G73/1000,1)</f>
        <v>0</v>
      </c>
    </row>
    <row r="78" spans="1:29">
      <c r="A78" s="6">
        <f t="shared" si="1"/>
        <v>45730</v>
      </c>
      <c r="B78" s="9">
        <v>5277</v>
      </c>
      <c r="C78" s="9">
        <v>232003</v>
      </c>
      <c r="D78" s="9">
        <v>226480</v>
      </c>
      <c r="E78" s="9">
        <v>14088</v>
      </c>
      <c r="F78" s="9">
        <v>11557</v>
      </c>
      <c r="G78" s="9">
        <v>3805.1</v>
      </c>
      <c r="H78" s="9">
        <v>10075</v>
      </c>
      <c r="I78" s="9">
        <v>258054</v>
      </c>
      <c r="J78" s="10">
        <v>30.61</v>
      </c>
      <c r="K78" s="10">
        <v>29.92</v>
      </c>
      <c r="L78" s="9">
        <f>'[18]key-in(DCO)'!AR76</f>
        <v>0</v>
      </c>
      <c r="M78" s="10">
        <f>[18]생산!AV75</f>
        <v>0</v>
      </c>
      <c r="N78" s="10">
        <f>[18]생산!AW75</f>
        <v>0</v>
      </c>
      <c r="O78" s="10">
        <f>[18]생산!AX75</f>
        <v>0</v>
      </c>
      <c r="P78" s="10">
        <f>[18]생산!AY75</f>
        <v>0</v>
      </c>
      <c r="Q78" s="10">
        <f>[19]생산!BE75</f>
        <v>0</v>
      </c>
      <c r="R78" s="10">
        <f>[18]생산!BA75</f>
        <v>0</v>
      </c>
      <c r="S78" s="9">
        <f>[18]운전시간외!C75</f>
        <v>0</v>
      </c>
      <c r="T78" s="9">
        <f>[18]운전시간외!D75</f>
        <v>0</v>
      </c>
      <c r="U78" s="9">
        <f>[18]운전시간외!E75</f>
        <v>0</v>
      </c>
      <c r="V78" s="9">
        <f>[18]운전시간외!F75</f>
        <v>0</v>
      </c>
      <c r="W78" s="11">
        <f>[18]생산!E75</f>
        <v>0</v>
      </c>
      <c r="X78" s="11">
        <f>[18]생산!F75</f>
        <v>0</v>
      </c>
      <c r="Y78" s="11">
        <f>[18]생산!G75</f>
        <v>0</v>
      </c>
      <c r="Z78" s="11">
        <f>[18]생산!H75</f>
        <v>0</v>
      </c>
      <c r="AA78" s="11">
        <f>[18]생산!I75</f>
        <v>0</v>
      </c>
      <c r="AB78" s="11">
        <f>[18]생산!J75</f>
        <v>0</v>
      </c>
      <c r="AC78" s="48">
        <f>ROUNDDOWN('[20]2025년'!G74/1000,1)</f>
        <v>0</v>
      </c>
    </row>
    <row r="79" spans="1:29">
      <c r="A79" s="6">
        <f t="shared" si="1"/>
        <v>45731</v>
      </c>
      <c r="B79" s="9">
        <v>5306</v>
      </c>
      <c r="C79" s="9">
        <v>232032</v>
      </c>
      <c r="D79" s="9">
        <v>226600</v>
      </c>
      <c r="E79" s="9">
        <v>14092</v>
      </c>
      <c r="F79" s="9">
        <v>11575</v>
      </c>
      <c r="G79" s="9">
        <v>3805.8</v>
      </c>
      <c r="H79" s="9">
        <v>10076</v>
      </c>
      <c r="I79" s="9">
        <v>258116</v>
      </c>
      <c r="J79" s="10">
        <v>30.51</v>
      </c>
      <c r="K79" s="10">
        <v>29.91</v>
      </c>
      <c r="L79" s="9">
        <f>'[18]key-in(DCO)'!AR77</f>
        <v>0</v>
      </c>
      <c r="M79" s="10">
        <f>[18]생산!AV76</f>
        <v>0</v>
      </c>
      <c r="N79" s="10">
        <f>[18]생산!AW76</f>
        <v>0</v>
      </c>
      <c r="O79" s="10">
        <f>[18]생산!AX76</f>
        <v>0</v>
      </c>
      <c r="P79" s="10">
        <f>[18]생산!AY76</f>
        <v>0</v>
      </c>
      <c r="Q79" s="10">
        <f>[19]생산!BE76</f>
        <v>0</v>
      </c>
      <c r="R79" s="10">
        <f>[18]생산!BA76</f>
        <v>0</v>
      </c>
      <c r="S79" s="9">
        <f>[18]운전시간외!C76</f>
        <v>0</v>
      </c>
      <c r="T79" s="9">
        <f>[18]운전시간외!D76</f>
        <v>0</v>
      </c>
      <c r="U79" s="9">
        <f>[18]운전시간외!E76</f>
        <v>0</v>
      </c>
      <c r="V79" s="9">
        <f>[18]운전시간외!F76</f>
        <v>0</v>
      </c>
      <c r="W79" s="11">
        <f>[18]생산!E76</f>
        <v>0</v>
      </c>
      <c r="X79" s="11">
        <f>[18]생산!F76</f>
        <v>0</v>
      </c>
      <c r="Y79" s="11">
        <f>[18]생산!G76</f>
        <v>0</v>
      </c>
      <c r="Z79" s="11">
        <f>[18]생산!H76</f>
        <v>0</v>
      </c>
      <c r="AA79" s="11">
        <f>[18]생산!I76</f>
        <v>0</v>
      </c>
      <c r="AB79" s="11">
        <f>[18]생산!J76</f>
        <v>0</v>
      </c>
      <c r="AC79" s="48">
        <f>ROUNDDOWN('[20]2025년'!G75/1000,1)</f>
        <v>0</v>
      </c>
    </row>
    <row r="80" spans="1:29">
      <c r="A80" s="6">
        <f t="shared" si="1"/>
        <v>45732</v>
      </c>
      <c r="B80" s="9">
        <v>5339</v>
      </c>
      <c r="C80" s="9">
        <v>232127</v>
      </c>
      <c r="D80" s="9">
        <v>226600</v>
      </c>
      <c r="E80" s="9">
        <v>14105</v>
      </c>
      <c r="F80" s="9">
        <v>11583</v>
      </c>
      <c r="G80" s="9">
        <v>3806.3</v>
      </c>
      <c r="H80" s="9">
        <v>10076</v>
      </c>
      <c r="I80" s="9">
        <v>258441</v>
      </c>
      <c r="J80" s="10">
        <v>30.38</v>
      </c>
      <c r="K80" s="10">
        <v>29.91</v>
      </c>
      <c r="L80" s="9">
        <f>'[18]key-in(DCO)'!AR78</f>
        <v>0</v>
      </c>
      <c r="M80" s="10">
        <f>[18]생산!AV77</f>
        <v>0</v>
      </c>
      <c r="N80" s="10">
        <f>[18]생산!AW77</f>
        <v>0</v>
      </c>
      <c r="O80" s="10">
        <f>[18]생산!AX77</f>
        <v>0</v>
      </c>
      <c r="P80" s="10">
        <f>[18]생산!AY77</f>
        <v>0</v>
      </c>
      <c r="Q80" s="10">
        <f>[19]생산!BE77</f>
        <v>0</v>
      </c>
      <c r="R80" s="10">
        <f>[18]생산!BA77</f>
        <v>0</v>
      </c>
      <c r="S80" s="9">
        <f>[18]운전시간외!C77</f>
        <v>0</v>
      </c>
      <c r="T80" s="9">
        <f>[18]운전시간외!D77</f>
        <v>0</v>
      </c>
      <c r="U80" s="9">
        <f>[18]운전시간외!E77</f>
        <v>0</v>
      </c>
      <c r="V80" s="9">
        <f>[18]운전시간외!F77</f>
        <v>0</v>
      </c>
      <c r="W80" s="11">
        <f>[18]생산!E77</f>
        <v>0</v>
      </c>
      <c r="X80" s="11">
        <f>[18]생산!F77</f>
        <v>0</v>
      </c>
      <c r="Y80" s="11">
        <f>[18]생산!G77</f>
        <v>0</v>
      </c>
      <c r="Z80" s="11">
        <f>[18]생산!H77</f>
        <v>0</v>
      </c>
      <c r="AA80" s="11">
        <f>[18]생산!I77</f>
        <v>0</v>
      </c>
      <c r="AB80" s="11">
        <f>[18]생산!J77</f>
        <v>0</v>
      </c>
      <c r="AC80" s="48">
        <f>ROUNDDOWN('[20]2025년'!G76/1000,1)</f>
        <v>0</v>
      </c>
    </row>
    <row r="81" spans="1:29">
      <c r="A81" s="6">
        <f t="shared" si="1"/>
        <v>45733</v>
      </c>
      <c r="B81" s="9">
        <v>5339</v>
      </c>
      <c r="C81" s="9">
        <v>232127</v>
      </c>
      <c r="D81" s="9">
        <v>226684</v>
      </c>
      <c r="E81" s="9">
        <v>14111</v>
      </c>
      <c r="F81" s="9">
        <v>11607</v>
      </c>
      <c r="G81" s="9">
        <v>3807.3</v>
      </c>
      <c r="H81" s="9">
        <v>10200</v>
      </c>
      <c r="I81" s="9">
        <v>258647</v>
      </c>
      <c r="J81" s="10">
        <v>30.17</v>
      </c>
      <c r="K81" s="10">
        <v>29.75</v>
      </c>
      <c r="L81" s="9">
        <f>'[18]key-in(DCO)'!AR79</f>
        <v>0</v>
      </c>
      <c r="M81" s="10">
        <f>[18]생산!AV78</f>
        <v>90464.3</v>
      </c>
      <c r="N81" s="10">
        <f>[18]생산!AW78</f>
        <v>0</v>
      </c>
      <c r="O81" s="10">
        <f>[18]생산!AX78</f>
        <v>0</v>
      </c>
      <c r="P81" s="10">
        <f>[18]생산!AY78</f>
        <v>0</v>
      </c>
      <c r="Q81" s="10">
        <f>[19]생산!BE78</f>
        <v>0</v>
      </c>
      <c r="R81" s="10">
        <f>[18]생산!BA78</f>
        <v>0</v>
      </c>
      <c r="S81" s="9">
        <f>[18]운전시간외!C78</f>
        <v>18</v>
      </c>
      <c r="T81" s="9">
        <f>[18]운전시간외!D78</f>
        <v>0</v>
      </c>
      <c r="U81" s="9">
        <f>[18]운전시간외!E78</f>
        <v>0</v>
      </c>
      <c r="V81" s="9">
        <f>[18]운전시간외!F78</f>
        <v>0</v>
      </c>
      <c r="W81" s="11">
        <f>[18]생산!E78</f>
        <v>563</v>
      </c>
      <c r="X81" s="11">
        <f>[18]생산!F78</f>
        <v>0</v>
      </c>
      <c r="Y81" s="11">
        <f>[18]생산!G78</f>
        <v>0</v>
      </c>
      <c r="Z81" s="11">
        <f>[18]생산!H78</f>
        <v>0</v>
      </c>
      <c r="AA81" s="11">
        <f>[18]생산!I78</f>
        <v>0</v>
      </c>
      <c r="AB81" s="11">
        <f>[18]생산!J78</f>
        <v>563</v>
      </c>
      <c r="AC81" s="48">
        <f>ROUNDDOWN('[20]2025년'!G77/1000,1)</f>
        <v>32.1</v>
      </c>
    </row>
    <row r="82" spans="1:29">
      <c r="A82" s="6">
        <f t="shared" si="1"/>
        <v>45734</v>
      </c>
      <c r="B82" s="9">
        <v>5367</v>
      </c>
      <c r="C82" s="9">
        <v>232259</v>
      </c>
      <c r="D82" s="9">
        <v>226745</v>
      </c>
      <c r="E82" s="9">
        <v>14115</v>
      </c>
      <c r="F82" s="9">
        <v>11631</v>
      </c>
      <c r="G82" s="9">
        <v>3808.6</v>
      </c>
      <c r="H82" s="9">
        <v>10325</v>
      </c>
      <c r="I82" s="9">
        <v>258925</v>
      </c>
      <c r="J82" s="10">
        <v>30.13</v>
      </c>
      <c r="K82" s="10">
        <v>29.74</v>
      </c>
      <c r="L82" s="9">
        <f>'[18]key-in(DCO)'!AR80</f>
        <v>0</v>
      </c>
      <c r="M82" s="10">
        <f>[18]생산!AV79</f>
        <v>128108</v>
      </c>
      <c r="N82" s="10">
        <f>[18]생산!AW79</f>
        <v>0</v>
      </c>
      <c r="O82" s="10">
        <f>[18]생산!AX79</f>
        <v>0</v>
      </c>
      <c r="P82" s="10">
        <f>[18]생산!AY79</f>
        <v>0</v>
      </c>
      <c r="Q82" s="10">
        <f>[19]생산!BE79</f>
        <v>0</v>
      </c>
      <c r="R82" s="10">
        <f>[18]생산!BA79</f>
        <v>0</v>
      </c>
      <c r="S82" s="9">
        <f>[18]운전시간외!C79</f>
        <v>17</v>
      </c>
      <c r="T82" s="9">
        <f>[18]운전시간외!D79</f>
        <v>0</v>
      </c>
      <c r="U82" s="9">
        <f>[18]운전시간외!E79</f>
        <v>0</v>
      </c>
      <c r="V82" s="9">
        <f>[18]운전시간외!F79</f>
        <v>0</v>
      </c>
      <c r="W82" s="11">
        <f>[18]생산!E79</f>
        <v>822</v>
      </c>
      <c r="X82" s="11">
        <f>[18]생산!F79</f>
        <v>0</v>
      </c>
      <c r="Y82" s="11">
        <f>[18]생산!G79</f>
        <v>0</v>
      </c>
      <c r="Z82" s="11">
        <f>[18]생산!H79</f>
        <v>0</v>
      </c>
      <c r="AA82" s="11">
        <f>[18]생산!I79</f>
        <v>0</v>
      </c>
      <c r="AB82" s="11">
        <f>[18]생산!J79</f>
        <v>822</v>
      </c>
      <c r="AC82" s="48">
        <f>ROUNDDOWN('[20]2025년'!G78/1000,1)</f>
        <v>46.6</v>
      </c>
    </row>
    <row r="83" spans="1:29">
      <c r="A83" s="6">
        <f t="shared" si="1"/>
        <v>45735</v>
      </c>
      <c r="B83" s="9">
        <v>5401</v>
      </c>
      <c r="C83" s="9">
        <v>232287</v>
      </c>
      <c r="D83" s="9">
        <v>226870</v>
      </c>
      <c r="E83" s="9">
        <v>14120</v>
      </c>
      <c r="F83" s="9">
        <v>11660</v>
      </c>
      <c r="G83" s="9">
        <v>3809.6</v>
      </c>
      <c r="H83" s="9">
        <v>10442</v>
      </c>
      <c r="I83" s="9">
        <v>259280</v>
      </c>
      <c r="J83" s="10">
        <v>30.28</v>
      </c>
      <c r="K83" s="10">
        <v>29.75</v>
      </c>
      <c r="L83" s="9">
        <f>'[18]key-in(DCO)'!AR81</f>
        <v>0</v>
      </c>
      <c r="M83" s="10">
        <f>[18]생산!AV80</f>
        <v>126694.9</v>
      </c>
      <c r="N83" s="10">
        <f>[18]생산!AW80</f>
        <v>0</v>
      </c>
      <c r="O83" s="10">
        <f>[18]생산!AX80</f>
        <v>0</v>
      </c>
      <c r="P83" s="10">
        <f>[18]생산!AY80</f>
        <v>0</v>
      </c>
      <c r="Q83" s="10">
        <f>[19]생산!BE80</f>
        <v>0</v>
      </c>
      <c r="R83" s="10">
        <f>[18]생산!BA80</f>
        <v>0</v>
      </c>
      <c r="S83" s="9">
        <f>[18]운전시간외!C80</f>
        <v>17</v>
      </c>
      <c r="T83" s="9">
        <f>[18]운전시간외!D80</f>
        <v>0</v>
      </c>
      <c r="U83" s="9">
        <f>[18]운전시간외!E80</f>
        <v>0</v>
      </c>
      <c r="V83" s="9">
        <f>[18]운전시간외!F80</f>
        <v>0</v>
      </c>
      <c r="W83" s="11">
        <f>[18]생산!E80</f>
        <v>805</v>
      </c>
      <c r="X83" s="11">
        <f>[18]생산!F80</f>
        <v>0</v>
      </c>
      <c r="Y83" s="11">
        <f>[18]생산!G80</f>
        <v>0</v>
      </c>
      <c r="Z83" s="11">
        <f>[18]생산!H80</f>
        <v>0</v>
      </c>
      <c r="AA83" s="11">
        <f>[18]생산!I80</f>
        <v>0</v>
      </c>
      <c r="AB83" s="11">
        <f>[18]생산!J80</f>
        <v>805</v>
      </c>
      <c r="AC83" s="48">
        <f>ROUNDDOWN('[20]2025년'!G79/1000,1)</f>
        <v>48.8</v>
      </c>
    </row>
    <row r="84" spans="1:29">
      <c r="A84" s="6">
        <f t="shared" si="1"/>
        <v>45736</v>
      </c>
      <c r="B84" s="9">
        <v>5433</v>
      </c>
      <c r="C84" s="9">
        <v>232388</v>
      </c>
      <c r="D84" s="9">
        <v>226965</v>
      </c>
      <c r="E84" s="9">
        <v>14125</v>
      </c>
      <c r="F84" s="9">
        <v>11686</v>
      </c>
      <c r="G84" s="9">
        <v>3810.5</v>
      </c>
      <c r="H84" s="9">
        <v>10565</v>
      </c>
      <c r="I84" s="9">
        <v>259568</v>
      </c>
      <c r="J84" s="10">
        <v>30.51</v>
      </c>
      <c r="K84" s="10">
        <v>29.88</v>
      </c>
      <c r="L84" s="9">
        <f>'[18]key-in(DCO)'!AR82</f>
        <v>0</v>
      </c>
      <c r="M84" s="10">
        <f>[18]생산!AV81</f>
        <v>127317.5</v>
      </c>
      <c r="N84" s="10">
        <f>[18]생산!AW81</f>
        <v>0</v>
      </c>
      <c r="O84" s="10">
        <f>[18]생산!AX81</f>
        <v>0</v>
      </c>
      <c r="P84" s="10">
        <f>[18]생산!AY81</f>
        <v>0</v>
      </c>
      <c r="Q84" s="10">
        <f>[19]생산!BE81</f>
        <v>0</v>
      </c>
      <c r="R84" s="10">
        <f>[18]생산!BA81</f>
        <v>0</v>
      </c>
      <c r="S84" s="9">
        <f>[18]운전시간외!C81</f>
        <v>17</v>
      </c>
      <c r="T84" s="9">
        <f>[18]운전시간외!D81</f>
        <v>0</v>
      </c>
      <c r="U84" s="9">
        <f>[18]운전시간외!E81</f>
        <v>0</v>
      </c>
      <c r="V84" s="9">
        <f>[18]운전시간외!F81</f>
        <v>0</v>
      </c>
      <c r="W84" s="11">
        <f>[18]생산!E81</f>
        <v>811</v>
      </c>
      <c r="X84" s="11">
        <f>[18]생산!F81</f>
        <v>0</v>
      </c>
      <c r="Y84" s="11">
        <f>[18]생산!G81</f>
        <v>0</v>
      </c>
      <c r="Z84" s="11">
        <f>[18]생산!H81</f>
        <v>0</v>
      </c>
      <c r="AA84" s="11">
        <f>[18]생산!I81</f>
        <v>0</v>
      </c>
      <c r="AB84" s="11">
        <f>[18]생산!J81</f>
        <v>811</v>
      </c>
      <c r="AC84" s="48">
        <f>ROUNDDOWN('[20]2025년'!G80/1000,1)</f>
        <v>46.7</v>
      </c>
    </row>
    <row r="85" spans="1:29">
      <c r="A85" s="6">
        <f t="shared" si="1"/>
        <v>45737</v>
      </c>
      <c r="B85" s="9">
        <v>5459</v>
      </c>
      <c r="C85" s="9">
        <v>232453</v>
      </c>
      <c r="D85" s="9">
        <v>227055</v>
      </c>
      <c r="E85" s="9">
        <v>14129</v>
      </c>
      <c r="F85" s="9">
        <v>11704</v>
      </c>
      <c r="G85" s="9">
        <v>3811.3</v>
      </c>
      <c r="H85" s="9">
        <v>10667</v>
      </c>
      <c r="I85" s="9">
        <v>259885</v>
      </c>
      <c r="J85" s="10">
        <v>30.49</v>
      </c>
      <c r="K85" s="10">
        <v>29.87</v>
      </c>
      <c r="L85" s="9">
        <f>'[18]key-in(DCO)'!AR83</f>
        <v>0</v>
      </c>
      <c r="M85" s="10">
        <f>[18]생산!AV82</f>
        <v>44985.70000000298</v>
      </c>
      <c r="N85" s="10">
        <f>[18]생산!AW82</f>
        <v>0</v>
      </c>
      <c r="O85" s="10">
        <f>[18]생산!AX82</f>
        <v>0</v>
      </c>
      <c r="P85" s="10">
        <f>[18]생산!AY82</f>
        <v>0</v>
      </c>
      <c r="Q85" s="10">
        <f>[19]생산!BE82</f>
        <v>0</v>
      </c>
      <c r="R85" s="10">
        <f>[18]생산!BA82</f>
        <v>0</v>
      </c>
      <c r="S85" s="9">
        <f>[18]운전시간외!C82</f>
        <v>9</v>
      </c>
      <c r="T85" s="9">
        <f>[18]운전시간외!D82</f>
        <v>0</v>
      </c>
      <c r="U85" s="9">
        <f>[18]운전시간외!E82</f>
        <v>0</v>
      </c>
      <c r="V85" s="9">
        <f>[18]운전시간외!F82</f>
        <v>0</v>
      </c>
      <c r="W85" s="11">
        <f>[18]생산!E82</f>
        <v>286</v>
      </c>
      <c r="X85" s="11">
        <f>[18]생산!F82</f>
        <v>0</v>
      </c>
      <c r="Y85" s="11">
        <f>[18]생산!G82</f>
        <v>0</v>
      </c>
      <c r="Z85" s="11">
        <f>[18]생산!H82</f>
        <v>0</v>
      </c>
      <c r="AA85" s="11">
        <f>[18]생산!I82</f>
        <v>0</v>
      </c>
      <c r="AB85" s="11">
        <f>[18]생산!J82</f>
        <v>286</v>
      </c>
      <c r="AC85" s="48">
        <f>ROUNDDOWN('[20]2025년'!G81/1000,1)</f>
        <v>16.899999999999999</v>
      </c>
    </row>
    <row r="86" spans="1:29">
      <c r="A86" s="6">
        <f t="shared" si="1"/>
        <v>45738</v>
      </c>
      <c r="B86" s="9">
        <v>5493</v>
      </c>
      <c r="C86" s="9">
        <v>232542</v>
      </c>
      <c r="D86" s="9">
        <v>227134</v>
      </c>
      <c r="E86" s="9">
        <v>14132</v>
      </c>
      <c r="F86" s="9">
        <v>11717</v>
      </c>
      <c r="G86" s="9">
        <v>3812</v>
      </c>
      <c r="H86" s="9">
        <v>10697</v>
      </c>
      <c r="I86" s="9">
        <v>260096</v>
      </c>
      <c r="J86" s="10">
        <v>30.38</v>
      </c>
      <c r="K86" s="10">
        <v>29.94</v>
      </c>
      <c r="L86" s="9">
        <f>'[18]key-in(DCO)'!AR84</f>
        <v>0</v>
      </c>
      <c r="M86" s="10">
        <f>[18]생산!AV83</f>
        <v>0</v>
      </c>
      <c r="N86" s="10">
        <f>[18]생산!AW83</f>
        <v>0</v>
      </c>
      <c r="O86" s="10">
        <f>[18]생산!AX83</f>
        <v>0</v>
      </c>
      <c r="P86" s="10">
        <f>[18]생산!AY83</f>
        <v>0</v>
      </c>
      <c r="Q86" s="10">
        <f>[19]생산!BE83</f>
        <v>0</v>
      </c>
      <c r="R86" s="10">
        <f>[18]생산!BA83</f>
        <v>0</v>
      </c>
      <c r="S86" s="9">
        <f>[18]운전시간외!C83</f>
        <v>0</v>
      </c>
      <c r="T86" s="9">
        <f>[18]운전시간외!D83</f>
        <v>0</v>
      </c>
      <c r="U86" s="9">
        <f>[18]운전시간외!E83</f>
        <v>0</v>
      </c>
      <c r="V86" s="9">
        <f>[18]운전시간외!F83</f>
        <v>0</v>
      </c>
      <c r="W86" s="11">
        <f>[18]생산!E83</f>
        <v>0</v>
      </c>
      <c r="X86" s="11">
        <f>[18]생산!F83</f>
        <v>0</v>
      </c>
      <c r="Y86" s="11">
        <f>[18]생산!G83</f>
        <v>0</v>
      </c>
      <c r="Z86" s="11">
        <f>[18]생산!H83</f>
        <v>0</v>
      </c>
      <c r="AA86" s="11">
        <f>[18]생산!I83</f>
        <v>0</v>
      </c>
      <c r="AB86" s="11">
        <f>[18]생산!J83</f>
        <v>0</v>
      </c>
      <c r="AC86" s="48">
        <f>ROUNDDOWN('[20]2025년'!G82/1000,1)</f>
        <v>0</v>
      </c>
    </row>
    <row r="87" spans="1:29">
      <c r="A87" s="6">
        <f t="shared" si="1"/>
        <v>45739</v>
      </c>
      <c r="B87" s="9">
        <v>5522</v>
      </c>
      <c r="C87" s="9">
        <v>232542</v>
      </c>
      <c r="D87" s="9">
        <v>227201</v>
      </c>
      <c r="E87" s="9">
        <v>14135</v>
      </c>
      <c r="F87" s="9">
        <v>11728</v>
      </c>
      <c r="G87" s="9">
        <v>3812.5</v>
      </c>
      <c r="H87" s="9">
        <v>10697</v>
      </c>
      <c r="I87" s="9">
        <v>260199</v>
      </c>
      <c r="J87" s="10">
        <v>30.4</v>
      </c>
      <c r="K87" s="10">
        <v>29.98</v>
      </c>
      <c r="L87" s="9">
        <f>'[18]key-in(DCO)'!AR85</f>
        <v>0</v>
      </c>
      <c r="M87" s="10">
        <f>[18]생산!AV84</f>
        <v>0</v>
      </c>
      <c r="N87" s="10">
        <f>[18]생산!AW84</f>
        <v>0</v>
      </c>
      <c r="O87" s="10">
        <f>[18]생산!AX84</f>
        <v>0</v>
      </c>
      <c r="P87" s="10">
        <f>[18]생산!AY84</f>
        <v>0</v>
      </c>
      <c r="Q87" s="10">
        <f>[19]생산!BE84</f>
        <v>0</v>
      </c>
      <c r="R87" s="10">
        <f>[18]생산!BA84</f>
        <v>0</v>
      </c>
      <c r="S87" s="9">
        <f>[18]운전시간외!C84</f>
        <v>0</v>
      </c>
      <c r="T87" s="9">
        <f>[18]운전시간외!D84</f>
        <v>0</v>
      </c>
      <c r="U87" s="9">
        <f>[18]운전시간외!E84</f>
        <v>0</v>
      </c>
      <c r="V87" s="9">
        <f>[18]운전시간외!F84</f>
        <v>0</v>
      </c>
      <c r="W87" s="11">
        <f>[18]생산!E84</f>
        <v>0</v>
      </c>
      <c r="X87" s="11">
        <f>[18]생산!F84</f>
        <v>0</v>
      </c>
      <c r="Y87" s="11">
        <f>[18]생산!G84</f>
        <v>0</v>
      </c>
      <c r="Z87" s="11">
        <f>[18]생산!H84</f>
        <v>0</v>
      </c>
      <c r="AA87" s="11">
        <f>[18]생산!I84</f>
        <v>0</v>
      </c>
      <c r="AB87" s="11">
        <f>[18]생산!J84</f>
        <v>0</v>
      </c>
      <c r="AC87" s="48">
        <f>ROUNDDOWN('[20]2025년'!G83/1000,1)</f>
        <v>0</v>
      </c>
    </row>
    <row r="88" spans="1:29">
      <c r="A88" s="6">
        <f t="shared" si="1"/>
        <v>45740</v>
      </c>
      <c r="B88" s="9">
        <v>5522</v>
      </c>
      <c r="C88" s="9">
        <v>232582</v>
      </c>
      <c r="D88" s="9">
        <v>227201</v>
      </c>
      <c r="E88" s="9">
        <v>14140</v>
      </c>
      <c r="F88" s="9">
        <v>11740</v>
      </c>
      <c r="G88" s="9">
        <v>3813.2</v>
      </c>
      <c r="H88" s="9">
        <v>10755</v>
      </c>
      <c r="I88" s="9">
        <v>260269</v>
      </c>
      <c r="J88" s="10">
        <v>30.38</v>
      </c>
      <c r="K88" s="10">
        <v>29.76</v>
      </c>
      <c r="L88" s="9">
        <f>'[18]key-in(DCO)'!AR86</f>
        <v>0</v>
      </c>
      <c r="M88" s="10">
        <f>[18]생산!AV85</f>
        <v>0</v>
      </c>
      <c r="N88" s="10">
        <f>[18]생산!AW85</f>
        <v>0</v>
      </c>
      <c r="O88" s="10">
        <f>[18]생산!AX85</f>
        <v>0</v>
      </c>
      <c r="P88" s="10">
        <f>[18]생산!AY85</f>
        <v>0</v>
      </c>
      <c r="Q88" s="10">
        <f>[19]생산!BE85</f>
        <v>0</v>
      </c>
      <c r="R88" s="10">
        <f>[18]생산!BA85</f>
        <v>0</v>
      </c>
      <c r="S88" s="9">
        <f>[18]운전시간외!C85</f>
        <v>0</v>
      </c>
      <c r="T88" s="9">
        <f>[18]운전시간외!D85</f>
        <v>0</v>
      </c>
      <c r="U88" s="9">
        <f>[18]운전시간외!E85</f>
        <v>0</v>
      </c>
      <c r="V88" s="9">
        <f>[18]운전시간외!F85</f>
        <v>0</v>
      </c>
      <c r="W88" s="11">
        <f>[18]생산!E85</f>
        <v>0</v>
      </c>
      <c r="X88" s="11">
        <f>[18]생산!F85</f>
        <v>0</v>
      </c>
      <c r="Y88" s="11">
        <f>[18]생산!G85</f>
        <v>0</v>
      </c>
      <c r="Z88" s="11">
        <f>[18]생산!H85</f>
        <v>0</v>
      </c>
      <c r="AA88" s="11">
        <f>[18]생산!I85</f>
        <v>0</v>
      </c>
      <c r="AB88" s="11">
        <f>[18]생산!J85</f>
        <v>0</v>
      </c>
      <c r="AC88" s="48">
        <f>ROUNDDOWN('[20]2025년'!G84/1000,1)</f>
        <v>0</v>
      </c>
    </row>
    <row r="89" spans="1:29">
      <c r="A89" s="6">
        <f t="shared" si="1"/>
        <v>45741</v>
      </c>
      <c r="B89" s="9">
        <v>5531</v>
      </c>
      <c r="C89" s="9">
        <v>232661</v>
      </c>
      <c r="D89" s="9">
        <v>227255</v>
      </c>
      <c r="E89" s="9">
        <v>14145</v>
      </c>
      <c r="F89" s="9">
        <v>11749</v>
      </c>
      <c r="G89" s="9">
        <v>3813.9</v>
      </c>
      <c r="H89" s="9">
        <v>10812</v>
      </c>
      <c r="I89" s="9">
        <v>260460</v>
      </c>
      <c r="J89" s="10">
        <v>30.14</v>
      </c>
      <c r="K89" s="10">
        <v>29.69</v>
      </c>
      <c r="L89" s="9">
        <f>'[18]key-in(DCO)'!AR87</f>
        <v>0</v>
      </c>
      <c r="M89" s="10">
        <f>[18]생산!AV86</f>
        <v>0</v>
      </c>
      <c r="N89" s="10">
        <f>[18]생산!AW86</f>
        <v>0</v>
      </c>
      <c r="O89" s="10">
        <f>[18]생산!AX86</f>
        <v>0</v>
      </c>
      <c r="P89" s="10">
        <f>[18]생산!AY86</f>
        <v>0</v>
      </c>
      <c r="Q89" s="10">
        <f>[19]생산!BE86</f>
        <v>0</v>
      </c>
      <c r="R89" s="10">
        <f>[18]생산!BA86</f>
        <v>0</v>
      </c>
      <c r="S89" s="9">
        <f>[18]운전시간외!C86</f>
        <v>0</v>
      </c>
      <c r="T89" s="9">
        <f>[18]운전시간외!D86</f>
        <v>0</v>
      </c>
      <c r="U89" s="9">
        <f>[18]운전시간외!E86</f>
        <v>0</v>
      </c>
      <c r="V89" s="9">
        <f>[18]운전시간외!F86</f>
        <v>0</v>
      </c>
      <c r="W89" s="11">
        <f>[18]생산!E86</f>
        <v>0</v>
      </c>
      <c r="X89" s="11">
        <f>[18]생산!F86</f>
        <v>0</v>
      </c>
      <c r="Y89" s="11">
        <f>[18]생산!G86</f>
        <v>0</v>
      </c>
      <c r="Z89" s="11">
        <f>[18]생산!H86</f>
        <v>0</v>
      </c>
      <c r="AA89" s="11">
        <f>[18]생산!I86</f>
        <v>0</v>
      </c>
      <c r="AB89" s="11">
        <f>[18]생산!J86</f>
        <v>0</v>
      </c>
      <c r="AC89" s="48">
        <f>ROUNDDOWN('[20]2025년'!G85/1000,1)</f>
        <v>0</v>
      </c>
    </row>
    <row r="90" spans="1:29">
      <c r="A90" s="6">
        <f t="shared" si="1"/>
        <v>45742</v>
      </c>
      <c r="B90" s="9">
        <v>5567</v>
      </c>
      <c r="C90" s="9">
        <v>232772</v>
      </c>
      <c r="D90" s="9">
        <v>227339</v>
      </c>
      <c r="E90" s="9">
        <v>14149</v>
      </c>
      <c r="F90" s="9">
        <v>11758</v>
      </c>
      <c r="G90" s="9">
        <v>3814.6</v>
      </c>
      <c r="H90" s="9">
        <v>10859</v>
      </c>
      <c r="I90" s="9">
        <v>260784</v>
      </c>
      <c r="J90" s="10">
        <v>30.32</v>
      </c>
      <c r="K90" s="10">
        <v>29.78</v>
      </c>
      <c r="L90" s="9">
        <f>'[18]key-in(DCO)'!AR88</f>
        <v>0</v>
      </c>
      <c r="M90" s="10">
        <f>[18]생산!AV87</f>
        <v>0</v>
      </c>
      <c r="N90" s="10">
        <f>[18]생산!AW87</f>
        <v>0</v>
      </c>
      <c r="O90" s="10">
        <f>[18]생산!AX87</f>
        <v>0</v>
      </c>
      <c r="P90" s="10">
        <f>[18]생산!AY87</f>
        <v>0</v>
      </c>
      <c r="Q90" s="10">
        <f>[19]생산!BE87</f>
        <v>0</v>
      </c>
      <c r="R90" s="10">
        <f>[18]생산!BA87</f>
        <v>0</v>
      </c>
      <c r="S90" s="9">
        <f>[18]운전시간외!C87</f>
        <v>0</v>
      </c>
      <c r="T90" s="9">
        <f>[18]운전시간외!D87</f>
        <v>0</v>
      </c>
      <c r="U90" s="9">
        <f>[18]운전시간외!E87</f>
        <v>0</v>
      </c>
      <c r="V90" s="9">
        <f>[18]운전시간외!F87</f>
        <v>0</v>
      </c>
      <c r="W90" s="11">
        <f>[18]생산!E87</f>
        <v>0</v>
      </c>
      <c r="X90" s="11">
        <f>[18]생산!F87</f>
        <v>0</v>
      </c>
      <c r="Y90" s="11">
        <f>[18]생산!G87</f>
        <v>0</v>
      </c>
      <c r="Z90" s="11">
        <f>[18]생산!H87</f>
        <v>0</v>
      </c>
      <c r="AA90" s="11">
        <f>[18]생산!I87</f>
        <v>0</v>
      </c>
      <c r="AB90" s="11">
        <f>[18]생산!J87</f>
        <v>0</v>
      </c>
      <c r="AC90" s="48">
        <f>ROUNDDOWN('[20]2025년'!G86/1000,1)</f>
        <v>0</v>
      </c>
    </row>
    <row r="91" spans="1:29">
      <c r="A91" s="6">
        <f t="shared" si="1"/>
        <v>45743</v>
      </c>
      <c r="B91" s="9">
        <v>5599</v>
      </c>
      <c r="C91" s="9">
        <v>232829</v>
      </c>
      <c r="D91" s="9">
        <v>227446</v>
      </c>
      <c r="E91" s="9">
        <v>14154</v>
      </c>
      <c r="F91" s="9">
        <v>11770</v>
      </c>
      <c r="G91" s="9">
        <v>3815.5</v>
      </c>
      <c r="H91" s="9">
        <v>10859</v>
      </c>
      <c r="I91" s="9">
        <v>260999</v>
      </c>
      <c r="J91" s="10">
        <v>30.33</v>
      </c>
      <c r="K91" s="10">
        <v>29.89</v>
      </c>
      <c r="L91" s="9">
        <f>'[18]key-in(DCO)'!AR89</f>
        <v>0</v>
      </c>
      <c r="M91" s="10">
        <f>[18]생산!AV88</f>
        <v>0</v>
      </c>
      <c r="N91" s="10">
        <f>[18]생산!AW88</f>
        <v>0</v>
      </c>
      <c r="O91" s="10">
        <f>[18]생산!AX88</f>
        <v>0</v>
      </c>
      <c r="P91" s="10">
        <f>[18]생산!AY88</f>
        <v>0</v>
      </c>
      <c r="Q91" s="10">
        <f>[19]생산!BE88</f>
        <v>0</v>
      </c>
      <c r="R91" s="10">
        <f>[18]생산!BA88</f>
        <v>0</v>
      </c>
      <c r="S91" s="9">
        <f>[18]운전시간외!C88</f>
        <v>0</v>
      </c>
      <c r="T91" s="9">
        <f>[18]운전시간외!D88</f>
        <v>0</v>
      </c>
      <c r="U91" s="9">
        <f>[18]운전시간외!E88</f>
        <v>0</v>
      </c>
      <c r="V91" s="9">
        <f>[18]운전시간외!F88</f>
        <v>0</v>
      </c>
      <c r="W91" s="11">
        <f>[18]생산!E88</f>
        <v>0</v>
      </c>
      <c r="X91" s="11">
        <f>[18]생산!F88</f>
        <v>0</v>
      </c>
      <c r="Y91" s="11">
        <f>[18]생산!G88</f>
        <v>0</v>
      </c>
      <c r="Z91" s="11">
        <f>[18]생산!H88</f>
        <v>0</v>
      </c>
      <c r="AA91" s="11">
        <f>[18]생산!I88</f>
        <v>0</v>
      </c>
      <c r="AB91" s="11">
        <f>[18]생산!J88</f>
        <v>0</v>
      </c>
      <c r="AC91" s="48">
        <f>ROUNDDOWN('[20]2025년'!G87/1000,1)</f>
        <v>0</v>
      </c>
    </row>
    <row r="92" spans="1:29">
      <c r="A92" s="6">
        <f t="shared" si="1"/>
        <v>45744</v>
      </c>
      <c r="B92" s="9">
        <v>5628</v>
      </c>
      <c r="C92" s="9">
        <v>233003</v>
      </c>
      <c r="D92" s="9">
        <v>227467</v>
      </c>
      <c r="E92" s="9">
        <v>14159</v>
      </c>
      <c r="F92" s="9">
        <v>11795</v>
      </c>
      <c r="G92" s="9">
        <v>3816.6</v>
      </c>
      <c r="H92" s="9">
        <v>10978</v>
      </c>
      <c r="I92" s="9">
        <v>261199</v>
      </c>
      <c r="J92" s="10">
        <v>30.67</v>
      </c>
      <c r="K92" s="10">
        <v>30.04</v>
      </c>
      <c r="L92" s="9">
        <f>'[18]key-in(DCO)'!AR90</f>
        <v>0</v>
      </c>
      <c r="M92" s="10">
        <f>[18]생산!AV89</f>
        <v>87925.3</v>
      </c>
      <c r="N92" s="10">
        <f>[18]생산!AW89</f>
        <v>0</v>
      </c>
      <c r="O92" s="10">
        <f>[18]생산!AX89</f>
        <v>0</v>
      </c>
      <c r="P92" s="10">
        <f>[18]생산!AY89</f>
        <v>0</v>
      </c>
      <c r="Q92" s="10">
        <f>[19]생산!BE89</f>
        <v>0</v>
      </c>
      <c r="R92" s="10">
        <f>[18]생산!BA89</f>
        <v>0</v>
      </c>
      <c r="S92" s="9">
        <f>[18]운전시간외!C89</f>
        <v>21</v>
      </c>
      <c r="T92" s="9">
        <f>[18]운전시간외!D89</f>
        <v>0</v>
      </c>
      <c r="U92" s="9">
        <f>[18]운전시간외!E89</f>
        <v>0</v>
      </c>
      <c r="V92" s="9">
        <f>[18]운전시간외!F89</f>
        <v>0</v>
      </c>
      <c r="W92" s="11">
        <f>[18]생산!E89</f>
        <v>545</v>
      </c>
      <c r="X92" s="11">
        <f>[18]생산!F89</f>
        <v>0</v>
      </c>
      <c r="Y92" s="11">
        <f>[18]생산!G89</f>
        <v>0</v>
      </c>
      <c r="Z92" s="11">
        <f>[18]생산!H89</f>
        <v>0</v>
      </c>
      <c r="AA92" s="11">
        <f>[18]생산!I89</f>
        <v>0</v>
      </c>
      <c r="AB92" s="11">
        <f>[18]생산!J89</f>
        <v>545</v>
      </c>
      <c r="AC92" s="48">
        <f>ROUNDDOWN('[20]2025년'!G88/1000,1)</f>
        <v>32.5</v>
      </c>
    </row>
    <row r="93" spans="1:29">
      <c r="A93" s="6">
        <f t="shared" si="1"/>
        <v>45745</v>
      </c>
      <c r="B93" s="9">
        <v>5645</v>
      </c>
      <c r="C93" s="9">
        <v>233070</v>
      </c>
      <c r="D93" s="9">
        <v>227517</v>
      </c>
      <c r="E93" s="9">
        <v>14162</v>
      </c>
      <c r="F93" s="9">
        <v>11812</v>
      </c>
      <c r="G93" s="9">
        <v>3817.9</v>
      </c>
      <c r="H93" s="9">
        <v>11097</v>
      </c>
      <c r="I93" s="9">
        <v>261405</v>
      </c>
      <c r="J93" s="10">
        <v>30.23</v>
      </c>
      <c r="K93" s="10">
        <v>29.97</v>
      </c>
      <c r="L93" s="9">
        <f>'[18]key-in(DCO)'!AR91</f>
        <v>0</v>
      </c>
      <c r="M93" s="10">
        <f>[18]생산!AV90</f>
        <v>41914</v>
      </c>
      <c r="N93" s="10">
        <f>[18]생산!AW90</f>
        <v>0</v>
      </c>
      <c r="O93" s="10">
        <f>[18]생산!AX90</f>
        <v>0</v>
      </c>
      <c r="P93" s="10">
        <f>[18]생산!AY90</f>
        <v>0</v>
      </c>
      <c r="Q93" s="10">
        <f>[19]생산!BE90</f>
        <v>0</v>
      </c>
      <c r="R93" s="10">
        <f>[18]생산!BA90</f>
        <v>0</v>
      </c>
      <c r="S93" s="9">
        <f>[18]운전시간외!C90</f>
        <v>7</v>
      </c>
      <c r="T93" s="9">
        <f>[18]운전시간외!D90</f>
        <v>0</v>
      </c>
      <c r="U93" s="9">
        <f>[18]운전시간외!E90</f>
        <v>0</v>
      </c>
      <c r="V93" s="9">
        <f>[18]운전시간외!F90</f>
        <v>0</v>
      </c>
      <c r="W93" s="11">
        <f>[18]생산!E90</f>
        <v>264</v>
      </c>
      <c r="X93" s="11">
        <f>[18]생산!F90</f>
        <v>0</v>
      </c>
      <c r="Y93" s="11">
        <f>[18]생산!G90</f>
        <v>0</v>
      </c>
      <c r="Z93" s="11">
        <f>[18]생산!H90</f>
        <v>0</v>
      </c>
      <c r="AA93" s="11">
        <f>[18]생산!I90</f>
        <v>0</v>
      </c>
      <c r="AB93" s="11">
        <f>[18]생산!J90</f>
        <v>264</v>
      </c>
      <c r="AC93" s="48">
        <f>ROUNDDOWN('[20]2025년'!G89/1000,1)</f>
        <v>16.8</v>
      </c>
    </row>
    <row r="94" spans="1:29">
      <c r="A94" s="6">
        <f t="shared" si="1"/>
        <v>45746</v>
      </c>
      <c r="B94" s="9">
        <v>5660</v>
      </c>
      <c r="C94" s="9">
        <v>233108</v>
      </c>
      <c r="D94" s="9">
        <v>227528</v>
      </c>
      <c r="E94" s="9">
        <v>14166</v>
      </c>
      <c r="F94" s="9">
        <v>11833</v>
      </c>
      <c r="G94" s="9">
        <v>3818.6</v>
      </c>
      <c r="H94" s="9">
        <v>11217</v>
      </c>
      <c r="I94" s="9">
        <v>261548</v>
      </c>
      <c r="J94" s="10">
        <v>30.21</v>
      </c>
      <c r="K94" s="10">
        <v>29.86</v>
      </c>
      <c r="L94" s="9">
        <f>'[18]key-in(DCO)'!AR92</f>
        <v>0</v>
      </c>
      <c r="M94" s="10">
        <f>[18]생산!AV91</f>
        <v>62345.9</v>
      </c>
      <c r="N94" s="10">
        <f>[18]생산!AW91</f>
        <v>0</v>
      </c>
      <c r="O94" s="10">
        <f>[18]생산!AX91</f>
        <v>0</v>
      </c>
      <c r="P94" s="10">
        <f>[18]생산!AY91</f>
        <v>0</v>
      </c>
      <c r="Q94" s="10">
        <f>[19]생산!BE91</f>
        <v>0</v>
      </c>
      <c r="R94" s="10">
        <f>[18]생산!BA91</f>
        <v>0</v>
      </c>
      <c r="S94" s="9">
        <f>[18]운전시간외!C91</f>
        <v>8</v>
      </c>
      <c r="T94" s="9">
        <f>[18]운전시간외!D91</f>
        <v>0</v>
      </c>
      <c r="U94" s="9">
        <f>[18]운전시간외!E91</f>
        <v>0</v>
      </c>
      <c r="V94" s="9">
        <f>[18]운전시간외!F91</f>
        <v>0</v>
      </c>
      <c r="W94" s="11">
        <f>[18]생산!E91</f>
        <v>387</v>
      </c>
      <c r="X94" s="11">
        <f>[18]생산!F91</f>
        <v>0</v>
      </c>
      <c r="Y94" s="11">
        <f>[18]생산!G91</f>
        <v>0</v>
      </c>
      <c r="Z94" s="11">
        <f>[18]생산!H91</f>
        <v>0</v>
      </c>
      <c r="AA94" s="11">
        <f>[18]생산!I91</f>
        <v>0</v>
      </c>
      <c r="AB94" s="11">
        <f>[18]생산!J91</f>
        <v>387</v>
      </c>
      <c r="AC94" s="48">
        <f>ROUNDDOWN('[20]2025년'!G90/1000,1)</f>
        <v>20.100000000000001</v>
      </c>
    </row>
    <row r="95" spans="1:29">
      <c r="A95" s="6">
        <f t="shared" si="1"/>
        <v>45747</v>
      </c>
      <c r="B95" s="9">
        <v>5675</v>
      </c>
      <c r="C95" s="9">
        <v>233185</v>
      </c>
      <c r="D95" s="9">
        <v>227565</v>
      </c>
      <c r="E95" s="9">
        <v>14168</v>
      </c>
      <c r="F95" s="9">
        <v>11861</v>
      </c>
      <c r="G95" s="9">
        <v>3819.5</v>
      </c>
      <c r="H95" s="9">
        <v>11322</v>
      </c>
      <c r="I95" s="9">
        <v>261942</v>
      </c>
      <c r="J95" s="10">
        <v>30.37</v>
      </c>
      <c r="K95" s="10">
        <v>29.85</v>
      </c>
      <c r="L95" s="9">
        <f>'[18]key-in(DCO)'!AR93</f>
        <v>0</v>
      </c>
      <c r="M95" s="10">
        <f>[18]생산!AV92</f>
        <v>122980.100000006</v>
      </c>
      <c r="N95" s="10">
        <f>[18]생산!AW92</f>
        <v>403</v>
      </c>
      <c r="O95" s="10">
        <f>[18]생산!AX92</f>
        <v>0</v>
      </c>
      <c r="P95" s="10">
        <f>[18]생산!AY92</f>
        <v>0</v>
      </c>
      <c r="Q95" s="10">
        <f>[19]생산!BE92</f>
        <v>0</v>
      </c>
      <c r="R95" s="10">
        <f>[18]생산!BA92</f>
        <v>403</v>
      </c>
      <c r="S95" s="9">
        <f>[18]운전시간외!C92</f>
        <v>16</v>
      </c>
      <c r="T95" s="9">
        <f>[18]운전시간외!D92</f>
        <v>0</v>
      </c>
      <c r="U95" s="9">
        <f>[18]운전시간외!E92</f>
        <v>0</v>
      </c>
      <c r="V95" s="9">
        <f>[18]운전시간외!F92</f>
        <v>0</v>
      </c>
      <c r="W95" s="11">
        <f>[18]생산!E92</f>
        <v>779</v>
      </c>
      <c r="X95" s="11">
        <f>[18]생산!F92</f>
        <v>0</v>
      </c>
      <c r="Y95" s="11">
        <f>[18]생산!G92</f>
        <v>0</v>
      </c>
      <c r="Z95" s="11">
        <f>[18]생산!H92</f>
        <v>0</v>
      </c>
      <c r="AA95" s="11">
        <f>[18]생산!I92</f>
        <v>0</v>
      </c>
      <c r="AB95" s="11">
        <f>[18]생산!J92</f>
        <v>779</v>
      </c>
      <c r="AC95" s="48">
        <f>ROUNDDOWN('[20]2025년'!G91/1000,1)</f>
        <v>50.1</v>
      </c>
    </row>
    <row r="96" spans="1:29">
      <c r="A96" s="6">
        <f t="shared" si="1"/>
        <v>45748</v>
      </c>
      <c r="B96" s="9">
        <v>5685</v>
      </c>
      <c r="C96" s="9">
        <v>233275</v>
      </c>
      <c r="D96" s="9">
        <v>227601</v>
      </c>
      <c r="E96" s="9">
        <v>14174</v>
      </c>
      <c r="F96" s="9">
        <v>11887</v>
      </c>
      <c r="G96" s="9">
        <v>3820.4</v>
      </c>
      <c r="H96" s="9">
        <v>11422</v>
      </c>
      <c r="I96" s="9">
        <v>262075</v>
      </c>
      <c r="J96" s="10">
        <v>30.38</v>
      </c>
      <c r="K96" s="10">
        <v>29.72</v>
      </c>
      <c r="L96" s="9">
        <f>'[18]key-in(DCO)'!AR94</f>
        <v>0</v>
      </c>
      <c r="M96" s="10">
        <f>[18]생산!AV93</f>
        <v>106486</v>
      </c>
      <c r="N96" s="10">
        <f>[18]생산!AW93</f>
        <v>0</v>
      </c>
      <c r="O96" s="10">
        <f>[18]생산!AX93</f>
        <v>0</v>
      </c>
      <c r="P96" s="10">
        <f>[18]생산!AY93</f>
        <v>0</v>
      </c>
      <c r="Q96" s="10">
        <f>[19]생산!BE93</f>
        <v>0</v>
      </c>
      <c r="R96" s="10">
        <f>[18]생산!BA93</f>
        <v>0</v>
      </c>
      <c r="S96" s="9">
        <f>[18]운전시간외!C93</f>
        <v>14</v>
      </c>
      <c r="T96" s="9">
        <f>[18]운전시간외!D93</f>
        <v>0</v>
      </c>
      <c r="U96" s="9">
        <f>[18]운전시간외!E93</f>
        <v>0</v>
      </c>
      <c r="V96" s="9">
        <f>[18]운전시간외!F93</f>
        <v>0</v>
      </c>
      <c r="W96" s="11">
        <f>[18]생산!E93</f>
        <v>670</v>
      </c>
      <c r="X96" s="11">
        <f>[18]생산!F93</f>
        <v>0</v>
      </c>
      <c r="Y96" s="11">
        <f>[18]생산!G93</f>
        <v>0</v>
      </c>
      <c r="Z96" s="11">
        <f>[18]생산!H93</f>
        <v>0</v>
      </c>
      <c r="AA96" s="11">
        <f>[18]생산!I93</f>
        <v>0</v>
      </c>
      <c r="AB96" s="11">
        <f>[18]생산!J93</f>
        <v>670</v>
      </c>
      <c r="AC96" s="48">
        <f>ROUNDDOWN('[20]2025년'!G92/1000,1)</f>
        <v>43.7</v>
      </c>
    </row>
    <row r="97" spans="1:29">
      <c r="A97" s="6">
        <f t="shared" si="1"/>
        <v>45749</v>
      </c>
      <c r="B97" s="9">
        <v>5704</v>
      </c>
      <c r="C97" s="9">
        <v>233355</v>
      </c>
      <c r="D97" s="9">
        <v>227641</v>
      </c>
      <c r="E97" s="9">
        <v>14179</v>
      </c>
      <c r="F97" s="9">
        <v>11900</v>
      </c>
      <c r="G97" s="9">
        <v>3821.2</v>
      </c>
      <c r="H97" s="9">
        <v>11523</v>
      </c>
      <c r="I97" s="9">
        <v>262249</v>
      </c>
      <c r="J97" s="10">
        <v>30.08</v>
      </c>
      <c r="K97" s="10">
        <v>29.84</v>
      </c>
      <c r="L97" s="9">
        <f>'[18]key-in(DCO)'!AR95</f>
        <v>0</v>
      </c>
      <c r="M97" s="10">
        <f>[18]생산!AV94</f>
        <v>0</v>
      </c>
      <c r="N97" s="10">
        <f>[18]생산!AW94</f>
        <v>0</v>
      </c>
      <c r="O97" s="10">
        <f>[18]생산!AX94</f>
        <v>0</v>
      </c>
      <c r="P97" s="10">
        <f>[18]생산!AY94</f>
        <v>0</v>
      </c>
      <c r="Q97" s="10">
        <f>[19]생산!BE94</f>
        <v>0</v>
      </c>
      <c r="R97" s="10">
        <f>[18]생산!BA94</f>
        <v>0</v>
      </c>
      <c r="S97" s="9">
        <f>[18]운전시간외!C94</f>
        <v>0</v>
      </c>
      <c r="T97" s="9">
        <f>[18]운전시간외!D94</f>
        <v>0</v>
      </c>
      <c r="U97" s="9">
        <f>[18]운전시간외!E94</f>
        <v>0</v>
      </c>
      <c r="V97" s="9">
        <f>[18]운전시간외!F94</f>
        <v>0</v>
      </c>
      <c r="W97" s="11">
        <f>[18]생산!E94</f>
        <v>0</v>
      </c>
      <c r="X97" s="11">
        <f>[18]생산!F94</f>
        <v>0</v>
      </c>
      <c r="Y97" s="11">
        <f>[18]생산!G94</f>
        <v>0</v>
      </c>
      <c r="Z97" s="11">
        <f>[18]생산!H94</f>
        <v>0</v>
      </c>
      <c r="AA97" s="11">
        <f>[18]생산!I94</f>
        <v>0</v>
      </c>
      <c r="AB97" s="11">
        <f>[18]생산!J94</f>
        <v>0</v>
      </c>
      <c r="AC97" s="48">
        <f>ROUNDDOWN('[20]2025년'!G93/1000,1)</f>
        <v>0</v>
      </c>
    </row>
    <row r="98" spans="1:29">
      <c r="A98" s="6">
        <f t="shared" si="1"/>
        <v>45750</v>
      </c>
      <c r="B98" s="9">
        <v>5733</v>
      </c>
      <c r="C98" s="9">
        <v>233440</v>
      </c>
      <c r="D98" s="9">
        <v>227811</v>
      </c>
      <c r="E98" s="9">
        <v>14184</v>
      </c>
      <c r="F98" s="9">
        <v>11923</v>
      </c>
      <c r="G98" s="9">
        <v>3822.4</v>
      </c>
      <c r="H98" s="9">
        <v>11604</v>
      </c>
      <c r="I98" s="9">
        <v>262639</v>
      </c>
      <c r="J98" s="10">
        <v>30.48</v>
      </c>
      <c r="K98" s="10">
        <v>29.83</v>
      </c>
      <c r="L98" s="9">
        <f>'[18]key-in(DCO)'!AR96</f>
        <v>0</v>
      </c>
      <c r="M98" s="10">
        <f>[18]생산!AV95</f>
        <v>100816.7</v>
      </c>
      <c r="N98" s="10">
        <f>[18]생산!AW95</f>
        <v>0</v>
      </c>
      <c r="O98" s="10">
        <f>[18]생산!AX95</f>
        <v>0</v>
      </c>
      <c r="P98" s="10">
        <f>[18]생산!AY95</f>
        <v>0</v>
      </c>
      <c r="Q98" s="10">
        <f>[19]생산!BE95</f>
        <v>0</v>
      </c>
      <c r="R98" s="10">
        <f>[18]생산!BA95</f>
        <v>0</v>
      </c>
      <c r="S98" s="9">
        <f>[18]운전시간외!C95</f>
        <v>15</v>
      </c>
      <c r="T98" s="9">
        <f>[18]운전시간외!D95</f>
        <v>0</v>
      </c>
      <c r="U98" s="9">
        <f>[18]운전시간외!E95</f>
        <v>0</v>
      </c>
      <c r="V98" s="9">
        <f>[18]운전시간외!F95</f>
        <v>0</v>
      </c>
      <c r="W98" s="11">
        <f>[18]생산!E95</f>
        <v>633</v>
      </c>
      <c r="X98" s="11">
        <f>[18]생산!F95</f>
        <v>0</v>
      </c>
      <c r="Y98" s="11">
        <f>[18]생산!G95</f>
        <v>0</v>
      </c>
      <c r="Z98" s="11">
        <f>[18]생산!H95</f>
        <v>0</v>
      </c>
      <c r="AA98" s="11">
        <f>[18]생산!I95</f>
        <v>0</v>
      </c>
      <c r="AB98" s="11">
        <f>[18]생산!J95</f>
        <v>633</v>
      </c>
      <c r="AC98" s="48">
        <f>ROUNDDOWN('[20]2025년'!G94/1000,1)</f>
        <v>35.6</v>
      </c>
    </row>
    <row r="99" spans="1:29">
      <c r="A99" s="6">
        <f t="shared" si="1"/>
        <v>45751</v>
      </c>
      <c r="B99" s="9">
        <v>5752</v>
      </c>
      <c r="C99" s="9">
        <v>233600</v>
      </c>
      <c r="D99" s="9">
        <v>227988</v>
      </c>
      <c r="E99" s="9">
        <v>14189</v>
      </c>
      <c r="F99" s="9">
        <v>11947</v>
      </c>
      <c r="G99" s="9">
        <v>3823.7</v>
      </c>
      <c r="H99" s="9">
        <v>11712</v>
      </c>
      <c r="I99" s="9">
        <v>263089</v>
      </c>
      <c r="J99" s="10">
        <v>30.88</v>
      </c>
      <c r="K99" s="10">
        <v>30.16</v>
      </c>
      <c r="L99" s="9">
        <f>'[18]key-in(DCO)'!AR97</f>
        <v>0</v>
      </c>
      <c r="M99" s="10">
        <f>[18]생산!AV96</f>
        <v>62704.6</v>
      </c>
      <c r="N99" s="10">
        <f>[18]생산!AW96</f>
        <v>0</v>
      </c>
      <c r="O99" s="10">
        <f>[18]생산!AX96</f>
        <v>0</v>
      </c>
      <c r="P99" s="10">
        <f>[18]생산!AY96</f>
        <v>0</v>
      </c>
      <c r="Q99" s="10">
        <f>[19]생산!BE96</f>
        <v>0</v>
      </c>
      <c r="R99" s="10">
        <f>[18]생산!BA96</f>
        <v>0</v>
      </c>
      <c r="S99" s="9">
        <f>[18]운전시간외!C96</f>
        <v>8</v>
      </c>
      <c r="T99" s="9">
        <f>[18]운전시간외!D96</f>
        <v>0</v>
      </c>
      <c r="U99" s="9">
        <f>[18]운전시간외!E96</f>
        <v>0</v>
      </c>
      <c r="V99" s="9">
        <f>[18]운전시간외!F96</f>
        <v>0</v>
      </c>
      <c r="W99" s="11">
        <f>[18]생산!E96</f>
        <v>397</v>
      </c>
      <c r="X99" s="11">
        <f>[18]생산!F96</f>
        <v>0</v>
      </c>
      <c r="Y99" s="11">
        <f>[18]생산!G96</f>
        <v>0</v>
      </c>
      <c r="Z99" s="11">
        <f>[18]생산!H96</f>
        <v>0</v>
      </c>
      <c r="AA99" s="11">
        <f>[18]생산!I96</f>
        <v>0</v>
      </c>
      <c r="AB99" s="11">
        <f>[18]생산!J96</f>
        <v>397</v>
      </c>
      <c r="AC99" s="48">
        <f>ROUNDDOWN('[20]2025년'!G95/1000,1)</f>
        <v>18.8</v>
      </c>
    </row>
    <row r="100" spans="1:29">
      <c r="A100" s="6">
        <f t="shared" si="1"/>
        <v>45752</v>
      </c>
      <c r="B100" s="9">
        <v>5777</v>
      </c>
      <c r="C100" s="9">
        <v>233731</v>
      </c>
      <c r="D100" s="9">
        <v>228114</v>
      </c>
      <c r="E100" s="9">
        <v>14192</v>
      </c>
      <c r="F100" s="9">
        <v>11959</v>
      </c>
      <c r="G100" s="9">
        <v>3824.7</v>
      </c>
      <c r="H100" s="9">
        <v>11828</v>
      </c>
      <c r="I100" s="9">
        <v>263493</v>
      </c>
      <c r="J100" s="10">
        <v>30.73</v>
      </c>
      <c r="K100" s="10">
        <v>30.42</v>
      </c>
      <c r="L100" s="9">
        <f>'[18]key-in(DCO)'!AR98</f>
        <v>0</v>
      </c>
      <c r="M100" s="10">
        <f>[18]생산!AV97</f>
        <v>0</v>
      </c>
      <c r="N100" s="10">
        <f>[18]생산!AW97</f>
        <v>0</v>
      </c>
      <c r="O100" s="10">
        <f>[18]생산!AX97</f>
        <v>0</v>
      </c>
      <c r="P100" s="10">
        <f>[18]생산!AY97</f>
        <v>0</v>
      </c>
      <c r="Q100" s="10">
        <f>[19]생산!BE97</f>
        <v>0</v>
      </c>
      <c r="R100" s="10">
        <f>[18]생산!BA97</f>
        <v>0</v>
      </c>
      <c r="S100" s="9">
        <f>[18]운전시간외!C97</f>
        <v>0</v>
      </c>
      <c r="T100" s="9">
        <f>[18]운전시간외!D97</f>
        <v>0</v>
      </c>
      <c r="U100" s="9">
        <f>[18]운전시간외!E97</f>
        <v>0</v>
      </c>
      <c r="V100" s="9">
        <f>[18]운전시간외!F97</f>
        <v>0</v>
      </c>
      <c r="W100" s="11">
        <f>[18]생산!E97</f>
        <v>0</v>
      </c>
      <c r="X100" s="11">
        <f>[18]생산!F97</f>
        <v>0</v>
      </c>
      <c r="Y100" s="11">
        <f>[18]생산!G97</f>
        <v>0</v>
      </c>
      <c r="Z100" s="11">
        <f>[18]생산!H97</f>
        <v>0</v>
      </c>
      <c r="AA100" s="11">
        <f>[18]생산!I97</f>
        <v>0</v>
      </c>
      <c r="AB100" s="11">
        <f>[18]생산!J97</f>
        <v>0</v>
      </c>
      <c r="AC100" s="48">
        <f>ROUNDDOWN('[20]2025년'!G96/1000,1)</f>
        <v>0</v>
      </c>
    </row>
    <row r="101" spans="1:29">
      <c r="A101" s="6">
        <f t="shared" si="1"/>
        <v>45753</v>
      </c>
      <c r="B101" s="9">
        <v>5803</v>
      </c>
      <c r="C101" s="9">
        <v>233850</v>
      </c>
      <c r="D101" s="9">
        <v>228198</v>
      </c>
      <c r="E101" s="9">
        <v>14196</v>
      </c>
      <c r="F101" s="9">
        <v>11971</v>
      </c>
      <c r="G101" s="9">
        <v>3825</v>
      </c>
      <c r="H101" s="9">
        <v>11918</v>
      </c>
      <c r="I101" s="9">
        <v>263854</v>
      </c>
      <c r="J101" s="10">
        <v>30.8</v>
      </c>
      <c r="K101" s="10">
        <v>30.53</v>
      </c>
      <c r="L101" s="9">
        <f>'[18]key-in(DCO)'!AR99</f>
        <v>0</v>
      </c>
      <c r="M101" s="10">
        <f>[18]생산!AV98</f>
        <v>0</v>
      </c>
      <c r="N101" s="10">
        <f>[18]생산!AW98</f>
        <v>0</v>
      </c>
      <c r="O101" s="10">
        <f>[18]생산!AX98</f>
        <v>0</v>
      </c>
      <c r="P101" s="10">
        <f>[18]생산!AY98</f>
        <v>0</v>
      </c>
      <c r="Q101" s="10">
        <f>[19]생산!BE98</f>
        <v>0</v>
      </c>
      <c r="R101" s="10">
        <f>[18]생산!BA98</f>
        <v>0</v>
      </c>
      <c r="S101" s="9">
        <f>[18]운전시간외!C98</f>
        <v>0</v>
      </c>
      <c r="T101" s="9">
        <f>[18]운전시간외!D98</f>
        <v>0</v>
      </c>
      <c r="U101" s="9">
        <f>[18]운전시간외!E98</f>
        <v>0</v>
      </c>
      <c r="V101" s="9">
        <f>[18]운전시간외!F98</f>
        <v>0</v>
      </c>
      <c r="W101" s="11">
        <f>[18]생산!E98</f>
        <v>0</v>
      </c>
      <c r="X101" s="11">
        <f>[18]생산!F98</f>
        <v>0</v>
      </c>
      <c r="Y101" s="11">
        <f>[18]생산!G98</f>
        <v>0</v>
      </c>
      <c r="Z101" s="11">
        <f>[18]생산!H98</f>
        <v>0</v>
      </c>
      <c r="AA101" s="11">
        <f>[18]생산!I98</f>
        <v>0</v>
      </c>
      <c r="AB101" s="11">
        <f>[18]생산!J98</f>
        <v>0</v>
      </c>
      <c r="AC101" s="48">
        <f>ROUNDDOWN('[20]2025년'!G97/1000,1)</f>
        <v>0</v>
      </c>
    </row>
    <row r="102" spans="1:29">
      <c r="A102" s="6">
        <f t="shared" si="1"/>
        <v>45754</v>
      </c>
      <c r="B102" s="9">
        <v>5817</v>
      </c>
      <c r="C102" s="9">
        <v>233910</v>
      </c>
      <c r="D102" s="9">
        <v>228283</v>
      </c>
      <c r="E102" s="9">
        <v>14202</v>
      </c>
      <c r="F102" s="9">
        <v>11992</v>
      </c>
      <c r="G102" s="9">
        <v>3826.2</v>
      </c>
      <c r="H102" s="9">
        <v>12030</v>
      </c>
      <c r="I102" s="9">
        <v>263975</v>
      </c>
      <c r="J102" s="10">
        <v>30.89</v>
      </c>
      <c r="K102" s="10">
        <v>30.56</v>
      </c>
      <c r="L102" s="9">
        <f>'[18]key-in(DCO)'!AR100</f>
        <v>0</v>
      </c>
      <c r="M102" s="10">
        <f>[18]생산!AV99</f>
        <v>67258.100000000006</v>
      </c>
      <c r="N102" s="10">
        <f>[18]생산!AW99</f>
        <v>0</v>
      </c>
      <c r="O102" s="10">
        <f>[18]생산!AX99</f>
        <v>0</v>
      </c>
      <c r="P102" s="10">
        <f>[18]생산!AY99</f>
        <v>0</v>
      </c>
      <c r="Q102" s="10">
        <f>[19]생산!BE99</f>
        <v>0</v>
      </c>
      <c r="R102" s="10">
        <f>[18]생산!BA99</f>
        <v>0</v>
      </c>
      <c r="S102" s="9">
        <f>[18]운전시간외!C99</f>
        <v>12</v>
      </c>
      <c r="T102" s="9">
        <f>[18]운전시간외!D99</f>
        <v>0</v>
      </c>
      <c r="U102" s="9">
        <f>[18]운전시간외!E99</f>
        <v>0</v>
      </c>
      <c r="V102" s="9">
        <f>[18]운전시간외!F99</f>
        <v>0</v>
      </c>
      <c r="W102" s="11">
        <f>[18]생산!E99</f>
        <v>415</v>
      </c>
      <c r="X102" s="11">
        <f>[18]생산!F99</f>
        <v>0</v>
      </c>
      <c r="Y102" s="11">
        <f>[18]생산!G99</f>
        <v>0</v>
      </c>
      <c r="Z102" s="11">
        <f>[18]생산!H99</f>
        <v>0</v>
      </c>
      <c r="AA102" s="11">
        <f>[18]생산!I99</f>
        <v>0</v>
      </c>
      <c r="AB102" s="11">
        <f>[18]생산!J99</f>
        <v>415</v>
      </c>
      <c r="AC102" s="48">
        <f>ROUNDDOWN('[20]2025년'!G98/1000,1)</f>
        <v>23.3</v>
      </c>
    </row>
    <row r="103" spans="1:29">
      <c r="A103" s="6">
        <f t="shared" si="1"/>
        <v>45755</v>
      </c>
      <c r="B103" s="9">
        <v>5834</v>
      </c>
      <c r="C103" s="9">
        <v>234024</v>
      </c>
      <c r="D103" s="9">
        <v>228379</v>
      </c>
      <c r="E103" s="9">
        <v>14207</v>
      </c>
      <c r="F103" s="9">
        <v>12012</v>
      </c>
      <c r="G103" s="9">
        <v>3827.5</v>
      </c>
      <c r="H103" s="9">
        <v>12149</v>
      </c>
      <c r="I103" s="9">
        <v>264532</v>
      </c>
      <c r="J103" s="10">
        <v>31.12</v>
      </c>
      <c r="K103" s="10">
        <v>30.59</v>
      </c>
      <c r="L103" s="9">
        <f>'[18]key-in(DCO)'!AR101</f>
        <v>0</v>
      </c>
      <c r="M103" s="10">
        <f>[18]생산!AV100</f>
        <v>63527.4</v>
      </c>
      <c r="N103" s="10">
        <f>[18]생산!AW100</f>
        <v>0</v>
      </c>
      <c r="O103" s="10">
        <f>[18]생산!AX100</f>
        <v>0</v>
      </c>
      <c r="P103" s="10">
        <f>[18]생산!AY100</f>
        <v>0</v>
      </c>
      <c r="Q103" s="10">
        <f>[19]생산!BE100</f>
        <v>0</v>
      </c>
      <c r="R103" s="10">
        <f>[18]생산!BA100</f>
        <v>0</v>
      </c>
      <c r="S103" s="9">
        <f>[18]운전시간외!C100</f>
        <v>10</v>
      </c>
      <c r="T103" s="9">
        <f>[18]운전시간외!D100</f>
        <v>0</v>
      </c>
      <c r="U103" s="9">
        <f>[18]운전시간외!E100</f>
        <v>0</v>
      </c>
      <c r="V103" s="9">
        <f>[18]운전시간외!F100</f>
        <v>0</v>
      </c>
      <c r="W103" s="11">
        <f>[18]생산!E100</f>
        <v>399</v>
      </c>
      <c r="X103" s="11">
        <f>[18]생산!F100</f>
        <v>0</v>
      </c>
      <c r="Y103" s="11">
        <f>[18]생산!G100</f>
        <v>0</v>
      </c>
      <c r="Z103" s="11">
        <f>[18]생산!H100</f>
        <v>0</v>
      </c>
      <c r="AA103" s="11">
        <f>[18]생산!I100</f>
        <v>0</v>
      </c>
      <c r="AB103" s="11">
        <f>[18]생산!J100</f>
        <v>399</v>
      </c>
      <c r="AC103" s="48">
        <f>ROUNDDOWN('[20]2025년'!G99/1000,1)</f>
        <v>17.2</v>
      </c>
    </row>
    <row r="104" spans="1:29">
      <c r="A104" s="6">
        <f t="shared" si="1"/>
        <v>45756</v>
      </c>
      <c r="B104" s="9">
        <v>5847</v>
      </c>
      <c r="C104" s="9">
        <v>234181</v>
      </c>
      <c r="D104" s="9">
        <v>228440</v>
      </c>
      <c r="E104" s="9">
        <v>14212</v>
      </c>
      <c r="F104" s="9">
        <v>12027</v>
      </c>
      <c r="G104" s="9">
        <v>3828.6</v>
      </c>
      <c r="H104" s="9">
        <v>12272</v>
      </c>
      <c r="I104" s="9">
        <v>264805</v>
      </c>
      <c r="J104" s="10">
        <v>31.38</v>
      </c>
      <c r="K104" s="10">
        <v>30.84</v>
      </c>
      <c r="L104" s="9">
        <f>'[18]key-in(DCO)'!AR102</f>
        <v>0</v>
      </c>
      <c r="M104" s="10">
        <f>[18]생산!AV101</f>
        <v>63922</v>
      </c>
      <c r="N104" s="10">
        <f>[18]생산!AW101</f>
        <v>0</v>
      </c>
      <c r="O104" s="10">
        <f>[18]생산!AX101</f>
        <v>0</v>
      </c>
      <c r="P104" s="10">
        <f>[18]생산!AY101</f>
        <v>0</v>
      </c>
      <c r="Q104" s="10">
        <f>[19]생산!BE101</f>
        <v>0</v>
      </c>
      <c r="R104" s="10">
        <f>[18]생산!BA101</f>
        <v>0</v>
      </c>
      <c r="S104" s="9">
        <f>[18]운전시간외!C101</f>
        <v>10</v>
      </c>
      <c r="T104" s="9">
        <f>[18]운전시간외!D101</f>
        <v>0</v>
      </c>
      <c r="U104" s="9">
        <f>[18]운전시간외!E101</f>
        <v>0</v>
      </c>
      <c r="V104" s="9">
        <f>[18]운전시간외!F101</f>
        <v>0</v>
      </c>
      <c r="W104" s="11">
        <f>[18]생산!E101</f>
        <v>406</v>
      </c>
      <c r="X104" s="11">
        <f>[18]생산!F101</f>
        <v>0</v>
      </c>
      <c r="Y104" s="11">
        <f>[18]생산!G101</f>
        <v>0</v>
      </c>
      <c r="Z104" s="11">
        <f>[18]생산!H101</f>
        <v>0</v>
      </c>
      <c r="AA104" s="11">
        <f>[18]생산!I101</f>
        <v>0</v>
      </c>
      <c r="AB104" s="11">
        <f>[18]생산!J101</f>
        <v>406</v>
      </c>
      <c r="AC104" s="48">
        <f>ROUNDDOWN('[20]2025년'!G100/1000,1)</f>
        <v>29.6</v>
      </c>
    </row>
    <row r="105" spans="1:29">
      <c r="A105" s="6">
        <f t="shared" si="1"/>
        <v>45757</v>
      </c>
      <c r="B105" s="9">
        <v>5871</v>
      </c>
      <c r="C105" s="9">
        <v>234283</v>
      </c>
      <c r="D105" s="9">
        <v>228561</v>
      </c>
      <c r="E105" s="9">
        <v>14217</v>
      </c>
      <c r="F105" s="9">
        <v>12043</v>
      </c>
      <c r="G105" s="9">
        <v>3829.5</v>
      </c>
      <c r="H105" s="9">
        <v>12393</v>
      </c>
      <c r="I105" s="9">
        <v>265158</v>
      </c>
      <c r="J105" s="10">
        <v>31.33</v>
      </c>
      <c r="K105" s="10">
        <v>30.81</v>
      </c>
      <c r="L105" s="9">
        <f>'[18]key-in(DCO)'!AR103</f>
        <v>0</v>
      </c>
      <c r="M105" s="10">
        <f>[18]생산!AV102</f>
        <v>0</v>
      </c>
      <c r="N105" s="10">
        <f>[18]생산!AW102</f>
        <v>0</v>
      </c>
      <c r="O105" s="10">
        <f>[18]생산!AX102</f>
        <v>0</v>
      </c>
      <c r="P105" s="10">
        <f>[18]생산!AY102</f>
        <v>0</v>
      </c>
      <c r="Q105" s="10">
        <f>[19]생산!BE102</f>
        <v>0</v>
      </c>
      <c r="R105" s="10">
        <f>[18]생산!BA102</f>
        <v>0</v>
      </c>
      <c r="S105" s="9">
        <f>[18]운전시간외!C102</f>
        <v>0</v>
      </c>
      <c r="T105" s="9">
        <f>[18]운전시간외!D102</f>
        <v>0</v>
      </c>
      <c r="U105" s="9">
        <f>[18]운전시간외!E102</f>
        <v>0</v>
      </c>
      <c r="V105" s="9">
        <f>[18]운전시간외!F102</f>
        <v>0</v>
      </c>
      <c r="W105" s="11">
        <f>[18]생산!E102</f>
        <v>0</v>
      </c>
      <c r="X105" s="11">
        <f>[18]생산!F102</f>
        <v>0</v>
      </c>
      <c r="Y105" s="11">
        <f>[18]생산!G102</f>
        <v>0</v>
      </c>
      <c r="Z105" s="11">
        <f>[18]생산!H102</f>
        <v>0</v>
      </c>
      <c r="AA105" s="11">
        <f>[18]생산!I102</f>
        <v>0</v>
      </c>
      <c r="AB105" s="11">
        <f>[18]생산!J102</f>
        <v>0</v>
      </c>
      <c r="AC105" s="48">
        <f>ROUNDDOWN('[20]2025년'!G101/1000,1)</f>
        <v>0</v>
      </c>
    </row>
    <row r="106" spans="1:29">
      <c r="A106" s="6">
        <f t="shared" si="1"/>
        <v>45758</v>
      </c>
      <c r="B106" s="9">
        <v>5903</v>
      </c>
      <c r="C106" s="9">
        <v>234361</v>
      </c>
      <c r="D106" s="9">
        <v>228690</v>
      </c>
      <c r="E106" s="9">
        <v>14221</v>
      </c>
      <c r="F106" s="9">
        <v>12062</v>
      </c>
      <c r="G106" s="9">
        <v>3830.4</v>
      </c>
      <c r="H106" s="9">
        <v>12497</v>
      </c>
      <c r="I106" s="9">
        <v>265452</v>
      </c>
      <c r="J106" s="10">
        <v>31.71</v>
      </c>
      <c r="K106" s="10">
        <v>30.94</v>
      </c>
      <c r="L106" s="9">
        <f>'[18]key-in(DCO)'!AR104</f>
        <v>0</v>
      </c>
      <c r="M106" s="10">
        <f>[18]생산!AV103</f>
        <v>50080.7</v>
      </c>
      <c r="N106" s="10">
        <f>[18]생산!AW103</f>
        <v>0</v>
      </c>
      <c r="O106" s="10">
        <f>[18]생산!AX103</f>
        <v>0</v>
      </c>
      <c r="P106" s="10">
        <f>[18]생산!AY103</f>
        <v>0</v>
      </c>
      <c r="Q106" s="10">
        <f>[19]생산!BE103</f>
        <v>0</v>
      </c>
      <c r="R106" s="10">
        <f>[18]생산!BA103</f>
        <v>0</v>
      </c>
      <c r="S106" s="9">
        <f>[18]운전시간외!C103</f>
        <v>10</v>
      </c>
      <c r="T106" s="9">
        <f>[18]운전시간외!D103</f>
        <v>0</v>
      </c>
      <c r="U106" s="9">
        <f>[18]운전시간외!E103</f>
        <v>0</v>
      </c>
      <c r="V106" s="9">
        <f>[18]운전시간외!F103</f>
        <v>0</v>
      </c>
      <c r="W106" s="11">
        <f>[18]생산!E103</f>
        <v>311</v>
      </c>
      <c r="X106" s="11">
        <f>[18]생산!F103</f>
        <v>0</v>
      </c>
      <c r="Y106" s="11">
        <f>[18]생산!G103</f>
        <v>0</v>
      </c>
      <c r="Z106" s="11">
        <f>[18]생산!H103</f>
        <v>0</v>
      </c>
      <c r="AA106" s="11">
        <f>[18]생산!I103</f>
        <v>0</v>
      </c>
      <c r="AB106" s="11">
        <f>[18]생산!J103</f>
        <v>311</v>
      </c>
      <c r="AC106" s="48">
        <f>ROUNDDOWN('[20]2025년'!G102/1000,1)</f>
        <v>16.399999999999999</v>
      </c>
    </row>
    <row r="107" spans="1:29">
      <c r="A107" s="6">
        <f t="shared" si="1"/>
        <v>45759</v>
      </c>
      <c r="B107" s="9">
        <v>5935</v>
      </c>
      <c r="C107" s="9">
        <v>234481</v>
      </c>
      <c r="D107" s="9">
        <v>228767</v>
      </c>
      <c r="E107" s="9">
        <v>14223</v>
      </c>
      <c r="F107" s="9">
        <v>12074</v>
      </c>
      <c r="G107" s="9">
        <v>3830.9</v>
      </c>
      <c r="H107" s="9">
        <v>12560</v>
      </c>
      <c r="I107" s="9">
        <v>265723</v>
      </c>
      <c r="J107" s="10">
        <v>31.57</v>
      </c>
      <c r="K107" s="10">
        <v>31.01</v>
      </c>
      <c r="L107" s="9">
        <f>'[18]key-in(DCO)'!AR105</f>
        <v>0</v>
      </c>
      <c r="M107" s="10">
        <f>[18]생산!AV104</f>
        <v>0</v>
      </c>
      <c r="N107" s="10">
        <f>[18]생산!AW104</f>
        <v>0</v>
      </c>
      <c r="O107" s="10">
        <f>[18]생산!AX104</f>
        <v>0</v>
      </c>
      <c r="P107" s="10">
        <f>[18]생산!AY104</f>
        <v>0</v>
      </c>
      <c r="Q107" s="10">
        <f>[19]생산!BE104</f>
        <v>0</v>
      </c>
      <c r="R107" s="10">
        <f>[18]생산!BA104</f>
        <v>0</v>
      </c>
      <c r="S107" s="9">
        <f>[18]운전시간외!C104</f>
        <v>0</v>
      </c>
      <c r="T107" s="9">
        <f>[18]운전시간외!D104</f>
        <v>0</v>
      </c>
      <c r="U107" s="9">
        <f>[18]운전시간외!E104</f>
        <v>0</v>
      </c>
      <c r="V107" s="9">
        <f>[18]운전시간외!F104</f>
        <v>0</v>
      </c>
      <c r="W107" s="11">
        <f>[18]생산!E104</f>
        <v>0</v>
      </c>
      <c r="X107" s="11">
        <f>[18]생산!F104</f>
        <v>0</v>
      </c>
      <c r="Y107" s="11">
        <f>[18]생산!G104</f>
        <v>0</v>
      </c>
      <c r="Z107" s="11">
        <f>[18]생산!H104</f>
        <v>0</v>
      </c>
      <c r="AA107" s="11">
        <f>[18]생산!I104</f>
        <v>0</v>
      </c>
      <c r="AB107" s="11">
        <f>[18]생산!J104</f>
        <v>0</v>
      </c>
      <c r="AC107" s="48">
        <f>ROUNDDOWN('[20]2025년'!G103/1000,1)</f>
        <v>0</v>
      </c>
    </row>
    <row r="108" spans="1:29">
      <c r="A108" s="6">
        <f t="shared" si="1"/>
        <v>45760</v>
      </c>
      <c r="B108" s="9">
        <v>5948</v>
      </c>
      <c r="C108" s="9">
        <v>234495</v>
      </c>
      <c r="D108" s="9">
        <v>228767</v>
      </c>
      <c r="E108" s="9">
        <v>14226</v>
      </c>
      <c r="F108" s="9">
        <v>12084</v>
      </c>
      <c r="G108" s="9">
        <v>3831.5</v>
      </c>
      <c r="H108" s="9">
        <v>12610</v>
      </c>
      <c r="I108" s="9">
        <v>265745</v>
      </c>
      <c r="J108" s="10">
        <v>31.15</v>
      </c>
      <c r="K108" s="10">
        <v>30.93</v>
      </c>
      <c r="L108" s="9">
        <f>'[18]key-in(DCO)'!AR106</f>
        <v>0</v>
      </c>
      <c r="M108" s="10">
        <f>[18]생산!AV105</f>
        <v>0</v>
      </c>
      <c r="N108" s="10">
        <f>[18]생산!AW105</f>
        <v>0</v>
      </c>
      <c r="O108" s="10">
        <f>[18]생산!AX105</f>
        <v>0</v>
      </c>
      <c r="P108" s="10">
        <f>[18]생산!AY105</f>
        <v>0</v>
      </c>
      <c r="Q108" s="10">
        <f>[19]생산!BE105</f>
        <v>0</v>
      </c>
      <c r="R108" s="10">
        <f>[18]생산!BA105</f>
        <v>0</v>
      </c>
      <c r="S108" s="9">
        <f>[18]운전시간외!C105</f>
        <v>0</v>
      </c>
      <c r="T108" s="9">
        <f>[18]운전시간외!D105</f>
        <v>0</v>
      </c>
      <c r="U108" s="9">
        <f>[18]운전시간외!E105</f>
        <v>0</v>
      </c>
      <c r="V108" s="9">
        <f>[18]운전시간외!F105</f>
        <v>0</v>
      </c>
      <c r="W108" s="11">
        <f>[18]생산!E105</f>
        <v>0</v>
      </c>
      <c r="X108" s="11">
        <f>[18]생산!F105</f>
        <v>0</v>
      </c>
      <c r="Y108" s="11">
        <f>[18]생산!G105</f>
        <v>0</v>
      </c>
      <c r="Z108" s="11">
        <f>[18]생산!H105</f>
        <v>0</v>
      </c>
      <c r="AA108" s="11">
        <f>[18]생산!I105</f>
        <v>0</v>
      </c>
      <c r="AB108" s="11">
        <f>[18]생산!J105</f>
        <v>0</v>
      </c>
      <c r="AC108" s="48">
        <f>ROUNDDOWN('[20]2025년'!G104/1000,1)</f>
        <v>0</v>
      </c>
    </row>
    <row r="109" spans="1:29">
      <c r="A109" s="6">
        <f t="shared" si="1"/>
        <v>45761</v>
      </c>
      <c r="B109" s="9">
        <v>5951</v>
      </c>
      <c r="C109" s="9">
        <v>234569</v>
      </c>
      <c r="D109" s="9">
        <v>228767</v>
      </c>
      <c r="E109" s="9">
        <v>14231</v>
      </c>
      <c r="F109" s="9">
        <v>12109</v>
      </c>
      <c r="G109" s="9">
        <v>3832.4</v>
      </c>
      <c r="H109" s="9">
        <v>12708</v>
      </c>
      <c r="I109" s="9">
        <v>265942</v>
      </c>
      <c r="J109" s="10">
        <v>31.18</v>
      </c>
      <c r="K109" s="10">
        <v>30.84</v>
      </c>
      <c r="L109" s="9">
        <f>'[18]key-in(DCO)'!AR107</f>
        <v>0</v>
      </c>
      <c r="M109" s="10">
        <f>[18]생산!AV106</f>
        <v>134488.79999999999</v>
      </c>
      <c r="N109" s="10">
        <f>[18]생산!AW106</f>
        <v>0</v>
      </c>
      <c r="O109" s="10">
        <f>[18]생산!AX106</f>
        <v>0</v>
      </c>
      <c r="P109" s="10">
        <f>[18]생산!AY106</f>
        <v>0</v>
      </c>
      <c r="Q109" s="10">
        <f>[19]생산!BE106</f>
        <v>0</v>
      </c>
      <c r="R109" s="10">
        <f>[18]생산!BA106</f>
        <v>0</v>
      </c>
      <c r="S109" s="9">
        <f>[18]운전시간외!C106</f>
        <v>20</v>
      </c>
      <c r="T109" s="9">
        <f>[18]운전시간외!D106</f>
        <v>0</v>
      </c>
      <c r="U109" s="9">
        <f>[18]운전시간외!E106</f>
        <v>0</v>
      </c>
      <c r="V109" s="9">
        <f>[18]운전시간외!F106</f>
        <v>0</v>
      </c>
      <c r="W109" s="11">
        <f>[18]생산!E106</f>
        <v>839</v>
      </c>
      <c r="X109" s="11">
        <f>[18]생산!F106</f>
        <v>0</v>
      </c>
      <c r="Y109" s="11">
        <f>[18]생산!G106</f>
        <v>0</v>
      </c>
      <c r="Z109" s="11">
        <f>[18]생산!H106</f>
        <v>0</v>
      </c>
      <c r="AA109" s="11">
        <f>[18]생산!I106</f>
        <v>0</v>
      </c>
      <c r="AB109" s="11">
        <f>[18]생산!J106</f>
        <v>839</v>
      </c>
      <c r="AC109" s="48">
        <f>ROUNDDOWN('[20]2025년'!G105/1000,1)</f>
        <v>41.5</v>
      </c>
    </row>
    <row r="110" spans="1:29">
      <c r="A110" s="6">
        <f t="shared" si="1"/>
        <v>45762</v>
      </c>
      <c r="B110" s="9">
        <v>5978</v>
      </c>
      <c r="C110" s="9">
        <v>234695</v>
      </c>
      <c r="D110" s="9">
        <v>228877</v>
      </c>
      <c r="E110" s="9">
        <v>14236</v>
      </c>
      <c r="F110" s="9">
        <v>12136</v>
      </c>
      <c r="G110" s="9">
        <v>3833.4</v>
      </c>
      <c r="H110" s="9">
        <v>12833</v>
      </c>
      <c r="I110" s="9">
        <v>266213</v>
      </c>
      <c r="J110" s="10">
        <v>31.47</v>
      </c>
      <c r="K110" s="10">
        <v>31.08</v>
      </c>
      <c r="L110" s="9">
        <f>'[18]key-in(DCO)'!AR108</f>
        <v>0</v>
      </c>
      <c r="M110" s="10">
        <f>[18]생산!AV107</f>
        <v>130276</v>
      </c>
      <c r="N110" s="10">
        <f>[18]생산!AW107</f>
        <v>0</v>
      </c>
      <c r="O110" s="10">
        <f>[18]생산!AX107</f>
        <v>0</v>
      </c>
      <c r="P110" s="10">
        <f>[18]생산!AY107</f>
        <v>0</v>
      </c>
      <c r="Q110" s="10">
        <f>[19]생산!BE107</f>
        <v>0</v>
      </c>
      <c r="R110" s="10">
        <f>[18]생산!BA107</f>
        <v>0</v>
      </c>
      <c r="S110" s="9">
        <f>[18]운전시간외!C107</f>
        <v>17</v>
      </c>
      <c r="T110" s="9">
        <f>[18]운전시간외!D107</f>
        <v>0</v>
      </c>
      <c r="U110" s="9">
        <f>[18]운전시간외!E107</f>
        <v>0</v>
      </c>
      <c r="V110" s="9">
        <f>[18]운전시간외!F107</f>
        <v>0</v>
      </c>
      <c r="W110" s="11">
        <f>[18]생산!E107</f>
        <v>830</v>
      </c>
      <c r="X110" s="11">
        <f>[18]생산!F107</f>
        <v>0</v>
      </c>
      <c r="Y110" s="11">
        <f>[18]생산!G107</f>
        <v>0</v>
      </c>
      <c r="Z110" s="11">
        <f>[18]생산!H107</f>
        <v>0</v>
      </c>
      <c r="AA110" s="11">
        <f>[18]생산!I107</f>
        <v>0</v>
      </c>
      <c r="AB110" s="11">
        <f>[18]생산!J107</f>
        <v>830</v>
      </c>
      <c r="AC110" s="48">
        <f>ROUNDDOWN('[20]2025년'!G106/1000,1)</f>
        <v>38.9</v>
      </c>
    </row>
    <row r="111" spans="1:29">
      <c r="A111" s="6">
        <f t="shared" si="1"/>
        <v>45763</v>
      </c>
      <c r="B111" s="9">
        <v>5978</v>
      </c>
      <c r="C111" s="9">
        <v>234792</v>
      </c>
      <c r="D111" s="9">
        <v>229007</v>
      </c>
      <c r="E111" s="9">
        <v>14241</v>
      </c>
      <c r="F111" s="9">
        <v>12164</v>
      </c>
      <c r="G111" s="9">
        <v>3834.7</v>
      </c>
      <c r="H111" s="9">
        <v>12933</v>
      </c>
      <c r="I111" s="9">
        <v>266611</v>
      </c>
      <c r="J111" s="10">
        <v>31.45</v>
      </c>
      <c r="K111" s="10">
        <v>31</v>
      </c>
      <c r="L111" s="9">
        <f>'[18]key-in(DCO)'!AR109</f>
        <v>0</v>
      </c>
      <c r="M111" s="10">
        <f>[18]생산!AV108</f>
        <v>102348.3</v>
      </c>
      <c r="N111" s="10">
        <f>[18]생산!AW108</f>
        <v>0</v>
      </c>
      <c r="O111" s="10">
        <f>[18]생산!AX108</f>
        <v>0</v>
      </c>
      <c r="P111" s="10">
        <f>[18]생산!AY108</f>
        <v>0</v>
      </c>
      <c r="Q111" s="10">
        <f>[19]생산!BE108</f>
        <v>0</v>
      </c>
      <c r="R111" s="10">
        <f>[18]생산!BA108</f>
        <v>0</v>
      </c>
      <c r="S111" s="9">
        <f>[18]운전시간외!C108</f>
        <v>15</v>
      </c>
      <c r="T111" s="9">
        <f>[18]운전시간외!D108</f>
        <v>0</v>
      </c>
      <c r="U111" s="9">
        <f>[18]운전시간외!E108</f>
        <v>0</v>
      </c>
      <c r="V111" s="9">
        <f>[18]운전시간외!F108</f>
        <v>0</v>
      </c>
      <c r="W111" s="11">
        <f>[18]생산!E108</f>
        <v>651</v>
      </c>
      <c r="X111" s="11">
        <f>[18]생산!F108</f>
        <v>0</v>
      </c>
      <c r="Y111" s="11">
        <f>[18]생산!G108</f>
        <v>0</v>
      </c>
      <c r="Z111" s="11">
        <f>[18]생산!H108</f>
        <v>0</v>
      </c>
      <c r="AA111" s="11">
        <f>[18]생산!I108</f>
        <v>0</v>
      </c>
      <c r="AB111" s="11">
        <f>[18]생산!J108</f>
        <v>651</v>
      </c>
      <c r="AC111" s="48">
        <f>ROUNDDOWN('[20]2025년'!G107/1000,1)</f>
        <v>30.1</v>
      </c>
    </row>
    <row r="112" spans="1:29">
      <c r="A112" s="6">
        <f t="shared" si="1"/>
        <v>45764</v>
      </c>
      <c r="B112" s="9">
        <v>5978</v>
      </c>
      <c r="C112" s="9">
        <v>234820</v>
      </c>
      <c r="D112" s="9">
        <v>229034</v>
      </c>
      <c r="E112" s="9">
        <v>14246</v>
      </c>
      <c r="F112" s="9">
        <v>12177</v>
      </c>
      <c r="G112" s="9">
        <v>3835.5</v>
      </c>
      <c r="H112" s="9">
        <v>12997</v>
      </c>
      <c r="I112" s="9">
        <v>266719</v>
      </c>
      <c r="J112" s="10">
        <v>31.29</v>
      </c>
      <c r="K112" s="10">
        <v>30.82</v>
      </c>
      <c r="L112" s="9">
        <f>'[18]key-in(DCO)'!AR110</f>
        <v>0</v>
      </c>
      <c r="M112" s="10">
        <f>[18]생산!AV109</f>
        <v>0</v>
      </c>
      <c r="N112" s="10">
        <f>[18]생산!AW109</f>
        <v>0</v>
      </c>
      <c r="O112" s="10">
        <f>[18]생산!AX109</f>
        <v>0</v>
      </c>
      <c r="P112" s="10">
        <f>[18]생산!AY109</f>
        <v>0</v>
      </c>
      <c r="Q112" s="10">
        <f>[19]생산!BE109</f>
        <v>0</v>
      </c>
      <c r="R112" s="10">
        <f>[18]생산!BA109</f>
        <v>0</v>
      </c>
      <c r="S112" s="9">
        <f>[18]운전시간외!C109</f>
        <v>0</v>
      </c>
      <c r="T112" s="9">
        <f>[18]운전시간외!D109</f>
        <v>0</v>
      </c>
      <c r="U112" s="9">
        <f>[18]운전시간외!E109</f>
        <v>0</v>
      </c>
      <c r="V112" s="9">
        <f>[18]운전시간외!F109</f>
        <v>0</v>
      </c>
      <c r="W112" s="11">
        <f>[18]생산!E109</f>
        <v>0</v>
      </c>
      <c r="X112" s="11">
        <f>[18]생산!F109</f>
        <v>0</v>
      </c>
      <c r="Y112" s="11">
        <f>[18]생산!G109</f>
        <v>0</v>
      </c>
      <c r="Z112" s="11">
        <f>[18]생산!H109</f>
        <v>0</v>
      </c>
      <c r="AA112" s="11">
        <f>[18]생산!I109</f>
        <v>0</v>
      </c>
      <c r="AB112" s="11">
        <f>[18]생산!J109</f>
        <v>0</v>
      </c>
      <c r="AC112" s="48">
        <f>ROUNDDOWN('[20]2025년'!G108/1000,1)</f>
        <v>0</v>
      </c>
    </row>
    <row r="113" spans="1:29">
      <c r="A113" s="6">
        <f t="shared" si="1"/>
        <v>45765</v>
      </c>
      <c r="B113" s="9">
        <v>5978</v>
      </c>
      <c r="C113" s="9">
        <v>234891</v>
      </c>
      <c r="D113" s="9">
        <v>229044</v>
      </c>
      <c r="E113" s="9">
        <v>14251</v>
      </c>
      <c r="F113" s="9">
        <v>12193</v>
      </c>
      <c r="G113" s="9">
        <v>3836.3</v>
      </c>
      <c r="H113" s="9">
        <v>13076</v>
      </c>
      <c r="I113" s="9">
        <v>266865</v>
      </c>
      <c r="J113" s="10">
        <v>31.36</v>
      </c>
      <c r="K113" s="10">
        <v>30.68</v>
      </c>
      <c r="L113" s="9">
        <f>'[18]key-in(DCO)'!AR111</f>
        <v>0</v>
      </c>
      <c r="M113" s="10">
        <f>[18]생산!AV110</f>
        <v>50552.10000000149</v>
      </c>
      <c r="N113" s="10">
        <f>[18]생산!AW110</f>
        <v>0</v>
      </c>
      <c r="O113" s="10">
        <f>[18]생산!AX110</f>
        <v>0</v>
      </c>
      <c r="P113" s="10">
        <f>[18]생산!AY110</f>
        <v>0</v>
      </c>
      <c r="Q113" s="10">
        <f>[19]생산!BE110</f>
        <v>0</v>
      </c>
      <c r="R113" s="10">
        <f>[18]생산!BA110</f>
        <v>0</v>
      </c>
      <c r="S113" s="9">
        <f>[18]운전시간외!C110</f>
        <v>9</v>
      </c>
      <c r="T113" s="9">
        <f>[18]운전시간외!D110</f>
        <v>0</v>
      </c>
      <c r="U113" s="9">
        <f>[18]운전시간외!E110</f>
        <v>0</v>
      </c>
      <c r="V113" s="9">
        <f>[18]운전시간외!F110</f>
        <v>0</v>
      </c>
      <c r="W113" s="11">
        <f>[18]생산!E110</f>
        <v>315</v>
      </c>
      <c r="X113" s="11">
        <f>[18]생산!F110</f>
        <v>0</v>
      </c>
      <c r="Y113" s="11">
        <f>[18]생산!G110</f>
        <v>0</v>
      </c>
      <c r="Z113" s="11">
        <f>[18]생산!H110</f>
        <v>0</v>
      </c>
      <c r="AA113" s="11">
        <f>[18]생산!I110</f>
        <v>0</v>
      </c>
      <c r="AB113" s="11">
        <f>[18]생산!J110</f>
        <v>315</v>
      </c>
      <c r="AC113" s="48">
        <f>ROUNDDOWN('[20]2025년'!G109/1000,1)</f>
        <v>17.7</v>
      </c>
    </row>
    <row r="114" spans="1:29">
      <c r="A114" s="6">
        <f t="shared" si="1"/>
        <v>45766</v>
      </c>
      <c r="B114" s="9">
        <v>5978</v>
      </c>
      <c r="C114" s="9">
        <v>234926</v>
      </c>
      <c r="D114" s="9">
        <v>229044</v>
      </c>
      <c r="E114" s="9">
        <v>14254</v>
      </c>
      <c r="F114" s="9">
        <v>12207</v>
      </c>
      <c r="G114" s="9">
        <v>3837</v>
      </c>
      <c r="H114" s="9">
        <v>13076</v>
      </c>
      <c r="I114" s="9">
        <v>266932</v>
      </c>
      <c r="J114" s="10">
        <v>30.99</v>
      </c>
      <c r="K114" s="10">
        <v>30.61</v>
      </c>
      <c r="L114" s="9">
        <f>'[18]key-in(DCO)'!AR112</f>
        <v>0</v>
      </c>
      <c r="M114" s="10">
        <f>[18]생산!AV111</f>
        <v>0</v>
      </c>
      <c r="N114" s="10">
        <f>[18]생산!AW111</f>
        <v>0</v>
      </c>
      <c r="O114" s="10">
        <f>[18]생산!AX111</f>
        <v>0</v>
      </c>
      <c r="P114" s="10">
        <f>[18]생산!AY111</f>
        <v>0</v>
      </c>
      <c r="Q114" s="10">
        <f>[19]생산!BE111</f>
        <v>0</v>
      </c>
      <c r="R114" s="10">
        <f>[18]생산!BA111</f>
        <v>0</v>
      </c>
      <c r="S114" s="9">
        <f>[18]운전시간외!C111</f>
        <v>0</v>
      </c>
      <c r="T114" s="9">
        <f>[18]운전시간외!D111</f>
        <v>0</v>
      </c>
      <c r="U114" s="9">
        <f>[18]운전시간외!E111</f>
        <v>0</v>
      </c>
      <c r="V114" s="9">
        <f>[18]운전시간외!F111</f>
        <v>0</v>
      </c>
      <c r="W114" s="11">
        <f>[18]생산!E111</f>
        <v>0</v>
      </c>
      <c r="X114" s="11">
        <f>[18]생산!F111</f>
        <v>0</v>
      </c>
      <c r="Y114" s="11">
        <f>[18]생산!G111</f>
        <v>0</v>
      </c>
      <c r="Z114" s="11">
        <f>[18]생산!H111</f>
        <v>0</v>
      </c>
      <c r="AA114" s="11">
        <f>[18]생산!I111</f>
        <v>0</v>
      </c>
      <c r="AB114" s="11">
        <f>[18]생산!J111</f>
        <v>0</v>
      </c>
      <c r="AC114" s="48">
        <f>ROUNDDOWN('[20]2025년'!G110/1000,1)</f>
        <v>0</v>
      </c>
    </row>
    <row r="115" spans="1:29">
      <c r="A115" s="6">
        <f t="shared" si="1"/>
        <v>45767</v>
      </c>
      <c r="B115" s="9">
        <v>5978</v>
      </c>
      <c r="C115" s="9">
        <v>234960</v>
      </c>
      <c r="D115" s="9">
        <v>229046</v>
      </c>
      <c r="E115" s="9">
        <v>14258</v>
      </c>
      <c r="F115" s="9">
        <v>12221</v>
      </c>
      <c r="G115" s="9">
        <v>3837.5</v>
      </c>
      <c r="H115" s="9">
        <v>13076</v>
      </c>
      <c r="I115" s="9">
        <v>266997</v>
      </c>
      <c r="J115" s="10">
        <v>30.83</v>
      </c>
      <c r="K115" s="10">
        <v>30.61</v>
      </c>
      <c r="L115" s="9">
        <f>'[18]key-in(DCO)'!AR113</f>
        <v>0</v>
      </c>
      <c r="M115" s="10">
        <f>[18]생산!AV112</f>
        <v>0</v>
      </c>
      <c r="N115" s="10">
        <f>[18]생산!AW112</f>
        <v>0</v>
      </c>
      <c r="O115" s="10">
        <f>[18]생산!AX112</f>
        <v>0</v>
      </c>
      <c r="P115" s="10">
        <f>[18]생산!AY112</f>
        <v>0</v>
      </c>
      <c r="Q115" s="10">
        <f>[19]생산!BE112</f>
        <v>0</v>
      </c>
      <c r="R115" s="10">
        <f>[18]생산!BA112</f>
        <v>0</v>
      </c>
      <c r="S115" s="9">
        <f>[18]운전시간외!C112</f>
        <v>0</v>
      </c>
      <c r="T115" s="9">
        <f>[18]운전시간외!D112</f>
        <v>0</v>
      </c>
      <c r="U115" s="9">
        <f>[18]운전시간외!E112</f>
        <v>0</v>
      </c>
      <c r="V115" s="9">
        <f>[18]운전시간외!F112</f>
        <v>0</v>
      </c>
      <c r="W115" s="11">
        <f>[18]생산!E112</f>
        <v>0</v>
      </c>
      <c r="X115" s="11">
        <f>[18]생산!F112</f>
        <v>0</v>
      </c>
      <c r="Y115" s="11">
        <f>[18]생산!G112</f>
        <v>0</v>
      </c>
      <c r="Z115" s="11">
        <f>[18]생산!H112</f>
        <v>0</v>
      </c>
      <c r="AA115" s="11">
        <f>[18]생산!I112</f>
        <v>0</v>
      </c>
      <c r="AB115" s="11">
        <f>[18]생산!J112</f>
        <v>0</v>
      </c>
      <c r="AC115" s="48">
        <f>ROUNDDOWN('[20]2025년'!G111/1000,1)</f>
        <v>0</v>
      </c>
    </row>
    <row r="116" spans="1:29">
      <c r="A116" s="6">
        <f t="shared" si="1"/>
        <v>45768</v>
      </c>
      <c r="B116" s="9">
        <v>5978</v>
      </c>
      <c r="C116" s="9">
        <v>234960</v>
      </c>
      <c r="D116" s="9">
        <v>229092</v>
      </c>
      <c r="E116" s="9">
        <v>14263</v>
      </c>
      <c r="F116" s="9">
        <v>12241</v>
      </c>
      <c r="G116" s="9">
        <v>3838.5</v>
      </c>
      <c r="H116" s="9">
        <v>13160</v>
      </c>
      <c r="I116" s="9">
        <v>267100</v>
      </c>
      <c r="J116" s="10">
        <v>30.72</v>
      </c>
      <c r="K116" s="10">
        <v>30.39</v>
      </c>
      <c r="L116" s="9">
        <f>'[18]key-in(DCO)'!AR114</f>
        <v>0</v>
      </c>
      <c r="M116" s="10">
        <f>[18]생산!AV113</f>
        <v>57879.9</v>
      </c>
      <c r="N116" s="10">
        <f>[18]생산!AW113</f>
        <v>0</v>
      </c>
      <c r="O116" s="10">
        <f>[18]생산!AX113</f>
        <v>0</v>
      </c>
      <c r="P116" s="10">
        <f>[18]생산!AY113</f>
        <v>0</v>
      </c>
      <c r="Q116" s="10">
        <f>[19]생산!BE113</f>
        <v>0</v>
      </c>
      <c r="R116" s="10">
        <f>[18]생산!BA113</f>
        <v>0</v>
      </c>
      <c r="S116" s="9">
        <f>[18]운전시간외!C113</f>
        <v>14</v>
      </c>
      <c r="T116" s="9">
        <f>[18]운전시간외!D113</f>
        <v>0</v>
      </c>
      <c r="U116" s="9">
        <f>[18]운전시간외!E113</f>
        <v>0</v>
      </c>
      <c r="V116" s="9">
        <f>[18]운전시간외!F113</f>
        <v>0</v>
      </c>
      <c r="W116" s="11">
        <f>[18]생산!E113</f>
        <v>362</v>
      </c>
      <c r="X116" s="11">
        <f>[18]생산!F113</f>
        <v>0</v>
      </c>
      <c r="Y116" s="11">
        <f>[18]생산!G113</f>
        <v>0</v>
      </c>
      <c r="Z116" s="11">
        <f>[18]생산!H113</f>
        <v>0</v>
      </c>
      <c r="AA116" s="11">
        <f>[18]생산!I113</f>
        <v>0</v>
      </c>
      <c r="AB116" s="11">
        <f>[18]생산!J113</f>
        <v>362</v>
      </c>
      <c r="AC116" s="48">
        <f>ROUNDDOWN('[20]2025년'!G112/1000,1)</f>
        <v>22.4</v>
      </c>
    </row>
    <row r="117" spans="1:29">
      <c r="A117" s="6">
        <f t="shared" si="1"/>
        <v>45769</v>
      </c>
      <c r="B117" s="9">
        <v>5978</v>
      </c>
      <c r="C117" s="9">
        <v>234960</v>
      </c>
      <c r="D117" s="9">
        <v>229123</v>
      </c>
      <c r="E117" s="9">
        <v>14269</v>
      </c>
      <c r="F117" s="9">
        <v>12252</v>
      </c>
      <c r="G117" s="9">
        <v>3839.3</v>
      </c>
      <c r="H117" s="9">
        <v>13269</v>
      </c>
      <c r="I117" s="9">
        <v>267168</v>
      </c>
      <c r="J117" s="10">
        <v>30.82</v>
      </c>
      <c r="K117" s="10">
        <v>30.3</v>
      </c>
      <c r="L117" s="9">
        <f>'[18]key-in(DCO)'!AR115</f>
        <v>0</v>
      </c>
      <c r="M117" s="10">
        <f>[18]생산!AV114</f>
        <v>0</v>
      </c>
      <c r="N117" s="10">
        <f>[18]생산!AW114</f>
        <v>0</v>
      </c>
      <c r="O117" s="10">
        <f>[18]생산!AX114</f>
        <v>0</v>
      </c>
      <c r="P117" s="10">
        <f>[18]생산!AY114</f>
        <v>0</v>
      </c>
      <c r="Q117" s="10">
        <f>[19]생산!BE114</f>
        <v>0</v>
      </c>
      <c r="R117" s="10">
        <f>[18]생산!BA114</f>
        <v>0</v>
      </c>
      <c r="S117" s="9">
        <f>[18]운전시간외!C114</f>
        <v>0</v>
      </c>
      <c r="T117" s="9">
        <f>[18]운전시간외!D114</f>
        <v>0</v>
      </c>
      <c r="U117" s="9">
        <f>[18]운전시간외!E114</f>
        <v>0</v>
      </c>
      <c r="V117" s="9">
        <f>[18]운전시간외!F114</f>
        <v>0</v>
      </c>
      <c r="W117" s="11">
        <f>[18]생산!E114</f>
        <v>0</v>
      </c>
      <c r="X117" s="11">
        <f>[18]생산!F114</f>
        <v>0</v>
      </c>
      <c r="Y117" s="11">
        <f>[18]생산!G114</f>
        <v>0</v>
      </c>
      <c r="Z117" s="11">
        <f>[18]생산!H114</f>
        <v>0</v>
      </c>
      <c r="AA117" s="11">
        <f>[18]생산!I114</f>
        <v>0</v>
      </c>
      <c r="AB117" s="11">
        <f>[18]생산!J114</f>
        <v>0</v>
      </c>
      <c r="AC117" s="48">
        <f>ROUNDDOWN('[20]2025년'!G113/1000,1)</f>
        <v>0</v>
      </c>
    </row>
    <row r="118" spans="1:29">
      <c r="A118" s="6">
        <f t="shared" si="1"/>
        <v>45770</v>
      </c>
      <c r="B118" s="9">
        <v>5995</v>
      </c>
      <c r="C118" s="9">
        <v>234960</v>
      </c>
      <c r="D118" s="9">
        <v>229204</v>
      </c>
      <c r="E118" s="9">
        <v>14274</v>
      </c>
      <c r="F118" s="9">
        <v>12264</v>
      </c>
      <c r="G118" s="9">
        <v>3839.9</v>
      </c>
      <c r="H118" s="9">
        <v>13298</v>
      </c>
      <c r="I118" s="9">
        <v>267272</v>
      </c>
      <c r="J118" s="10">
        <v>30.76</v>
      </c>
      <c r="K118" s="10">
        <v>30.35</v>
      </c>
      <c r="L118" s="9">
        <f>'[18]key-in(DCO)'!AR116</f>
        <v>0</v>
      </c>
      <c r="M118" s="10">
        <f>[18]생산!AV115</f>
        <v>0</v>
      </c>
      <c r="N118" s="10">
        <f>[18]생산!AW115</f>
        <v>0</v>
      </c>
      <c r="O118" s="10">
        <f>[18]생산!AX115</f>
        <v>0</v>
      </c>
      <c r="P118" s="10">
        <f>[18]생산!AY115</f>
        <v>0</v>
      </c>
      <c r="Q118" s="10">
        <f>[19]생산!BE115</f>
        <v>0</v>
      </c>
      <c r="R118" s="10">
        <f>[18]생산!BA115</f>
        <v>0</v>
      </c>
      <c r="S118" s="9">
        <f>[18]운전시간외!C115</f>
        <v>0</v>
      </c>
      <c r="T118" s="9">
        <f>[18]운전시간외!D115</f>
        <v>0</v>
      </c>
      <c r="U118" s="9">
        <f>[18]운전시간외!E115</f>
        <v>0</v>
      </c>
      <c r="V118" s="9">
        <f>[18]운전시간외!F115</f>
        <v>0</v>
      </c>
      <c r="W118" s="11">
        <f>[18]생산!E115</f>
        <v>0</v>
      </c>
      <c r="X118" s="11">
        <f>[18]생산!F115</f>
        <v>0</v>
      </c>
      <c r="Y118" s="11">
        <f>[18]생산!G115</f>
        <v>0</v>
      </c>
      <c r="Z118" s="11">
        <f>[18]생산!H115</f>
        <v>0</v>
      </c>
      <c r="AA118" s="11">
        <f>[18]생산!I115</f>
        <v>0</v>
      </c>
      <c r="AB118" s="11">
        <f>[18]생산!J115</f>
        <v>0</v>
      </c>
      <c r="AC118" s="48">
        <f>ROUNDDOWN('[20]2025년'!G114/1000,1)</f>
        <v>0</v>
      </c>
    </row>
    <row r="119" spans="1:29">
      <c r="A119" s="6">
        <f t="shared" si="1"/>
        <v>45771</v>
      </c>
      <c r="B119" s="9">
        <v>6032</v>
      </c>
      <c r="C119" s="9">
        <v>235090</v>
      </c>
      <c r="D119" s="9">
        <v>229239</v>
      </c>
      <c r="E119" s="9">
        <v>14279</v>
      </c>
      <c r="F119" s="9">
        <v>12275</v>
      </c>
      <c r="G119" s="9">
        <v>3840</v>
      </c>
      <c r="H119" s="9">
        <v>13349</v>
      </c>
      <c r="I119" s="9">
        <v>267518</v>
      </c>
      <c r="J119" s="10">
        <v>30.59</v>
      </c>
      <c r="K119" s="10">
        <v>30.41</v>
      </c>
      <c r="L119" s="9">
        <f>'[18]key-in(DCO)'!AR117</f>
        <v>0</v>
      </c>
      <c r="M119" s="10">
        <f>[18]생산!AV116</f>
        <v>0</v>
      </c>
      <c r="N119" s="10">
        <f>[18]생산!AW116</f>
        <v>0</v>
      </c>
      <c r="O119" s="10">
        <f>[18]생산!AX116</f>
        <v>0</v>
      </c>
      <c r="P119" s="10">
        <f>[18]생산!AY116</f>
        <v>0</v>
      </c>
      <c r="Q119" s="10">
        <f>[19]생산!BE116</f>
        <v>0</v>
      </c>
      <c r="R119" s="10">
        <f>[18]생산!BA116</f>
        <v>0</v>
      </c>
      <c r="S119" s="9">
        <f>[18]운전시간외!C116</f>
        <v>0</v>
      </c>
      <c r="T119" s="9">
        <f>[18]운전시간외!D116</f>
        <v>0</v>
      </c>
      <c r="U119" s="9">
        <f>[18]운전시간외!E116</f>
        <v>0</v>
      </c>
      <c r="V119" s="9">
        <f>[18]운전시간외!F116</f>
        <v>0</v>
      </c>
      <c r="W119" s="11">
        <f>[18]생산!E116</f>
        <v>0</v>
      </c>
      <c r="X119" s="11">
        <f>[18]생산!F116</f>
        <v>0</v>
      </c>
      <c r="Y119" s="11">
        <f>[18]생산!G116</f>
        <v>0</v>
      </c>
      <c r="Z119" s="11">
        <f>[18]생산!H116</f>
        <v>0</v>
      </c>
      <c r="AA119" s="11">
        <f>[18]생산!I116</f>
        <v>0</v>
      </c>
      <c r="AB119" s="11">
        <f>[18]생산!J116</f>
        <v>0</v>
      </c>
      <c r="AC119" s="48">
        <f>ROUNDDOWN('[20]2025년'!G115/1000,1)</f>
        <v>0</v>
      </c>
    </row>
    <row r="120" spans="1:29">
      <c r="A120" s="6">
        <f t="shared" si="1"/>
        <v>45772</v>
      </c>
      <c r="B120" s="9">
        <v>6066</v>
      </c>
      <c r="C120" s="9">
        <v>235173</v>
      </c>
      <c r="D120" s="9">
        <v>229322</v>
      </c>
      <c r="E120" s="9">
        <v>14285</v>
      </c>
      <c r="F120" s="9">
        <v>12299</v>
      </c>
      <c r="G120" s="9">
        <v>3841.5</v>
      </c>
      <c r="H120" s="9">
        <v>13399</v>
      </c>
      <c r="I120" s="9">
        <v>267771</v>
      </c>
      <c r="J120" s="10">
        <v>30.8</v>
      </c>
      <c r="K120" s="10">
        <v>30.54</v>
      </c>
      <c r="L120" s="9">
        <f>'[18]key-in(DCO)'!AR118</f>
        <v>0</v>
      </c>
      <c r="M120" s="10">
        <f>[18]생산!AV117</f>
        <v>84523.6</v>
      </c>
      <c r="N120" s="10">
        <f>[18]생산!AW117</f>
        <v>0</v>
      </c>
      <c r="O120" s="10">
        <f>[18]생산!AX117</f>
        <v>0</v>
      </c>
      <c r="P120" s="10">
        <f>[18]생산!AY117</f>
        <v>0</v>
      </c>
      <c r="Q120" s="10">
        <f>[19]생산!BE117</f>
        <v>0</v>
      </c>
      <c r="R120" s="10">
        <f>[18]생산!BA117</f>
        <v>0</v>
      </c>
      <c r="S120" s="9">
        <f>[18]운전시간외!C117</f>
        <v>16</v>
      </c>
      <c r="T120" s="9">
        <f>[18]운전시간외!D117</f>
        <v>0</v>
      </c>
      <c r="U120" s="9">
        <f>[18]운전시간외!E117</f>
        <v>0</v>
      </c>
      <c r="V120" s="9">
        <f>[18]운전시간외!F117</f>
        <v>0</v>
      </c>
      <c r="W120" s="11">
        <f>[18]생산!E117</f>
        <v>521</v>
      </c>
      <c r="X120" s="11">
        <f>[18]생산!F117</f>
        <v>0</v>
      </c>
      <c r="Y120" s="11">
        <f>[18]생산!G117</f>
        <v>0</v>
      </c>
      <c r="Z120" s="11">
        <f>[18]생산!H117</f>
        <v>0</v>
      </c>
      <c r="AA120" s="11">
        <f>[18]생산!I117</f>
        <v>0</v>
      </c>
      <c r="AB120" s="11">
        <f>[18]생산!J117</f>
        <v>521</v>
      </c>
      <c r="AC120" s="48">
        <f>ROUNDDOWN('[20]2025년'!G116/1000,1)</f>
        <v>23.4</v>
      </c>
    </row>
    <row r="121" spans="1:29">
      <c r="A121" s="6">
        <f t="shared" si="1"/>
        <v>45773</v>
      </c>
      <c r="B121" s="9">
        <v>6099</v>
      </c>
      <c r="C121" s="9">
        <v>235255</v>
      </c>
      <c r="D121" s="9">
        <v>229365</v>
      </c>
      <c r="E121" s="9">
        <v>14287</v>
      </c>
      <c r="F121" s="9">
        <v>12310</v>
      </c>
      <c r="G121" s="9">
        <v>3842</v>
      </c>
      <c r="H121" s="9">
        <v>13460</v>
      </c>
      <c r="I121" s="9">
        <v>267923</v>
      </c>
      <c r="J121" s="10">
        <v>31.04</v>
      </c>
      <c r="K121" s="10">
        <v>30.62</v>
      </c>
      <c r="L121" s="9">
        <f>'[18]key-in(DCO)'!AR119</f>
        <v>0</v>
      </c>
      <c r="M121" s="10">
        <f>[18]생산!AV118</f>
        <v>0</v>
      </c>
      <c r="N121" s="10">
        <f>[18]생산!AW118</f>
        <v>0</v>
      </c>
      <c r="O121" s="10">
        <f>[18]생산!AX118</f>
        <v>0</v>
      </c>
      <c r="P121" s="10">
        <f>[18]생산!AY118</f>
        <v>0</v>
      </c>
      <c r="Q121" s="10">
        <f>[19]생산!BE118</f>
        <v>0</v>
      </c>
      <c r="R121" s="10">
        <f>[18]생산!BA118</f>
        <v>0</v>
      </c>
      <c r="S121" s="9">
        <f>[18]운전시간외!C118</f>
        <v>0</v>
      </c>
      <c r="T121" s="9">
        <f>[18]운전시간외!D118</f>
        <v>0</v>
      </c>
      <c r="U121" s="9">
        <f>[18]운전시간외!E118</f>
        <v>0</v>
      </c>
      <c r="V121" s="9">
        <f>[18]운전시간외!F118</f>
        <v>0</v>
      </c>
      <c r="W121" s="11">
        <f>[18]생산!E118</f>
        <v>0</v>
      </c>
      <c r="X121" s="11">
        <f>[18]생산!F118</f>
        <v>0</v>
      </c>
      <c r="Y121" s="11">
        <f>[18]생산!G118</f>
        <v>0</v>
      </c>
      <c r="Z121" s="11">
        <f>[18]생산!H118</f>
        <v>0</v>
      </c>
      <c r="AA121" s="11">
        <f>[18]생산!I118</f>
        <v>0</v>
      </c>
      <c r="AB121" s="11">
        <f>[18]생산!J118</f>
        <v>0</v>
      </c>
      <c r="AC121" s="48">
        <f>ROUNDDOWN('[20]2025년'!G117/1000,1)</f>
        <v>0</v>
      </c>
    </row>
    <row r="122" spans="1:29">
      <c r="A122" s="6">
        <f t="shared" si="1"/>
        <v>45774</v>
      </c>
      <c r="B122" s="9">
        <v>6131</v>
      </c>
      <c r="C122" s="9">
        <v>235255</v>
      </c>
      <c r="D122" s="9">
        <v>229470</v>
      </c>
      <c r="E122" s="9">
        <v>14290</v>
      </c>
      <c r="F122" s="9">
        <v>12322</v>
      </c>
      <c r="G122" s="9">
        <v>3842.7</v>
      </c>
      <c r="H122" s="9">
        <v>13507</v>
      </c>
      <c r="I122" s="9">
        <v>268072</v>
      </c>
      <c r="J122" s="10">
        <v>30.97</v>
      </c>
      <c r="K122" s="10">
        <v>30.69</v>
      </c>
      <c r="L122" s="9">
        <f>'[18]key-in(DCO)'!AR120</f>
        <v>0</v>
      </c>
      <c r="M122" s="10">
        <f>[18]생산!AV119</f>
        <v>0</v>
      </c>
      <c r="N122" s="10">
        <f>[18]생산!AW119</f>
        <v>0</v>
      </c>
      <c r="O122" s="10">
        <f>[18]생산!AX119</f>
        <v>0</v>
      </c>
      <c r="P122" s="10">
        <f>[18]생산!AY119</f>
        <v>0</v>
      </c>
      <c r="Q122" s="10">
        <f>[19]생산!BE119</f>
        <v>0</v>
      </c>
      <c r="R122" s="10">
        <f>[18]생산!BA119</f>
        <v>0</v>
      </c>
      <c r="S122" s="9">
        <f>[18]운전시간외!C119</f>
        <v>0</v>
      </c>
      <c r="T122" s="9">
        <f>[18]운전시간외!D119</f>
        <v>0</v>
      </c>
      <c r="U122" s="9">
        <f>[18]운전시간외!E119</f>
        <v>0</v>
      </c>
      <c r="V122" s="9">
        <f>[18]운전시간외!F119</f>
        <v>0</v>
      </c>
      <c r="W122" s="11">
        <f>[18]생산!E119</f>
        <v>0</v>
      </c>
      <c r="X122" s="11">
        <f>[18]생산!F119</f>
        <v>0</v>
      </c>
      <c r="Y122" s="11">
        <f>[18]생산!G119</f>
        <v>0</v>
      </c>
      <c r="Z122" s="11">
        <f>[18]생산!H119</f>
        <v>0</v>
      </c>
      <c r="AA122" s="11">
        <f>[18]생산!I119</f>
        <v>0</v>
      </c>
      <c r="AB122" s="11">
        <f>[18]생산!J119</f>
        <v>0</v>
      </c>
      <c r="AC122" s="48">
        <f>ROUNDDOWN('[20]2025년'!G118/1000,1)</f>
        <v>0</v>
      </c>
    </row>
    <row r="123" spans="1:29">
      <c r="A123" s="6">
        <f t="shared" si="1"/>
        <v>45775</v>
      </c>
      <c r="B123" s="9">
        <v>6131</v>
      </c>
      <c r="C123" s="9">
        <v>235255</v>
      </c>
      <c r="D123" s="9">
        <v>229524</v>
      </c>
      <c r="E123" s="9">
        <v>14296</v>
      </c>
      <c r="F123" s="9">
        <v>12342</v>
      </c>
      <c r="G123" s="9">
        <v>3843.3</v>
      </c>
      <c r="H123" s="9">
        <v>13571</v>
      </c>
      <c r="I123" s="9">
        <v>268195</v>
      </c>
      <c r="J123" s="10">
        <v>30.95</v>
      </c>
      <c r="K123" s="10">
        <v>30.6</v>
      </c>
      <c r="L123" s="9">
        <f>'[18]key-in(DCO)'!AR121</f>
        <v>0</v>
      </c>
      <c r="M123" s="10">
        <f>[18]생산!AV120</f>
        <v>56089</v>
      </c>
      <c r="N123" s="10">
        <f>[18]생산!AW120</f>
        <v>0</v>
      </c>
      <c r="O123" s="10">
        <f>[18]생산!AX120</f>
        <v>0</v>
      </c>
      <c r="P123" s="10">
        <f>[18]생산!AY120</f>
        <v>0</v>
      </c>
      <c r="Q123" s="10">
        <f>[19]생산!BE120</f>
        <v>0</v>
      </c>
      <c r="R123" s="10">
        <f>[18]생산!BA120</f>
        <v>0</v>
      </c>
      <c r="S123" s="9">
        <f>[18]운전시간외!C120</f>
        <v>11</v>
      </c>
      <c r="T123" s="9">
        <f>[18]운전시간외!D120</f>
        <v>0</v>
      </c>
      <c r="U123" s="9">
        <f>[18]운전시간외!E120</f>
        <v>0</v>
      </c>
      <c r="V123" s="9">
        <f>[18]운전시간외!F120</f>
        <v>0</v>
      </c>
      <c r="W123" s="11">
        <f>[18]생산!E120</f>
        <v>348</v>
      </c>
      <c r="X123" s="11">
        <f>[18]생산!F120</f>
        <v>0</v>
      </c>
      <c r="Y123" s="11">
        <f>[18]생산!G120</f>
        <v>0</v>
      </c>
      <c r="Z123" s="11">
        <f>[18]생산!H120</f>
        <v>0</v>
      </c>
      <c r="AA123" s="11">
        <f>[18]생산!I120</f>
        <v>0</v>
      </c>
      <c r="AB123" s="11">
        <f>[18]생산!J120</f>
        <v>348</v>
      </c>
      <c r="AC123" s="48">
        <f>ROUNDDOWN('[20]2025년'!G119/1000,1)</f>
        <v>22.2</v>
      </c>
    </row>
    <row r="124" spans="1:29">
      <c r="A124" s="6">
        <f t="shared" si="1"/>
        <v>45776</v>
      </c>
      <c r="B124" s="9">
        <v>6160</v>
      </c>
      <c r="C124" s="9">
        <v>235296</v>
      </c>
      <c r="D124" s="9">
        <v>229648</v>
      </c>
      <c r="E124" s="9">
        <v>14300</v>
      </c>
      <c r="F124" s="9">
        <v>12357</v>
      </c>
      <c r="G124" s="9">
        <v>3843.9</v>
      </c>
      <c r="H124" s="9">
        <v>13625</v>
      </c>
      <c r="I124" s="9">
        <v>268460</v>
      </c>
      <c r="J124" s="10">
        <v>31.01</v>
      </c>
      <c r="K124" s="10">
        <v>30.65</v>
      </c>
      <c r="L124" s="9">
        <f>'[18]key-in(DCO)'!AR122</f>
        <v>0</v>
      </c>
      <c r="M124" s="10">
        <f>[18]생산!AV121</f>
        <v>0</v>
      </c>
      <c r="N124" s="10">
        <f>[18]생산!AW121</f>
        <v>0</v>
      </c>
      <c r="O124" s="10">
        <f>[18]생산!AX121</f>
        <v>0</v>
      </c>
      <c r="P124" s="10">
        <f>[18]생산!AY121</f>
        <v>0</v>
      </c>
      <c r="Q124" s="10">
        <f>[19]생산!BE121</f>
        <v>0</v>
      </c>
      <c r="R124" s="10">
        <f>[18]생산!BA121</f>
        <v>0</v>
      </c>
      <c r="S124" s="9">
        <f>[18]운전시간외!C121</f>
        <v>0</v>
      </c>
      <c r="T124" s="9">
        <f>[18]운전시간외!D121</f>
        <v>0</v>
      </c>
      <c r="U124" s="9">
        <f>[18]운전시간외!E121</f>
        <v>0</v>
      </c>
      <c r="V124" s="9">
        <f>[18]운전시간외!F121</f>
        <v>0</v>
      </c>
      <c r="W124" s="11">
        <f>[18]생산!E121</f>
        <v>0</v>
      </c>
      <c r="X124" s="11">
        <f>[18]생산!F121</f>
        <v>0</v>
      </c>
      <c r="Y124" s="11">
        <f>[18]생산!G121</f>
        <v>0</v>
      </c>
      <c r="Z124" s="11">
        <f>[18]생산!H121</f>
        <v>0</v>
      </c>
      <c r="AA124" s="11">
        <f>[18]생산!I121</f>
        <v>0</v>
      </c>
      <c r="AB124" s="11">
        <f>[18]생산!J121</f>
        <v>0</v>
      </c>
      <c r="AC124" s="48">
        <f>ROUNDDOWN('[20]2025년'!G120/1000,1)</f>
        <v>0</v>
      </c>
    </row>
    <row r="125" spans="1:29">
      <c r="A125" s="6">
        <f t="shared" si="1"/>
        <v>45777</v>
      </c>
      <c r="B125" s="9">
        <v>6199</v>
      </c>
      <c r="C125" s="9">
        <v>235403</v>
      </c>
      <c r="D125" s="9">
        <v>229727</v>
      </c>
      <c r="E125" s="9">
        <v>14306</v>
      </c>
      <c r="F125" s="9">
        <v>12393</v>
      </c>
      <c r="G125" s="9">
        <v>3844.9</v>
      </c>
      <c r="H125" s="9">
        <v>13747</v>
      </c>
      <c r="I125" s="9">
        <v>268748</v>
      </c>
      <c r="J125" s="10">
        <v>31.37</v>
      </c>
      <c r="K125" s="10">
        <v>30.78</v>
      </c>
      <c r="L125" s="9">
        <f>'[18]key-in(DCO)'!AR123</f>
        <v>0</v>
      </c>
      <c r="M125" s="10">
        <f>[18]생산!AV122</f>
        <v>137634.79999999999</v>
      </c>
      <c r="N125" s="10">
        <f>[18]생산!AW122</f>
        <v>0</v>
      </c>
      <c r="O125" s="10">
        <f>[18]생산!AX122</f>
        <v>0</v>
      </c>
      <c r="P125" s="10">
        <f>[18]생산!AY122</f>
        <v>0</v>
      </c>
      <c r="Q125" s="10">
        <f>[19]생산!BE122</f>
        <v>0</v>
      </c>
      <c r="R125" s="10">
        <f>[18]생산!BA122</f>
        <v>0</v>
      </c>
      <c r="S125" s="9">
        <f>[18]운전시간외!C122</f>
        <v>20</v>
      </c>
      <c r="T125" s="9">
        <f>[18]운전시간외!D122</f>
        <v>0</v>
      </c>
      <c r="U125" s="9">
        <f>[18]운전시간외!E122</f>
        <v>0</v>
      </c>
      <c r="V125" s="9">
        <f>[18]운전시간외!F122</f>
        <v>0</v>
      </c>
      <c r="W125" s="11">
        <f>[18]생산!E122</f>
        <v>878</v>
      </c>
      <c r="X125" s="11">
        <f>[18]생산!F122</f>
        <v>0</v>
      </c>
      <c r="Y125" s="11">
        <f>[18]생산!G122</f>
        <v>0</v>
      </c>
      <c r="Z125" s="11">
        <f>[18]생산!H122</f>
        <v>0</v>
      </c>
      <c r="AA125" s="11">
        <f>[18]생산!I122</f>
        <v>0</v>
      </c>
      <c r="AB125" s="11">
        <f>[18]생산!J122</f>
        <v>878</v>
      </c>
      <c r="AC125" s="48">
        <f>ROUNDDOWN('[20]2025년'!G121/1000,1)</f>
        <v>41.6</v>
      </c>
    </row>
    <row r="126" spans="1:29">
      <c r="A126" s="6">
        <f t="shared" si="1"/>
        <v>45778</v>
      </c>
      <c r="B126" s="9">
        <v>6230</v>
      </c>
      <c r="C126" s="9">
        <v>235458</v>
      </c>
      <c r="D126" s="9">
        <v>229795</v>
      </c>
      <c r="E126" s="9">
        <v>14308</v>
      </c>
      <c r="F126" s="9">
        <v>12401</v>
      </c>
      <c r="G126" s="9">
        <v>3845</v>
      </c>
      <c r="H126" s="9">
        <v>13802</v>
      </c>
      <c r="I126" s="9">
        <v>268897</v>
      </c>
      <c r="J126" s="10">
        <v>31.27</v>
      </c>
      <c r="K126" s="10">
        <v>30.82</v>
      </c>
      <c r="L126" s="9">
        <f>'[18]key-in(DCO)'!AR124</f>
        <v>0</v>
      </c>
      <c r="M126" s="10">
        <f>[18]생산!AV123</f>
        <v>0</v>
      </c>
      <c r="N126" s="10">
        <f>[18]생산!AW123</f>
        <v>0</v>
      </c>
      <c r="O126" s="10">
        <f>[18]생산!AX123</f>
        <v>0</v>
      </c>
      <c r="P126" s="10">
        <f>[18]생산!AY123</f>
        <v>0</v>
      </c>
      <c r="Q126" s="10">
        <f>[19]생산!BE123</f>
        <v>0</v>
      </c>
      <c r="R126" s="10">
        <f>[18]생산!BA123</f>
        <v>0</v>
      </c>
      <c r="S126" s="9">
        <f>[18]운전시간외!C123</f>
        <v>0</v>
      </c>
      <c r="T126" s="9">
        <f>[18]운전시간외!D123</f>
        <v>0</v>
      </c>
      <c r="U126" s="9">
        <f>[18]운전시간외!E123</f>
        <v>0</v>
      </c>
      <c r="V126" s="9">
        <f>[18]운전시간외!F123</f>
        <v>0</v>
      </c>
      <c r="W126" s="11">
        <f>[18]생산!E123</f>
        <v>0</v>
      </c>
      <c r="X126" s="11">
        <f>[18]생산!F123</f>
        <v>0</v>
      </c>
      <c r="Y126" s="11">
        <f>[18]생산!G123</f>
        <v>0</v>
      </c>
      <c r="Z126" s="11">
        <f>[18]생산!H123</f>
        <v>0</v>
      </c>
      <c r="AA126" s="11">
        <f>[18]생산!I123</f>
        <v>0</v>
      </c>
      <c r="AB126" s="11">
        <f>[18]생산!J123</f>
        <v>0</v>
      </c>
      <c r="AC126" s="48">
        <f>ROUNDDOWN('[20]2025년'!G122/1000,1)</f>
        <v>0</v>
      </c>
    </row>
    <row r="127" spans="1:29">
      <c r="A127" s="6">
        <f t="shared" si="1"/>
        <v>45779</v>
      </c>
      <c r="B127" s="9">
        <v>6255</v>
      </c>
      <c r="C127" s="9">
        <v>235578</v>
      </c>
      <c r="D127" s="9">
        <v>229801</v>
      </c>
      <c r="E127" s="9">
        <v>14310</v>
      </c>
      <c r="F127" s="9">
        <v>12417</v>
      </c>
      <c r="G127" s="9">
        <v>3846</v>
      </c>
      <c r="H127" s="9">
        <v>13864</v>
      </c>
      <c r="I127" s="9">
        <v>269093</v>
      </c>
      <c r="J127" s="10">
        <v>31.18</v>
      </c>
      <c r="K127" s="10">
        <v>30.95</v>
      </c>
      <c r="L127" s="9">
        <f>'[18]key-in(DCO)'!AR125</f>
        <v>0</v>
      </c>
      <c r="M127" s="10">
        <f>[18]생산!AV124</f>
        <v>23220.799999999999</v>
      </c>
      <c r="N127" s="10">
        <f>[18]생산!AW124</f>
        <v>0</v>
      </c>
      <c r="O127" s="10">
        <f>[18]생산!AX124</f>
        <v>0</v>
      </c>
      <c r="P127" s="10">
        <f>[18]생산!AY124</f>
        <v>0</v>
      </c>
      <c r="Q127" s="10">
        <f>[19]생산!BE124</f>
        <v>0</v>
      </c>
      <c r="R127" s="10">
        <f>[18]생산!BA124</f>
        <v>0</v>
      </c>
      <c r="S127" s="9">
        <f>[18]운전시간외!C124</f>
        <v>11</v>
      </c>
      <c r="T127" s="9">
        <f>[18]운전시간외!D124</f>
        <v>0</v>
      </c>
      <c r="U127" s="9">
        <f>[18]운전시간외!E124</f>
        <v>0</v>
      </c>
      <c r="V127" s="9">
        <f>[18]운전시간외!F124</f>
        <v>0</v>
      </c>
      <c r="W127" s="11">
        <f>[18]생산!E124</f>
        <v>147</v>
      </c>
      <c r="X127" s="11">
        <f>[18]생산!F124</f>
        <v>0</v>
      </c>
      <c r="Y127" s="11">
        <f>[18]생산!G124</f>
        <v>0</v>
      </c>
      <c r="Z127" s="11">
        <f>[18]생산!H124</f>
        <v>0</v>
      </c>
      <c r="AA127" s="11">
        <f>[18]생산!I124</f>
        <v>0</v>
      </c>
      <c r="AB127" s="11">
        <f>[18]생산!J124</f>
        <v>147</v>
      </c>
      <c r="AC127" s="48">
        <f>ROUNDDOWN('[20]2025년'!G123/1000,1)</f>
        <v>4.7</v>
      </c>
    </row>
    <row r="128" spans="1:29">
      <c r="A128" s="6">
        <f t="shared" si="1"/>
        <v>45780</v>
      </c>
      <c r="B128" s="9">
        <v>6289</v>
      </c>
      <c r="C128" s="9">
        <v>235578</v>
      </c>
      <c r="D128" s="9">
        <v>229941</v>
      </c>
      <c r="E128" s="9">
        <v>14312</v>
      </c>
      <c r="F128" s="9">
        <v>12420</v>
      </c>
      <c r="G128" s="9">
        <v>3847</v>
      </c>
      <c r="H128" s="9">
        <v>13912</v>
      </c>
      <c r="I128" s="9">
        <v>269280</v>
      </c>
      <c r="J128" s="10">
        <v>31.38</v>
      </c>
      <c r="K128" s="10">
        <v>31.02</v>
      </c>
      <c r="L128" s="9">
        <f>'[18]key-in(DCO)'!AR126</f>
        <v>0</v>
      </c>
      <c r="M128" s="10">
        <f>[18]생산!AV125</f>
        <v>0</v>
      </c>
      <c r="N128" s="10">
        <f>[18]생산!AW125</f>
        <v>0</v>
      </c>
      <c r="O128" s="10">
        <f>[18]생산!AX125</f>
        <v>0</v>
      </c>
      <c r="P128" s="10">
        <f>[18]생산!AY125</f>
        <v>0</v>
      </c>
      <c r="Q128" s="10">
        <f>[19]생산!BE125</f>
        <v>0</v>
      </c>
      <c r="R128" s="10">
        <f>[18]생산!BA125</f>
        <v>0</v>
      </c>
      <c r="S128" s="9">
        <f>[18]운전시간외!C125</f>
        <v>0</v>
      </c>
      <c r="T128" s="9">
        <f>[18]운전시간외!D125</f>
        <v>0</v>
      </c>
      <c r="U128" s="9">
        <f>[18]운전시간외!E125</f>
        <v>0</v>
      </c>
      <c r="V128" s="9">
        <f>[18]운전시간외!F125</f>
        <v>0</v>
      </c>
      <c r="W128" s="11">
        <f>[18]생산!E125</f>
        <v>0</v>
      </c>
      <c r="X128" s="11">
        <f>[18]생산!F125</f>
        <v>0</v>
      </c>
      <c r="Y128" s="11">
        <f>[18]생산!G125</f>
        <v>0</v>
      </c>
      <c r="Z128" s="11">
        <f>[18]생산!H125</f>
        <v>0</v>
      </c>
      <c r="AA128" s="11">
        <f>[18]생산!I125</f>
        <v>0</v>
      </c>
      <c r="AB128" s="11">
        <f>[18]생산!J125</f>
        <v>0</v>
      </c>
      <c r="AC128" s="48">
        <f>ROUNDDOWN('[20]2025년'!G124/1000,1)</f>
        <v>0</v>
      </c>
    </row>
    <row r="129" spans="1:29">
      <c r="A129" s="6">
        <f t="shared" si="1"/>
        <v>45781</v>
      </c>
      <c r="B129" s="9">
        <v>6324</v>
      </c>
      <c r="C129" s="9">
        <v>235688</v>
      </c>
      <c r="D129" s="9">
        <v>229941</v>
      </c>
      <c r="E129" s="9">
        <v>14314</v>
      </c>
      <c r="F129" s="9">
        <v>12428</v>
      </c>
      <c r="G129" s="9">
        <v>3847</v>
      </c>
      <c r="H129" s="9">
        <v>13912</v>
      </c>
      <c r="I129" s="9">
        <v>269429</v>
      </c>
      <c r="J129" s="10">
        <v>31.48</v>
      </c>
      <c r="K129" s="10">
        <v>31.11</v>
      </c>
      <c r="L129" s="9">
        <f>'[18]key-in(DCO)'!AR127</f>
        <v>0</v>
      </c>
      <c r="M129" s="10">
        <f>[18]생산!AV126</f>
        <v>0</v>
      </c>
      <c r="N129" s="10">
        <f>[18]생산!AW126</f>
        <v>0</v>
      </c>
      <c r="O129" s="10">
        <f>[18]생산!AX126</f>
        <v>0</v>
      </c>
      <c r="P129" s="10">
        <f>[18]생산!AY126</f>
        <v>0</v>
      </c>
      <c r="Q129" s="10">
        <f>[19]생산!BE126</f>
        <v>0</v>
      </c>
      <c r="R129" s="10">
        <f>[18]생산!BA126</f>
        <v>0</v>
      </c>
      <c r="S129" s="9">
        <f>[18]운전시간외!C126</f>
        <v>0</v>
      </c>
      <c r="T129" s="9">
        <f>[18]운전시간외!D126</f>
        <v>0</v>
      </c>
      <c r="U129" s="9">
        <f>[18]운전시간외!E126</f>
        <v>0</v>
      </c>
      <c r="V129" s="9">
        <f>[18]운전시간외!F126</f>
        <v>0</v>
      </c>
      <c r="W129" s="11">
        <f>[18]생산!E126</f>
        <v>0</v>
      </c>
      <c r="X129" s="11">
        <f>[18]생산!F126</f>
        <v>0</v>
      </c>
      <c r="Y129" s="11">
        <f>[18]생산!G126</f>
        <v>0</v>
      </c>
      <c r="Z129" s="11">
        <f>[18]생산!H126</f>
        <v>0</v>
      </c>
      <c r="AA129" s="11">
        <f>[18]생산!I126</f>
        <v>0</v>
      </c>
      <c r="AB129" s="11">
        <f>[18]생산!J126</f>
        <v>0</v>
      </c>
      <c r="AC129" s="48">
        <f>ROUNDDOWN('[20]2025년'!G125/1000,1)</f>
        <v>0</v>
      </c>
    </row>
    <row r="130" spans="1:29">
      <c r="A130" s="6">
        <f t="shared" si="1"/>
        <v>45782</v>
      </c>
      <c r="B130" s="9">
        <v>6358</v>
      </c>
      <c r="C130" s="9">
        <v>235837</v>
      </c>
      <c r="D130" s="9">
        <v>229971</v>
      </c>
      <c r="E130" s="9">
        <v>14317</v>
      </c>
      <c r="F130" s="9">
        <v>12437</v>
      </c>
      <c r="G130" s="9">
        <v>3847</v>
      </c>
      <c r="H130" s="9">
        <v>14020</v>
      </c>
      <c r="I130" s="9">
        <v>269670</v>
      </c>
      <c r="J130" s="10">
        <v>31.62</v>
      </c>
      <c r="K130" s="10">
        <v>31.2</v>
      </c>
      <c r="L130" s="9">
        <f>'[18]key-in(DCO)'!AR128</f>
        <v>0</v>
      </c>
      <c r="M130" s="10">
        <f>[18]생산!AV127</f>
        <v>0</v>
      </c>
      <c r="N130" s="10">
        <f>[18]생산!AW127</f>
        <v>0</v>
      </c>
      <c r="O130" s="10">
        <f>[18]생산!AX127</f>
        <v>0</v>
      </c>
      <c r="P130" s="10">
        <f>[18]생산!AY127</f>
        <v>0</v>
      </c>
      <c r="Q130" s="10">
        <f>[19]생산!BE127</f>
        <v>0</v>
      </c>
      <c r="R130" s="10">
        <f>[18]생산!BA127</f>
        <v>0</v>
      </c>
      <c r="S130" s="9">
        <f>[18]운전시간외!C127</f>
        <v>0</v>
      </c>
      <c r="T130" s="9">
        <f>[18]운전시간외!D127</f>
        <v>0</v>
      </c>
      <c r="U130" s="9">
        <f>[18]운전시간외!E127</f>
        <v>0</v>
      </c>
      <c r="V130" s="9">
        <f>[18]운전시간외!F127</f>
        <v>0</v>
      </c>
      <c r="W130" s="11">
        <f>[18]생산!E127</f>
        <v>0</v>
      </c>
      <c r="X130" s="11">
        <f>[18]생산!F127</f>
        <v>0</v>
      </c>
      <c r="Y130" s="11">
        <f>[18]생산!G127</f>
        <v>0</v>
      </c>
      <c r="Z130" s="11">
        <f>[18]생산!H127</f>
        <v>0</v>
      </c>
      <c r="AA130" s="11">
        <f>[18]생산!I127</f>
        <v>0</v>
      </c>
      <c r="AB130" s="11">
        <f>[18]생산!J127</f>
        <v>0</v>
      </c>
      <c r="AC130" s="48">
        <f>ROUNDDOWN('[20]2025년'!G126/1000,1)</f>
        <v>0</v>
      </c>
    </row>
    <row r="131" spans="1:29">
      <c r="A131" s="6">
        <f t="shared" si="1"/>
        <v>45783</v>
      </c>
      <c r="B131" s="9">
        <v>6392</v>
      </c>
      <c r="C131" s="9">
        <v>235917</v>
      </c>
      <c r="D131" s="9">
        <v>230000</v>
      </c>
      <c r="E131" s="9">
        <v>14320</v>
      </c>
      <c r="F131" s="9">
        <v>12446</v>
      </c>
      <c r="G131" s="9">
        <v>3848</v>
      </c>
      <c r="H131" s="9">
        <v>14020</v>
      </c>
      <c r="I131" s="9">
        <v>269818</v>
      </c>
      <c r="J131" s="10">
        <v>31.57</v>
      </c>
      <c r="K131" s="10">
        <v>31.2</v>
      </c>
      <c r="L131" s="9">
        <f>'[18]key-in(DCO)'!AR129</f>
        <v>0</v>
      </c>
      <c r="M131" s="10">
        <f>[18]생산!AV128</f>
        <v>0</v>
      </c>
      <c r="N131" s="10">
        <f>[18]생산!AW128</f>
        <v>0</v>
      </c>
      <c r="O131" s="10">
        <f>[18]생산!AX128</f>
        <v>0</v>
      </c>
      <c r="P131" s="10">
        <f>[18]생산!AY128</f>
        <v>0</v>
      </c>
      <c r="Q131" s="10">
        <f>[19]생산!BE128</f>
        <v>0</v>
      </c>
      <c r="R131" s="10">
        <f>[18]생산!BA128</f>
        <v>0</v>
      </c>
      <c r="S131" s="9">
        <f>[18]운전시간외!C128</f>
        <v>0</v>
      </c>
      <c r="T131" s="9">
        <f>[18]운전시간외!D128</f>
        <v>0</v>
      </c>
      <c r="U131" s="9">
        <f>[18]운전시간외!E128</f>
        <v>0</v>
      </c>
      <c r="V131" s="9">
        <f>[18]운전시간외!F128</f>
        <v>0</v>
      </c>
      <c r="W131" s="11">
        <f>[18]생산!E128</f>
        <v>0</v>
      </c>
      <c r="X131" s="11">
        <f>[18]생산!F128</f>
        <v>0</v>
      </c>
      <c r="Y131" s="11">
        <f>[18]생산!G128</f>
        <v>0</v>
      </c>
      <c r="Z131" s="11">
        <f>[18]생산!H128</f>
        <v>0</v>
      </c>
      <c r="AA131" s="11">
        <f>[18]생산!I128</f>
        <v>0</v>
      </c>
      <c r="AB131" s="11">
        <f>[18]생산!J128</f>
        <v>0</v>
      </c>
      <c r="AC131" s="48">
        <f>ROUNDDOWN('[20]2025년'!G127/1000,1)</f>
        <v>0</v>
      </c>
    </row>
    <row r="132" spans="1:29">
      <c r="A132" s="6">
        <f t="shared" si="1"/>
        <v>45784</v>
      </c>
      <c r="B132" s="9">
        <v>6423</v>
      </c>
      <c r="C132" s="9">
        <v>235917</v>
      </c>
      <c r="D132" s="9">
        <v>230141</v>
      </c>
      <c r="E132" s="9">
        <v>14324</v>
      </c>
      <c r="F132" s="9">
        <v>12467</v>
      </c>
      <c r="G132" s="9">
        <v>3848</v>
      </c>
      <c r="H132" s="9">
        <v>14109</v>
      </c>
      <c r="I132" s="9">
        <v>270024</v>
      </c>
      <c r="J132" s="10">
        <v>31.81</v>
      </c>
      <c r="K132" s="10">
        <v>31.26</v>
      </c>
      <c r="L132" s="9">
        <f>'[18]key-in(DCO)'!AR130</f>
        <v>0</v>
      </c>
      <c r="M132" s="10">
        <f>[18]생산!AV129</f>
        <v>118660.10000000149</v>
      </c>
      <c r="N132" s="10">
        <f>[18]생산!AW129</f>
        <v>0</v>
      </c>
      <c r="O132" s="10">
        <f>[18]생산!AX129</f>
        <v>0</v>
      </c>
      <c r="P132" s="10">
        <f>[18]생산!AY129</f>
        <v>0</v>
      </c>
      <c r="Q132" s="10">
        <f>[19]생산!BE129</f>
        <v>0</v>
      </c>
      <c r="R132" s="10">
        <f>[18]생산!BA129</f>
        <v>0</v>
      </c>
      <c r="S132" s="9">
        <f>[18]운전시간외!C129</f>
        <v>20</v>
      </c>
      <c r="T132" s="9">
        <f>[18]운전시간외!D129</f>
        <v>0</v>
      </c>
      <c r="U132" s="9">
        <f>[18]운전시간외!E129</f>
        <v>0</v>
      </c>
      <c r="V132" s="9">
        <f>[18]운전시간외!F129</f>
        <v>0</v>
      </c>
      <c r="W132" s="11">
        <f>[18]생산!E129</f>
        <v>747</v>
      </c>
      <c r="X132" s="11">
        <f>[18]생산!F129</f>
        <v>0</v>
      </c>
      <c r="Y132" s="11">
        <f>[18]생산!G129</f>
        <v>0</v>
      </c>
      <c r="Z132" s="11">
        <f>[18]생산!H129</f>
        <v>0</v>
      </c>
      <c r="AA132" s="11">
        <f>[18]생산!I129</f>
        <v>0</v>
      </c>
      <c r="AB132" s="11">
        <f>[18]생산!J129</f>
        <v>747</v>
      </c>
      <c r="AC132" s="48">
        <f>ROUNDDOWN('[20]2025년'!G128/1000,1)</f>
        <v>45.9</v>
      </c>
    </row>
    <row r="133" spans="1:29">
      <c r="A133" s="6">
        <f t="shared" si="1"/>
        <v>45785</v>
      </c>
      <c r="B133" s="9">
        <v>6456</v>
      </c>
      <c r="C133" s="9">
        <v>236078</v>
      </c>
      <c r="D133" s="9">
        <v>230144</v>
      </c>
      <c r="E133" s="9">
        <v>14330</v>
      </c>
      <c r="F133" s="9">
        <v>12480</v>
      </c>
      <c r="G133" s="9">
        <v>3848</v>
      </c>
      <c r="H133" s="9">
        <v>14175</v>
      </c>
      <c r="I133" s="9">
        <v>270275</v>
      </c>
      <c r="J133" s="10">
        <v>31.52</v>
      </c>
      <c r="K133" s="10">
        <v>31.39</v>
      </c>
      <c r="L133" s="9">
        <f>'[18]key-in(DCO)'!AR131</f>
        <v>0</v>
      </c>
      <c r="M133" s="10">
        <f>[18]생산!AV130</f>
        <v>30.100000001490116</v>
      </c>
      <c r="N133" s="10">
        <f>[18]생산!AW130</f>
        <v>0</v>
      </c>
      <c r="O133" s="10">
        <f>[18]생산!AX130</f>
        <v>0</v>
      </c>
      <c r="P133" s="10">
        <f>[18]생산!AY130</f>
        <v>0</v>
      </c>
      <c r="Q133" s="10">
        <f>[19]생산!BE130</f>
        <v>0</v>
      </c>
      <c r="R133" s="10">
        <f>[18]생산!BA130</f>
        <v>0</v>
      </c>
      <c r="S133" s="9">
        <f>[18]운전시간외!C130</f>
        <v>0</v>
      </c>
      <c r="T133" s="9">
        <f>[18]운전시간외!D130</f>
        <v>0</v>
      </c>
      <c r="U133" s="9">
        <f>[18]운전시간외!E130</f>
        <v>0</v>
      </c>
      <c r="V133" s="9">
        <f>[18]운전시간외!F130</f>
        <v>0</v>
      </c>
      <c r="W133" s="11">
        <f>[18]생산!E130</f>
        <v>0</v>
      </c>
      <c r="X133" s="11">
        <f>[18]생산!F130</f>
        <v>0</v>
      </c>
      <c r="Y133" s="11">
        <f>[18]생산!G130</f>
        <v>0</v>
      </c>
      <c r="Z133" s="11">
        <f>[18]생산!H130</f>
        <v>0</v>
      </c>
      <c r="AA133" s="11">
        <f>[18]생산!I130</f>
        <v>0</v>
      </c>
      <c r="AB133" s="11">
        <f>[18]생산!J130</f>
        <v>0</v>
      </c>
      <c r="AC133" s="48">
        <f>ROUNDDOWN('[20]2025년'!G129/1000,1)</f>
        <v>0</v>
      </c>
    </row>
    <row r="134" spans="1:29">
      <c r="A134" s="6">
        <f t="shared" si="1"/>
        <v>45786</v>
      </c>
      <c r="B134" s="9">
        <v>6491</v>
      </c>
      <c r="C134" s="9">
        <v>236109</v>
      </c>
      <c r="D134" s="9">
        <v>230294</v>
      </c>
      <c r="E134" s="9">
        <v>14334</v>
      </c>
      <c r="F134" s="9">
        <v>12496</v>
      </c>
      <c r="G134" s="9">
        <v>3849</v>
      </c>
      <c r="H134" s="9">
        <v>14252</v>
      </c>
      <c r="I134" s="9">
        <v>270522</v>
      </c>
      <c r="J134" s="10">
        <v>31.57</v>
      </c>
      <c r="K134" s="10">
        <v>31.49</v>
      </c>
      <c r="L134" s="9">
        <f>'[18]key-in(DCO)'!AR132</f>
        <v>0</v>
      </c>
      <c r="M134" s="10">
        <f>[18]생산!AV131</f>
        <v>76244.100000000006</v>
      </c>
      <c r="N134" s="10">
        <f>[18]생산!AW131</f>
        <v>0</v>
      </c>
      <c r="O134" s="10">
        <f>[18]생산!AX131</f>
        <v>0</v>
      </c>
      <c r="P134" s="10">
        <f>[18]생산!AY131</f>
        <v>0</v>
      </c>
      <c r="Q134" s="10">
        <f>[19]생산!BE131</f>
        <v>0</v>
      </c>
      <c r="R134" s="10">
        <f>[18]생산!BA131</f>
        <v>0</v>
      </c>
      <c r="S134" s="9">
        <f>[18]운전시간외!C131</f>
        <v>12</v>
      </c>
      <c r="T134" s="9">
        <f>[18]운전시간외!D131</f>
        <v>0</v>
      </c>
      <c r="U134" s="9">
        <f>[18]운전시간외!E131</f>
        <v>0</v>
      </c>
      <c r="V134" s="9">
        <f>[18]운전시간외!F131</f>
        <v>0</v>
      </c>
      <c r="W134" s="11">
        <f>[18]생산!E131</f>
        <v>477</v>
      </c>
      <c r="X134" s="11">
        <f>[18]생산!F131</f>
        <v>0</v>
      </c>
      <c r="Y134" s="11">
        <f>[18]생산!G131</f>
        <v>0</v>
      </c>
      <c r="Z134" s="11">
        <f>[18]생산!H131</f>
        <v>0</v>
      </c>
      <c r="AA134" s="11">
        <f>[18]생산!I131</f>
        <v>0</v>
      </c>
      <c r="AB134" s="11">
        <f>[18]생산!J131</f>
        <v>477</v>
      </c>
      <c r="AC134" s="48">
        <f>ROUNDDOWN('[20]2025년'!G130/1000,1)</f>
        <v>24.5</v>
      </c>
    </row>
    <row r="135" spans="1:29">
      <c r="A135" s="6">
        <f t="shared" si="1"/>
        <v>45787</v>
      </c>
      <c r="B135" s="9">
        <v>6509</v>
      </c>
      <c r="C135" s="9">
        <v>236202</v>
      </c>
      <c r="D135" s="9">
        <v>230313</v>
      </c>
      <c r="E135" s="9">
        <v>14336</v>
      </c>
      <c r="F135" s="9">
        <v>12529</v>
      </c>
      <c r="G135" s="9">
        <v>3849</v>
      </c>
      <c r="H135" s="9">
        <v>14346</v>
      </c>
      <c r="I135" s="9">
        <v>270717</v>
      </c>
      <c r="J135" s="10">
        <v>32</v>
      </c>
      <c r="K135" s="10">
        <v>31.48</v>
      </c>
      <c r="L135" s="9">
        <f>'[18]key-in(DCO)'!AR133</f>
        <v>0</v>
      </c>
      <c r="M135" s="10">
        <f>[18]생산!AV132</f>
        <v>163115.79999999999</v>
      </c>
      <c r="N135" s="10">
        <f>[18]생산!AW132</f>
        <v>0</v>
      </c>
      <c r="O135" s="10">
        <f>[18]생산!AX132</f>
        <v>0</v>
      </c>
      <c r="P135" s="10">
        <f>[18]생산!AY132</f>
        <v>0</v>
      </c>
      <c r="Q135" s="10">
        <f>[19]생산!BE132</f>
        <v>0</v>
      </c>
      <c r="R135" s="10">
        <f>[18]생산!BA132</f>
        <v>0</v>
      </c>
      <c r="S135" s="9">
        <f>[18]운전시간외!C132</f>
        <v>23</v>
      </c>
      <c r="T135" s="9">
        <f>[18]운전시간외!D132</f>
        <v>0</v>
      </c>
      <c r="U135" s="9">
        <f>[18]운전시간외!E132</f>
        <v>0</v>
      </c>
      <c r="V135" s="9">
        <f>[18]운전시간외!F132</f>
        <v>0</v>
      </c>
      <c r="W135" s="11">
        <f>[18]생산!E132</f>
        <v>1039</v>
      </c>
      <c r="X135" s="11">
        <f>[18]생산!F132</f>
        <v>0</v>
      </c>
      <c r="Y135" s="11">
        <f>[18]생산!G132</f>
        <v>0</v>
      </c>
      <c r="Z135" s="11">
        <f>[18]생산!H132</f>
        <v>0</v>
      </c>
      <c r="AA135" s="11">
        <f>[18]생산!I132</f>
        <v>0</v>
      </c>
      <c r="AB135" s="11">
        <f>[18]생산!J132</f>
        <v>1039</v>
      </c>
      <c r="AC135" s="48">
        <f>ROUNDDOWN('[20]2025년'!G131/1000,1)</f>
        <v>53.5</v>
      </c>
    </row>
    <row r="136" spans="1:29">
      <c r="A136" s="6">
        <f t="shared" ref="A136:A199" si="2">A135+1</f>
        <v>45788</v>
      </c>
      <c r="B136" s="9">
        <v>6509</v>
      </c>
      <c r="C136" s="9">
        <v>236278</v>
      </c>
      <c r="D136" s="9">
        <v>230313</v>
      </c>
      <c r="E136" s="9">
        <v>14338</v>
      </c>
      <c r="F136" s="9">
        <v>12542</v>
      </c>
      <c r="G136" s="9">
        <v>3850</v>
      </c>
      <c r="H136" s="9">
        <v>14447</v>
      </c>
      <c r="I136" s="9">
        <v>270822</v>
      </c>
      <c r="J136" s="10">
        <v>31.71</v>
      </c>
      <c r="K136" s="10">
        <v>31.43</v>
      </c>
      <c r="L136" s="9">
        <f>'[18]key-in(DCO)'!AR134</f>
        <v>0</v>
      </c>
      <c r="M136" s="10">
        <f>[18]생산!AV133</f>
        <v>28127.7</v>
      </c>
      <c r="N136" s="10">
        <f>[18]생산!AW133</f>
        <v>0</v>
      </c>
      <c r="O136" s="10">
        <f>[18]생산!AX133</f>
        <v>0</v>
      </c>
      <c r="P136" s="10">
        <f>[18]생산!AY133</f>
        <v>0</v>
      </c>
      <c r="Q136" s="10">
        <f>[19]생산!BE133</f>
        <v>0</v>
      </c>
      <c r="R136" s="10">
        <f>[18]생산!BA133</f>
        <v>0</v>
      </c>
      <c r="S136" s="9">
        <f>[18]운전시간외!C133</f>
        <v>6</v>
      </c>
      <c r="T136" s="9">
        <f>[18]운전시간외!D133</f>
        <v>0</v>
      </c>
      <c r="U136" s="9">
        <f>[18]운전시간외!E133</f>
        <v>0</v>
      </c>
      <c r="V136" s="9">
        <f>[18]운전시간외!F133</f>
        <v>0</v>
      </c>
      <c r="W136" s="11">
        <f>[18]생산!E133</f>
        <v>176</v>
      </c>
      <c r="X136" s="11">
        <f>[18]생산!F133</f>
        <v>0</v>
      </c>
      <c r="Y136" s="11">
        <f>[18]생산!G133</f>
        <v>0</v>
      </c>
      <c r="Z136" s="11">
        <f>[18]생산!H133</f>
        <v>0</v>
      </c>
      <c r="AA136" s="11">
        <f>[18]생산!I133</f>
        <v>0</v>
      </c>
      <c r="AB136" s="11">
        <f>[18]생산!J133</f>
        <v>176</v>
      </c>
      <c r="AC136" s="48">
        <f>ROUNDDOWN('[20]2025년'!G132/1000,1)</f>
        <v>6.6</v>
      </c>
    </row>
    <row r="137" spans="1:29">
      <c r="A137" s="6">
        <f t="shared" si="2"/>
        <v>45789</v>
      </c>
      <c r="B137" s="9">
        <v>6515</v>
      </c>
      <c r="C137" s="9">
        <v>236373</v>
      </c>
      <c r="D137" s="9">
        <v>230313</v>
      </c>
      <c r="E137" s="9">
        <v>14344</v>
      </c>
      <c r="F137" s="9">
        <v>12560</v>
      </c>
      <c r="G137" s="9">
        <v>3850</v>
      </c>
      <c r="H137" s="9">
        <v>14559</v>
      </c>
      <c r="I137" s="9">
        <v>271019</v>
      </c>
      <c r="J137" s="10">
        <v>31.71</v>
      </c>
      <c r="K137" s="10">
        <v>31.42</v>
      </c>
      <c r="L137" s="9">
        <f>'[18]key-in(DCO)'!AR135</f>
        <v>0</v>
      </c>
      <c r="M137" s="10">
        <f>[18]생산!AV134</f>
        <v>16896.2</v>
      </c>
      <c r="N137" s="10">
        <f>[18]생산!AW134</f>
        <v>0</v>
      </c>
      <c r="O137" s="10">
        <f>[18]생산!AX134</f>
        <v>0</v>
      </c>
      <c r="P137" s="10">
        <f>[18]생산!AY134</f>
        <v>0</v>
      </c>
      <c r="Q137" s="10">
        <f>[19]생산!BE134</f>
        <v>0</v>
      </c>
      <c r="R137" s="10">
        <f>[18]생산!BA134</f>
        <v>0</v>
      </c>
      <c r="S137" s="9">
        <f>[18]운전시간외!C134</f>
        <v>6</v>
      </c>
      <c r="T137" s="9">
        <f>[18]운전시간외!D134</f>
        <v>0</v>
      </c>
      <c r="U137" s="9">
        <f>[18]운전시간외!E134</f>
        <v>0</v>
      </c>
      <c r="V137" s="9">
        <f>[18]운전시간외!F134</f>
        <v>0</v>
      </c>
      <c r="W137" s="11">
        <f>[18]생산!E134</f>
        <v>105</v>
      </c>
      <c r="X137" s="11">
        <f>[18]생산!F134</f>
        <v>0</v>
      </c>
      <c r="Y137" s="11">
        <f>[18]생산!G134</f>
        <v>0</v>
      </c>
      <c r="Z137" s="11">
        <f>[18]생산!H134</f>
        <v>0</v>
      </c>
      <c r="AA137" s="11">
        <f>[18]생산!I134</f>
        <v>0</v>
      </c>
      <c r="AB137" s="11">
        <f>[18]생산!J134</f>
        <v>105</v>
      </c>
      <c r="AC137" s="48">
        <f>ROUNDDOWN('[20]2025년'!G133/1000,1)</f>
        <v>4.2</v>
      </c>
    </row>
    <row r="138" spans="1:29">
      <c r="A138" s="6">
        <f t="shared" si="2"/>
        <v>45790</v>
      </c>
      <c r="B138" s="9">
        <v>6548</v>
      </c>
      <c r="C138" s="9">
        <v>236459</v>
      </c>
      <c r="D138" s="9">
        <v>230452</v>
      </c>
      <c r="E138" s="9">
        <v>14351</v>
      </c>
      <c r="F138" s="9">
        <v>12580</v>
      </c>
      <c r="G138" s="9">
        <v>3851</v>
      </c>
      <c r="H138" s="9">
        <v>14677</v>
      </c>
      <c r="I138" s="9">
        <v>271325</v>
      </c>
      <c r="J138" s="10">
        <v>31.82</v>
      </c>
      <c r="K138" s="10">
        <v>31.47</v>
      </c>
      <c r="L138" s="9">
        <f>'[18]key-in(DCO)'!AR136</f>
        <v>0</v>
      </c>
      <c r="M138" s="10">
        <f>[18]생산!AV135</f>
        <v>17395</v>
      </c>
      <c r="N138" s="10">
        <f>[18]생산!AW135</f>
        <v>0</v>
      </c>
      <c r="O138" s="10">
        <f>[18]생산!AX135</f>
        <v>0</v>
      </c>
      <c r="P138" s="10">
        <f>[18]생산!AY135</f>
        <v>0</v>
      </c>
      <c r="Q138" s="10">
        <f>[19]생산!BE135</f>
        <v>0</v>
      </c>
      <c r="R138" s="10">
        <f>[18]생산!BA135</f>
        <v>0</v>
      </c>
      <c r="S138" s="9">
        <f>[18]운전시간외!C135</f>
        <v>6</v>
      </c>
      <c r="T138" s="9">
        <f>[18]운전시간외!D135</f>
        <v>0</v>
      </c>
      <c r="U138" s="9">
        <f>[18]운전시간외!E135</f>
        <v>0</v>
      </c>
      <c r="V138" s="9">
        <f>[18]운전시간외!F135</f>
        <v>0</v>
      </c>
      <c r="W138" s="11">
        <f>[18]생산!E135</f>
        <v>110</v>
      </c>
      <c r="X138" s="11">
        <f>[18]생산!F135</f>
        <v>0</v>
      </c>
      <c r="Y138" s="11">
        <f>[18]생산!G135</f>
        <v>0</v>
      </c>
      <c r="Z138" s="11">
        <f>[18]생산!H135</f>
        <v>0</v>
      </c>
      <c r="AA138" s="11">
        <f>[18]생산!I135</f>
        <v>0</v>
      </c>
      <c r="AB138" s="11">
        <f>[18]생산!J135</f>
        <v>110</v>
      </c>
      <c r="AC138" s="48">
        <f>ROUNDDOWN('[20]2025년'!G134/1000,1)</f>
        <v>4.8</v>
      </c>
    </row>
    <row r="139" spans="1:29">
      <c r="A139" s="6">
        <f t="shared" si="2"/>
        <v>45791</v>
      </c>
      <c r="B139" s="9">
        <v>6581</v>
      </c>
      <c r="C139" s="9">
        <v>236620</v>
      </c>
      <c r="D139" s="9">
        <v>230487</v>
      </c>
      <c r="E139" s="9">
        <v>14358</v>
      </c>
      <c r="F139" s="9">
        <v>12599</v>
      </c>
      <c r="G139" s="9">
        <v>3852</v>
      </c>
      <c r="H139" s="9">
        <v>14800</v>
      </c>
      <c r="I139" s="9">
        <v>271604</v>
      </c>
      <c r="J139" s="10">
        <v>31.92</v>
      </c>
      <c r="K139" s="10">
        <v>31.59</v>
      </c>
      <c r="L139" s="9">
        <f>'[18]key-in(DCO)'!AR137</f>
        <v>0</v>
      </c>
      <c r="M139" s="10">
        <f>[18]생산!AV136</f>
        <v>19381.900000000001</v>
      </c>
      <c r="N139" s="10">
        <f>[18]생산!AW136</f>
        <v>0</v>
      </c>
      <c r="O139" s="10">
        <f>[18]생산!AX136</f>
        <v>0</v>
      </c>
      <c r="P139" s="10">
        <f>[18]생산!AY136</f>
        <v>0</v>
      </c>
      <c r="Q139" s="10">
        <f>[19]생산!BE136</f>
        <v>0</v>
      </c>
      <c r="R139" s="10">
        <f>[18]생산!BA136</f>
        <v>0</v>
      </c>
      <c r="S139" s="9">
        <f>[18]운전시간외!C136</f>
        <v>7</v>
      </c>
      <c r="T139" s="9">
        <f>[18]운전시간외!D136</f>
        <v>0</v>
      </c>
      <c r="U139" s="9">
        <f>[18]운전시간외!E136</f>
        <v>0</v>
      </c>
      <c r="V139" s="9">
        <f>[18]운전시간외!F136</f>
        <v>0</v>
      </c>
      <c r="W139" s="11">
        <f>[18]생산!E136</f>
        <v>123</v>
      </c>
      <c r="X139" s="11">
        <f>[18]생산!F136</f>
        <v>0</v>
      </c>
      <c r="Y139" s="11">
        <f>[18]생산!G136</f>
        <v>0</v>
      </c>
      <c r="Z139" s="11">
        <f>[18]생산!H136</f>
        <v>0</v>
      </c>
      <c r="AA139" s="11">
        <f>[18]생산!I136</f>
        <v>0</v>
      </c>
      <c r="AB139" s="11">
        <f>[18]생산!J136</f>
        <v>123</v>
      </c>
      <c r="AC139" s="48">
        <f>ROUNDDOWN('[20]2025년'!G135/1000,1)</f>
        <v>4.5</v>
      </c>
    </row>
    <row r="140" spans="1:29">
      <c r="A140" s="6">
        <f t="shared" si="2"/>
        <v>45792</v>
      </c>
      <c r="B140" s="9">
        <v>6583</v>
      </c>
      <c r="C140" s="9">
        <v>236632</v>
      </c>
      <c r="D140" s="9">
        <v>230591</v>
      </c>
      <c r="E140" s="9">
        <v>14382</v>
      </c>
      <c r="F140" s="9">
        <v>12607</v>
      </c>
      <c r="G140" s="9">
        <v>3853</v>
      </c>
      <c r="H140" s="9">
        <v>14922</v>
      </c>
      <c r="I140" s="9">
        <v>271829</v>
      </c>
      <c r="J140" s="10">
        <v>32.159999999999997</v>
      </c>
      <c r="K140" s="10">
        <v>31.58</v>
      </c>
      <c r="L140" s="9">
        <f>'[18]key-in(DCO)'!AR138</f>
        <v>0</v>
      </c>
      <c r="M140" s="10">
        <f>[18]생산!AV137</f>
        <v>0</v>
      </c>
      <c r="N140" s="10">
        <f>[18]생산!AW137</f>
        <v>0</v>
      </c>
      <c r="O140" s="10">
        <f>[18]생산!AX137</f>
        <v>0</v>
      </c>
      <c r="P140" s="10">
        <f>[18]생산!AY137</f>
        <v>0</v>
      </c>
      <c r="Q140" s="10">
        <f>[19]생산!BE137</f>
        <v>0</v>
      </c>
      <c r="R140" s="10">
        <f>[18]생산!BA137</f>
        <v>0</v>
      </c>
      <c r="S140" s="9">
        <f>[18]운전시간외!C137</f>
        <v>0</v>
      </c>
      <c r="T140" s="9">
        <f>[18]운전시간외!D137</f>
        <v>0</v>
      </c>
      <c r="U140" s="9">
        <f>[18]운전시간외!E137</f>
        <v>0</v>
      </c>
      <c r="V140" s="9">
        <f>[18]운전시간외!F137</f>
        <v>0</v>
      </c>
      <c r="W140" s="11">
        <f>[18]생산!E137</f>
        <v>0</v>
      </c>
      <c r="X140" s="11">
        <f>[18]생산!F137</f>
        <v>0</v>
      </c>
      <c r="Y140" s="11">
        <f>[18]생산!G137</f>
        <v>0</v>
      </c>
      <c r="Z140" s="11">
        <f>[18]생산!H137</f>
        <v>0</v>
      </c>
      <c r="AA140" s="11">
        <f>[18]생산!I137</f>
        <v>0</v>
      </c>
      <c r="AB140" s="11">
        <f>[18]생산!J137</f>
        <v>0</v>
      </c>
      <c r="AC140" s="48">
        <f>ROUNDDOWN('[20]2025년'!G136/1000,1)</f>
        <v>0</v>
      </c>
    </row>
    <row r="141" spans="1:29">
      <c r="A141" s="6">
        <f t="shared" si="2"/>
        <v>45793</v>
      </c>
      <c r="B141" s="9">
        <v>6583</v>
      </c>
      <c r="C141" s="9">
        <v>236690</v>
      </c>
      <c r="D141" s="9">
        <v>230657</v>
      </c>
      <c r="E141" s="9">
        <v>14387</v>
      </c>
      <c r="F141" s="9">
        <v>12616</v>
      </c>
      <c r="G141" s="9">
        <v>3854</v>
      </c>
      <c r="H141" s="9">
        <v>15041</v>
      </c>
      <c r="I141" s="9">
        <v>271980</v>
      </c>
      <c r="J141" s="10">
        <v>32.07</v>
      </c>
      <c r="K141" s="10">
        <v>31.59</v>
      </c>
      <c r="L141" s="9">
        <f>'[18]key-in(DCO)'!AR139</f>
        <v>0</v>
      </c>
      <c r="M141" s="10">
        <f>[18]생산!AV138</f>
        <v>0</v>
      </c>
      <c r="N141" s="10">
        <f>[18]생산!AW138</f>
        <v>0</v>
      </c>
      <c r="O141" s="10">
        <f>[18]생산!AX138</f>
        <v>0</v>
      </c>
      <c r="P141" s="10">
        <f>[18]생산!AY138</f>
        <v>0</v>
      </c>
      <c r="Q141" s="10">
        <f>[19]생산!BE138</f>
        <v>0</v>
      </c>
      <c r="R141" s="10">
        <f>[18]생산!BA138</f>
        <v>0</v>
      </c>
      <c r="S141" s="9">
        <f>[18]운전시간외!C138</f>
        <v>0</v>
      </c>
      <c r="T141" s="9">
        <f>[18]운전시간외!D138</f>
        <v>0</v>
      </c>
      <c r="U141" s="9">
        <f>[18]운전시간외!E138</f>
        <v>0</v>
      </c>
      <c r="V141" s="9">
        <f>[18]운전시간외!F138</f>
        <v>0</v>
      </c>
      <c r="W141" s="11">
        <f>[18]생산!E138</f>
        <v>0</v>
      </c>
      <c r="X141" s="11">
        <f>[18]생산!F138</f>
        <v>0</v>
      </c>
      <c r="Y141" s="11">
        <f>[18]생산!G138</f>
        <v>0</v>
      </c>
      <c r="Z141" s="11">
        <f>[18]생산!H138</f>
        <v>0</v>
      </c>
      <c r="AA141" s="11">
        <f>[18]생산!I138</f>
        <v>0</v>
      </c>
      <c r="AB141" s="11">
        <f>[18]생산!J138</f>
        <v>0</v>
      </c>
      <c r="AC141" s="48">
        <f>ROUNDDOWN('[20]2025년'!G137/1000,1)</f>
        <v>0</v>
      </c>
    </row>
    <row r="142" spans="1:29">
      <c r="A142" s="6">
        <f t="shared" si="2"/>
        <v>45794</v>
      </c>
      <c r="B142" s="9">
        <v>6583</v>
      </c>
      <c r="C142" s="9">
        <v>236698</v>
      </c>
      <c r="D142" s="9">
        <v>230657</v>
      </c>
      <c r="E142" s="9">
        <v>14390</v>
      </c>
      <c r="F142" s="9">
        <v>12627</v>
      </c>
      <c r="G142" s="9">
        <v>3854</v>
      </c>
      <c r="H142" s="9">
        <v>15157</v>
      </c>
      <c r="I142" s="9">
        <v>272043</v>
      </c>
      <c r="J142" s="10">
        <v>31.96</v>
      </c>
      <c r="K142" s="10">
        <v>31.67</v>
      </c>
      <c r="L142" s="9">
        <f>'[18]key-in(DCO)'!AR140</f>
        <v>0</v>
      </c>
      <c r="M142" s="10">
        <f>[18]생산!AV139</f>
        <v>0</v>
      </c>
      <c r="N142" s="10">
        <f>[18]생산!AW139</f>
        <v>0</v>
      </c>
      <c r="O142" s="10">
        <f>[18]생산!AX139</f>
        <v>0</v>
      </c>
      <c r="P142" s="10">
        <f>[18]생산!AY139</f>
        <v>0</v>
      </c>
      <c r="Q142" s="10">
        <f>[19]생산!BE139</f>
        <v>0</v>
      </c>
      <c r="R142" s="10">
        <f>[18]생산!BA139</f>
        <v>0</v>
      </c>
      <c r="S142" s="9">
        <f>[18]운전시간외!C139</f>
        <v>0</v>
      </c>
      <c r="T142" s="9">
        <f>[18]운전시간외!D139</f>
        <v>0</v>
      </c>
      <c r="U142" s="9">
        <f>[18]운전시간외!E139</f>
        <v>0</v>
      </c>
      <c r="V142" s="9">
        <f>[18]운전시간외!F139</f>
        <v>0</v>
      </c>
      <c r="W142" s="11">
        <f>[18]생산!E139</f>
        <v>0</v>
      </c>
      <c r="X142" s="11">
        <f>[18]생산!F139</f>
        <v>0</v>
      </c>
      <c r="Y142" s="11">
        <f>[18]생산!G139</f>
        <v>0</v>
      </c>
      <c r="Z142" s="11">
        <f>[18]생산!H139</f>
        <v>0</v>
      </c>
      <c r="AA142" s="11">
        <f>[18]생산!I139</f>
        <v>0</v>
      </c>
      <c r="AB142" s="11">
        <f>[18]생산!J139</f>
        <v>0</v>
      </c>
      <c r="AC142" s="48">
        <f>ROUNDDOWN('[20]2025년'!G138/1000,1)</f>
        <v>0</v>
      </c>
    </row>
    <row r="143" spans="1:29">
      <c r="A143" s="6">
        <f t="shared" si="2"/>
        <v>45795</v>
      </c>
      <c r="B143" s="9">
        <v>6583</v>
      </c>
      <c r="C143" s="9">
        <v>236698</v>
      </c>
      <c r="D143" s="9">
        <v>230657</v>
      </c>
      <c r="E143" s="9">
        <v>14393</v>
      </c>
      <c r="F143" s="9">
        <v>12637</v>
      </c>
      <c r="G143" s="9">
        <v>3854</v>
      </c>
      <c r="H143" s="9">
        <v>15257</v>
      </c>
      <c r="I143" s="9">
        <v>272060</v>
      </c>
      <c r="J143" s="10">
        <v>31.82</v>
      </c>
      <c r="K143" s="10">
        <v>31.67</v>
      </c>
      <c r="L143" s="9">
        <f>'[18]key-in(DCO)'!AR141</f>
        <v>0</v>
      </c>
      <c r="M143" s="10">
        <f>[18]생산!AV140</f>
        <v>0</v>
      </c>
      <c r="N143" s="10">
        <f>[18]생산!AW140</f>
        <v>0</v>
      </c>
      <c r="O143" s="10">
        <f>[18]생산!AX140</f>
        <v>0</v>
      </c>
      <c r="P143" s="10">
        <f>[18]생산!AY140</f>
        <v>0</v>
      </c>
      <c r="Q143" s="10">
        <f>[19]생산!BE140</f>
        <v>0</v>
      </c>
      <c r="R143" s="10">
        <f>[18]생산!BA140</f>
        <v>0</v>
      </c>
      <c r="S143" s="9">
        <f>[18]운전시간외!C140</f>
        <v>0</v>
      </c>
      <c r="T143" s="9">
        <f>[18]운전시간외!D140</f>
        <v>0</v>
      </c>
      <c r="U143" s="9">
        <f>[18]운전시간외!E140</f>
        <v>0</v>
      </c>
      <c r="V143" s="9">
        <f>[18]운전시간외!F140</f>
        <v>0</v>
      </c>
      <c r="W143" s="11">
        <f>[18]생산!E140</f>
        <v>0</v>
      </c>
      <c r="X143" s="11">
        <f>[18]생산!F140</f>
        <v>0</v>
      </c>
      <c r="Y143" s="11">
        <f>[18]생산!G140</f>
        <v>0</v>
      </c>
      <c r="Z143" s="11">
        <f>[18]생산!H140</f>
        <v>0</v>
      </c>
      <c r="AA143" s="11">
        <f>[18]생산!I140</f>
        <v>0</v>
      </c>
      <c r="AB143" s="11">
        <f>[18]생산!J140</f>
        <v>0</v>
      </c>
      <c r="AC143" s="48">
        <f>ROUNDDOWN('[20]2025년'!G139/1000,1)</f>
        <v>0</v>
      </c>
    </row>
    <row r="144" spans="1:29">
      <c r="A144" s="6">
        <f t="shared" si="2"/>
        <v>45796</v>
      </c>
      <c r="B144" s="9">
        <v>6583</v>
      </c>
      <c r="C144" s="9">
        <v>236756</v>
      </c>
      <c r="D144" s="9">
        <v>230699</v>
      </c>
      <c r="E144" s="9">
        <v>14402</v>
      </c>
      <c r="F144" s="9">
        <v>12641</v>
      </c>
      <c r="G144" s="9">
        <v>3854</v>
      </c>
      <c r="H144" s="9">
        <v>15327</v>
      </c>
      <c r="I144" s="9">
        <v>272222</v>
      </c>
      <c r="J144" s="10">
        <v>31.85</v>
      </c>
      <c r="K144" s="10">
        <v>31.72</v>
      </c>
      <c r="L144" s="9">
        <f>'[18]key-in(DCO)'!AR142</f>
        <v>0</v>
      </c>
      <c r="M144" s="10">
        <f>[18]생산!AV141</f>
        <v>0</v>
      </c>
      <c r="N144" s="10">
        <f>[18]생산!AW141</f>
        <v>0</v>
      </c>
      <c r="O144" s="10">
        <f>[18]생산!AX141</f>
        <v>0</v>
      </c>
      <c r="P144" s="10">
        <f>[18]생산!AY141</f>
        <v>0</v>
      </c>
      <c r="Q144" s="10">
        <f>[19]생산!BE141</f>
        <v>0</v>
      </c>
      <c r="R144" s="10">
        <f>[18]생산!BA141</f>
        <v>0</v>
      </c>
      <c r="S144" s="9">
        <f>[18]운전시간외!C141</f>
        <v>0</v>
      </c>
      <c r="T144" s="9">
        <f>[18]운전시간외!D141</f>
        <v>0</v>
      </c>
      <c r="U144" s="9">
        <f>[18]운전시간외!E141</f>
        <v>0</v>
      </c>
      <c r="V144" s="9">
        <f>[18]운전시간외!F141</f>
        <v>0</v>
      </c>
      <c r="W144" s="11">
        <f>[18]생산!E141</f>
        <v>0</v>
      </c>
      <c r="X144" s="11">
        <f>[18]생산!F141</f>
        <v>0</v>
      </c>
      <c r="Y144" s="11">
        <f>[18]생산!G141</f>
        <v>0</v>
      </c>
      <c r="Z144" s="11">
        <f>[18]생산!H141</f>
        <v>0</v>
      </c>
      <c r="AA144" s="11">
        <f>[18]생산!I141</f>
        <v>0</v>
      </c>
      <c r="AB144" s="11">
        <f>[18]생산!J141</f>
        <v>0</v>
      </c>
      <c r="AC144" s="48">
        <f>ROUNDDOWN('[20]2025년'!G140/1000,1)</f>
        <v>0</v>
      </c>
    </row>
    <row r="145" spans="1:29">
      <c r="A145" s="6">
        <f t="shared" si="2"/>
        <v>45797</v>
      </c>
      <c r="B145" s="9">
        <v>6583</v>
      </c>
      <c r="C145" s="9">
        <v>236823</v>
      </c>
      <c r="D145" s="9">
        <v>230699</v>
      </c>
      <c r="E145" s="9">
        <v>14407</v>
      </c>
      <c r="F145" s="9">
        <v>12641</v>
      </c>
      <c r="G145" s="9">
        <v>3855</v>
      </c>
      <c r="H145" s="9">
        <v>15425</v>
      </c>
      <c r="I145" s="9">
        <v>272331</v>
      </c>
      <c r="J145" s="10">
        <v>31.98</v>
      </c>
      <c r="K145" s="10">
        <v>31.72</v>
      </c>
      <c r="L145" s="9">
        <f>'[18]key-in(DCO)'!AR143</f>
        <v>0</v>
      </c>
      <c r="M145" s="10">
        <f>[18]생산!AV142</f>
        <v>0</v>
      </c>
      <c r="N145" s="10">
        <f>[18]생산!AW142</f>
        <v>0</v>
      </c>
      <c r="O145" s="10">
        <f>[18]생산!AX142</f>
        <v>0</v>
      </c>
      <c r="P145" s="10">
        <f>[18]생산!AY142</f>
        <v>0</v>
      </c>
      <c r="Q145" s="10">
        <f>[19]생산!BE142</f>
        <v>0</v>
      </c>
      <c r="R145" s="10">
        <f>[18]생산!BA142</f>
        <v>0</v>
      </c>
      <c r="S145" s="9">
        <f>[18]운전시간외!C142</f>
        <v>0</v>
      </c>
      <c r="T145" s="9">
        <f>[18]운전시간외!D142</f>
        <v>0</v>
      </c>
      <c r="U145" s="9">
        <f>[18]운전시간외!E142</f>
        <v>0</v>
      </c>
      <c r="V145" s="9">
        <f>[18]운전시간외!F142</f>
        <v>0</v>
      </c>
      <c r="W145" s="11">
        <f>[18]생산!E142</f>
        <v>0</v>
      </c>
      <c r="X145" s="11">
        <f>[18]생산!F142</f>
        <v>0</v>
      </c>
      <c r="Y145" s="11">
        <f>[18]생산!G142</f>
        <v>0</v>
      </c>
      <c r="Z145" s="11">
        <f>[18]생산!H142</f>
        <v>0</v>
      </c>
      <c r="AA145" s="11">
        <f>[18]생산!I142</f>
        <v>0</v>
      </c>
      <c r="AB145" s="11">
        <f>[18]생산!J142</f>
        <v>0</v>
      </c>
      <c r="AC145" s="48">
        <f>ROUNDDOWN('[20]2025년'!G141/1000,1)</f>
        <v>0</v>
      </c>
    </row>
    <row r="146" spans="1:29">
      <c r="A146" s="6">
        <f t="shared" si="2"/>
        <v>45798</v>
      </c>
      <c r="B146" s="9">
        <v>6583</v>
      </c>
      <c r="C146" s="9">
        <v>236823</v>
      </c>
      <c r="D146" s="9">
        <v>230770</v>
      </c>
      <c r="E146" s="9">
        <v>14417</v>
      </c>
      <c r="F146" s="9">
        <v>12641</v>
      </c>
      <c r="G146" s="9">
        <v>3856</v>
      </c>
      <c r="H146" s="9">
        <v>15547</v>
      </c>
      <c r="I146" s="9">
        <v>272487</v>
      </c>
      <c r="J146" s="10">
        <v>32.049999999999997</v>
      </c>
      <c r="K146" s="10">
        <v>31.7</v>
      </c>
      <c r="L146" s="9">
        <f>'[18]key-in(DCO)'!AR144</f>
        <v>0</v>
      </c>
      <c r="M146" s="10">
        <f>[18]생산!AV143</f>
        <v>0</v>
      </c>
      <c r="N146" s="10">
        <f>[18]생산!AW143</f>
        <v>0</v>
      </c>
      <c r="O146" s="10">
        <f>[18]생산!AX143</f>
        <v>0</v>
      </c>
      <c r="P146" s="10">
        <f>[18]생산!AY143</f>
        <v>0</v>
      </c>
      <c r="Q146" s="10">
        <f>[19]생산!BE143</f>
        <v>0</v>
      </c>
      <c r="R146" s="10">
        <f>[18]생산!BA143</f>
        <v>0</v>
      </c>
      <c r="S146" s="9">
        <f>[18]운전시간외!C143</f>
        <v>0</v>
      </c>
      <c r="T146" s="9">
        <f>[18]운전시간외!D143</f>
        <v>0</v>
      </c>
      <c r="U146" s="9">
        <f>[18]운전시간외!E143</f>
        <v>0</v>
      </c>
      <c r="V146" s="9">
        <f>[18]운전시간외!F143</f>
        <v>0</v>
      </c>
      <c r="W146" s="11">
        <f>[18]생산!E143</f>
        <v>0</v>
      </c>
      <c r="X146" s="11">
        <f>[18]생산!F143</f>
        <v>0</v>
      </c>
      <c r="Y146" s="11">
        <f>[18]생산!G143</f>
        <v>0</v>
      </c>
      <c r="Z146" s="11">
        <f>[18]생산!H143</f>
        <v>0</v>
      </c>
      <c r="AA146" s="11">
        <f>[18]생산!I143</f>
        <v>0</v>
      </c>
      <c r="AB146" s="11">
        <f>[18]생산!J143</f>
        <v>0</v>
      </c>
      <c r="AC146" s="48">
        <f>ROUNDDOWN('[20]2025년'!G142/1000,1)</f>
        <v>0</v>
      </c>
    </row>
    <row r="147" spans="1:29">
      <c r="A147" s="6">
        <f t="shared" si="2"/>
        <v>45799</v>
      </c>
      <c r="B147" s="9">
        <v>6583</v>
      </c>
      <c r="C147" s="9">
        <v>236823</v>
      </c>
      <c r="D147" s="9">
        <v>230808</v>
      </c>
      <c r="E147" s="9">
        <v>14427</v>
      </c>
      <c r="F147" s="9">
        <v>12641</v>
      </c>
      <c r="G147" s="9">
        <v>3856</v>
      </c>
      <c r="H147" s="9">
        <v>15642</v>
      </c>
      <c r="I147" s="9">
        <v>272593</v>
      </c>
      <c r="J147" s="10">
        <v>31.92</v>
      </c>
      <c r="K147" s="10">
        <v>31.73</v>
      </c>
      <c r="L147" s="9">
        <f>'[18]key-in(DCO)'!AR145</f>
        <v>0</v>
      </c>
      <c r="M147" s="10">
        <f>[18]생산!AV144</f>
        <v>0</v>
      </c>
      <c r="N147" s="10">
        <f>[18]생산!AW144</f>
        <v>0</v>
      </c>
      <c r="O147" s="10">
        <f>[18]생산!AX144</f>
        <v>0</v>
      </c>
      <c r="P147" s="10">
        <f>[18]생산!AY144</f>
        <v>0</v>
      </c>
      <c r="Q147" s="10">
        <f>[19]생산!BE144</f>
        <v>0</v>
      </c>
      <c r="R147" s="10">
        <f>[18]생산!BA144</f>
        <v>0</v>
      </c>
      <c r="S147" s="9">
        <f>[18]운전시간외!C144</f>
        <v>0</v>
      </c>
      <c r="T147" s="9">
        <f>[18]운전시간외!D144</f>
        <v>0</v>
      </c>
      <c r="U147" s="9">
        <f>[18]운전시간외!E144</f>
        <v>0</v>
      </c>
      <c r="V147" s="9">
        <f>[18]운전시간외!F144</f>
        <v>0</v>
      </c>
      <c r="W147" s="11">
        <f>[18]생산!E144</f>
        <v>0</v>
      </c>
      <c r="X147" s="11">
        <f>[18]생산!F144</f>
        <v>0</v>
      </c>
      <c r="Y147" s="11">
        <f>[18]생산!G144</f>
        <v>0</v>
      </c>
      <c r="Z147" s="11">
        <f>[18]생산!H144</f>
        <v>0</v>
      </c>
      <c r="AA147" s="11">
        <f>[18]생산!I144</f>
        <v>0</v>
      </c>
      <c r="AB147" s="11">
        <f>[18]생산!J144</f>
        <v>0</v>
      </c>
      <c r="AC147" s="48">
        <f>ROUNDDOWN('[20]2025년'!G143/1000,1)</f>
        <v>0</v>
      </c>
    </row>
    <row r="148" spans="1:29">
      <c r="A148" s="6">
        <f t="shared" si="2"/>
        <v>45800</v>
      </c>
      <c r="B148" s="9">
        <v>6583</v>
      </c>
      <c r="C148" s="9">
        <v>236867</v>
      </c>
      <c r="D148" s="9">
        <v>230822</v>
      </c>
      <c r="E148" s="9">
        <v>14441</v>
      </c>
      <c r="F148" s="9">
        <v>12649</v>
      </c>
      <c r="G148" s="9">
        <v>3857</v>
      </c>
      <c r="H148" s="9">
        <v>15732</v>
      </c>
      <c r="I148" s="9">
        <v>272715</v>
      </c>
      <c r="J148" s="10">
        <v>32.15</v>
      </c>
      <c r="K148" s="10">
        <v>31.68</v>
      </c>
      <c r="L148" s="9">
        <f>'[18]key-in(DCO)'!AR146</f>
        <v>0</v>
      </c>
      <c r="M148" s="10">
        <f>[18]생산!AV145</f>
        <v>0</v>
      </c>
      <c r="N148" s="10">
        <f>[18]생산!AW145</f>
        <v>0</v>
      </c>
      <c r="O148" s="10">
        <f>[18]생산!AX145</f>
        <v>0</v>
      </c>
      <c r="P148" s="10">
        <f>[18]생산!AY145</f>
        <v>0</v>
      </c>
      <c r="Q148" s="10">
        <f>[19]생산!BE145</f>
        <v>0</v>
      </c>
      <c r="R148" s="10">
        <f>[18]생산!BA145</f>
        <v>0</v>
      </c>
      <c r="S148" s="9">
        <f>[18]운전시간외!C145</f>
        <v>0</v>
      </c>
      <c r="T148" s="9">
        <f>[18]운전시간외!D145</f>
        <v>0</v>
      </c>
      <c r="U148" s="9">
        <f>[18]운전시간외!E145</f>
        <v>0</v>
      </c>
      <c r="V148" s="9">
        <f>[18]운전시간외!F145</f>
        <v>0</v>
      </c>
      <c r="W148" s="11">
        <f>[18]생산!E145</f>
        <v>0</v>
      </c>
      <c r="X148" s="11">
        <f>[18]생산!F145</f>
        <v>0</v>
      </c>
      <c r="Y148" s="11">
        <f>[18]생산!G145</f>
        <v>0</v>
      </c>
      <c r="Z148" s="11">
        <f>[18]생산!H145</f>
        <v>0</v>
      </c>
      <c r="AA148" s="11">
        <f>[18]생산!I145</f>
        <v>0</v>
      </c>
      <c r="AB148" s="11">
        <f>[18]생산!J145</f>
        <v>0</v>
      </c>
      <c r="AC148" s="48">
        <f>ROUNDDOWN('[20]2025년'!G144/1000,1)</f>
        <v>0</v>
      </c>
    </row>
    <row r="149" spans="1:29">
      <c r="A149" s="6">
        <f t="shared" si="2"/>
        <v>45801</v>
      </c>
      <c r="B149" s="9">
        <v>6583</v>
      </c>
      <c r="C149" s="9">
        <v>236867</v>
      </c>
      <c r="D149" s="9">
        <v>230822</v>
      </c>
      <c r="E149" s="9">
        <v>14443</v>
      </c>
      <c r="F149" s="9">
        <v>12649</v>
      </c>
      <c r="G149" s="9">
        <v>3857</v>
      </c>
      <c r="H149" s="9">
        <v>15742</v>
      </c>
      <c r="I149" s="9">
        <v>272731</v>
      </c>
      <c r="J149" s="10">
        <v>32.29</v>
      </c>
      <c r="K149" s="10">
        <v>31.69</v>
      </c>
      <c r="L149" s="9">
        <f>'[18]key-in(DCO)'!AR147</f>
        <v>0</v>
      </c>
      <c r="M149" s="10">
        <f>[18]생산!AV146</f>
        <v>0</v>
      </c>
      <c r="N149" s="10">
        <f>[18]생산!AW146</f>
        <v>0</v>
      </c>
      <c r="O149" s="10">
        <f>[18]생산!AX146</f>
        <v>0</v>
      </c>
      <c r="P149" s="10">
        <f>[18]생산!AY146</f>
        <v>0</v>
      </c>
      <c r="Q149" s="10">
        <f>[19]생산!BE146</f>
        <v>0</v>
      </c>
      <c r="R149" s="10">
        <f>[18]생산!BA146</f>
        <v>0</v>
      </c>
      <c r="S149" s="9">
        <f>[18]운전시간외!C146</f>
        <v>0</v>
      </c>
      <c r="T149" s="9">
        <f>[18]운전시간외!D146</f>
        <v>0</v>
      </c>
      <c r="U149" s="9">
        <f>[18]운전시간외!E146</f>
        <v>0</v>
      </c>
      <c r="V149" s="9">
        <f>[18]운전시간외!F146</f>
        <v>0</v>
      </c>
      <c r="W149" s="11">
        <f>[18]생산!E146</f>
        <v>0</v>
      </c>
      <c r="X149" s="11">
        <f>[18]생산!F146</f>
        <v>0</v>
      </c>
      <c r="Y149" s="11">
        <f>[18]생산!G146</f>
        <v>0</v>
      </c>
      <c r="Z149" s="11">
        <f>[18]생산!H146</f>
        <v>0</v>
      </c>
      <c r="AA149" s="11">
        <f>[18]생산!I146</f>
        <v>0</v>
      </c>
      <c r="AB149" s="11">
        <f>[18]생산!J146</f>
        <v>0</v>
      </c>
      <c r="AC149" s="48">
        <f>ROUNDDOWN('[20]2025년'!G145/1000,1)</f>
        <v>0</v>
      </c>
    </row>
    <row r="150" spans="1:29">
      <c r="A150" s="6">
        <f t="shared" si="2"/>
        <v>45802</v>
      </c>
      <c r="B150" s="9">
        <v>6583</v>
      </c>
      <c r="C150" s="9">
        <v>236867</v>
      </c>
      <c r="D150" s="9">
        <v>230822</v>
      </c>
      <c r="E150" s="9">
        <v>14445</v>
      </c>
      <c r="F150" s="9">
        <v>12649</v>
      </c>
      <c r="G150" s="9">
        <v>3858</v>
      </c>
      <c r="H150" s="9">
        <v>15742</v>
      </c>
      <c r="I150" s="9">
        <v>272747</v>
      </c>
      <c r="J150" s="10">
        <v>32.31</v>
      </c>
      <c r="K150" s="10">
        <v>31.7</v>
      </c>
      <c r="L150" s="9">
        <f>'[18]key-in(DCO)'!AR148</f>
        <v>0</v>
      </c>
      <c r="M150" s="10">
        <f>[18]생산!AV147</f>
        <v>0</v>
      </c>
      <c r="N150" s="10">
        <f>[18]생산!AW147</f>
        <v>0</v>
      </c>
      <c r="O150" s="10">
        <f>[18]생산!AX147</f>
        <v>0</v>
      </c>
      <c r="P150" s="10">
        <f>[18]생산!AY147</f>
        <v>0</v>
      </c>
      <c r="Q150" s="10">
        <f>[19]생산!BE147</f>
        <v>0</v>
      </c>
      <c r="R150" s="10">
        <f>[18]생산!BA147</f>
        <v>0</v>
      </c>
      <c r="S150" s="9">
        <f>[18]운전시간외!C147</f>
        <v>0</v>
      </c>
      <c r="T150" s="9">
        <f>[18]운전시간외!D147</f>
        <v>0</v>
      </c>
      <c r="U150" s="9">
        <f>[18]운전시간외!E147</f>
        <v>0</v>
      </c>
      <c r="V150" s="9">
        <f>[18]운전시간외!F147</f>
        <v>0</v>
      </c>
      <c r="W150" s="11">
        <f>[18]생산!E147</f>
        <v>0</v>
      </c>
      <c r="X150" s="11">
        <f>[18]생산!F147</f>
        <v>0</v>
      </c>
      <c r="Y150" s="11">
        <f>[18]생산!G147</f>
        <v>0</v>
      </c>
      <c r="Z150" s="11">
        <f>[18]생산!H147</f>
        <v>0</v>
      </c>
      <c r="AA150" s="11">
        <f>[18]생산!I147</f>
        <v>0</v>
      </c>
      <c r="AB150" s="11">
        <f>[18]생산!J147</f>
        <v>0</v>
      </c>
      <c r="AC150" s="48">
        <f>ROUNDDOWN('[20]2025년'!G146/1000,1)</f>
        <v>0</v>
      </c>
    </row>
    <row r="151" spans="1:29">
      <c r="A151" s="6">
        <f t="shared" si="2"/>
        <v>45803</v>
      </c>
      <c r="B151" s="9">
        <v>6583</v>
      </c>
      <c r="C151" s="9">
        <v>236917</v>
      </c>
      <c r="D151" s="9">
        <v>230822</v>
      </c>
      <c r="E151" s="9">
        <v>14450</v>
      </c>
      <c r="F151" s="9">
        <v>12649</v>
      </c>
      <c r="G151" s="9">
        <v>3859</v>
      </c>
      <c r="H151" s="9">
        <v>15775</v>
      </c>
      <c r="I151" s="9">
        <v>272847</v>
      </c>
      <c r="J151" s="10">
        <v>32.14</v>
      </c>
      <c r="K151" s="10">
        <v>31.69</v>
      </c>
      <c r="L151" s="9">
        <f>'[18]key-in(DCO)'!AR149</f>
        <v>0</v>
      </c>
      <c r="M151" s="10">
        <f>[18]생산!AV148</f>
        <v>0</v>
      </c>
      <c r="N151" s="10">
        <f>[18]생산!AW148</f>
        <v>0</v>
      </c>
      <c r="O151" s="10">
        <f>[18]생산!AX148</f>
        <v>0</v>
      </c>
      <c r="P151" s="10">
        <f>[18]생산!AY148</f>
        <v>0</v>
      </c>
      <c r="Q151" s="10">
        <f>[19]생산!BE148</f>
        <v>0</v>
      </c>
      <c r="R151" s="10">
        <f>[18]생산!BA148</f>
        <v>0</v>
      </c>
      <c r="S151" s="9">
        <f>[18]운전시간외!C148</f>
        <v>0</v>
      </c>
      <c r="T151" s="9">
        <f>[18]운전시간외!D148</f>
        <v>0</v>
      </c>
      <c r="U151" s="9">
        <f>[18]운전시간외!E148</f>
        <v>0</v>
      </c>
      <c r="V151" s="9">
        <f>[18]운전시간외!F148</f>
        <v>0</v>
      </c>
      <c r="W151" s="11">
        <f>[18]생산!E148</f>
        <v>0</v>
      </c>
      <c r="X151" s="11">
        <f>[18]생산!F148</f>
        <v>0</v>
      </c>
      <c r="Y151" s="11">
        <f>[18]생산!G148</f>
        <v>0</v>
      </c>
      <c r="Z151" s="11">
        <f>[18]생산!H148</f>
        <v>0</v>
      </c>
      <c r="AA151" s="11">
        <f>[18]생산!I148</f>
        <v>0</v>
      </c>
      <c r="AB151" s="11">
        <f>[18]생산!J148</f>
        <v>0</v>
      </c>
      <c r="AC151" s="48">
        <f>ROUNDDOWN('[20]2025년'!G147/1000,1)</f>
        <v>0</v>
      </c>
    </row>
    <row r="152" spans="1:29">
      <c r="A152" s="6">
        <f t="shared" si="2"/>
        <v>45804</v>
      </c>
      <c r="B152" s="9">
        <v>6583</v>
      </c>
      <c r="C152" s="9">
        <v>236958</v>
      </c>
      <c r="D152" s="9">
        <v>230822</v>
      </c>
      <c r="E152" s="9">
        <v>14456</v>
      </c>
      <c r="F152" s="9">
        <v>12649</v>
      </c>
      <c r="G152" s="9">
        <v>3859</v>
      </c>
      <c r="H152" s="9">
        <v>15823</v>
      </c>
      <c r="I152" s="9">
        <v>272909</v>
      </c>
      <c r="J152" s="10">
        <v>32.15</v>
      </c>
      <c r="K152" s="10">
        <v>31.67</v>
      </c>
      <c r="L152" s="9">
        <f>'[18]key-in(DCO)'!AR150</f>
        <v>0</v>
      </c>
      <c r="M152" s="10">
        <f>[18]생산!AV149</f>
        <v>0</v>
      </c>
      <c r="N152" s="10">
        <f>[18]생산!AW149</f>
        <v>0</v>
      </c>
      <c r="O152" s="10">
        <f>[18]생산!AX149</f>
        <v>0</v>
      </c>
      <c r="P152" s="10">
        <f>[18]생산!AY149</f>
        <v>0</v>
      </c>
      <c r="Q152" s="10">
        <f>[19]생산!BE149</f>
        <v>0</v>
      </c>
      <c r="R152" s="10">
        <f>[18]생산!BA149</f>
        <v>0</v>
      </c>
      <c r="S152" s="9">
        <f>[18]운전시간외!C149</f>
        <v>0</v>
      </c>
      <c r="T152" s="9">
        <f>[18]운전시간외!D149</f>
        <v>0</v>
      </c>
      <c r="U152" s="9">
        <f>[18]운전시간외!E149</f>
        <v>0</v>
      </c>
      <c r="V152" s="9">
        <f>[18]운전시간외!F149</f>
        <v>0</v>
      </c>
      <c r="W152" s="11">
        <f>[18]생산!E149</f>
        <v>0</v>
      </c>
      <c r="X152" s="11">
        <f>[18]생산!F149</f>
        <v>0</v>
      </c>
      <c r="Y152" s="11">
        <f>[18]생산!G149</f>
        <v>0</v>
      </c>
      <c r="Z152" s="11">
        <f>[18]생산!H149</f>
        <v>0</v>
      </c>
      <c r="AA152" s="11">
        <f>[18]생산!I149</f>
        <v>0</v>
      </c>
      <c r="AB152" s="11">
        <f>[18]생산!J149</f>
        <v>0</v>
      </c>
      <c r="AC152" s="48">
        <f>ROUNDDOWN('[20]2025년'!G148/1000,1)</f>
        <v>0</v>
      </c>
    </row>
    <row r="153" spans="1:29">
      <c r="A153" s="6">
        <f t="shared" si="2"/>
        <v>45805</v>
      </c>
      <c r="B153" s="9">
        <v>6583</v>
      </c>
      <c r="C153" s="9">
        <v>236992</v>
      </c>
      <c r="D153" s="9">
        <v>230840</v>
      </c>
      <c r="E153" s="9">
        <v>14460</v>
      </c>
      <c r="F153" s="9">
        <v>12649</v>
      </c>
      <c r="G153" s="9">
        <v>3860</v>
      </c>
      <c r="H153" s="9">
        <v>15823</v>
      </c>
      <c r="I153" s="9">
        <v>273014</v>
      </c>
      <c r="J153" s="10">
        <v>32.200000000000003</v>
      </c>
      <c r="K153" s="10">
        <v>31.64</v>
      </c>
      <c r="L153" s="9">
        <f>'[18]key-in(DCO)'!AR151</f>
        <v>0</v>
      </c>
      <c r="M153" s="10">
        <f>[18]생산!AV150</f>
        <v>0</v>
      </c>
      <c r="N153" s="10">
        <f>[18]생산!AW150</f>
        <v>0</v>
      </c>
      <c r="O153" s="10">
        <f>[18]생산!AX150</f>
        <v>0</v>
      </c>
      <c r="P153" s="10">
        <f>[18]생산!AY150</f>
        <v>0</v>
      </c>
      <c r="Q153" s="10">
        <f>[19]생산!BE150</f>
        <v>0</v>
      </c>
      <c r="R153" s="10">
        <f>[18]생산!BA150</f>
        <v>0</v>
      </c>
      <c r="S153" s="9">
        <f>[18]운전시간외!C150</f>
        <v>0</v>
      </c>
      <c r="T153" s="9">
        <f>[18]운전시간외!D150</f>
        <v>0</v>
      </c>
      <c r="U153" s="9">
        <f>[18]운전시간외!E150</f>
        <v>0</v>
      </c>
      <c r="V153" s="9">
        <f>[18]운전시간외!F150</f>
        <v>0</v>
      </c>
      <c r="W153" s="11">
        <f>[18]생산!E150</f>
        <v>0</v>
      </c>
      <c r="X153" s="11">
        <f>[18]생산!F150</f>
        <v>0</v>
      </c>
      <c r="Y153" s="11">
        <f>[18]생산!G150</f>
        <v>0</v>
      </c>
      <c r="Z153" s="11">
        <f>[18]생산!H150</f>
        <v>0</v>
      </c>
      <c r="AA153" s="11">
        <f>[18]생산!I150</f>
        <v>0</v>
      </c>
      <c r="AB153" s="11">
        <f>[18]생산!J150</f>
        <v>0</v>
      </c>
      <c r="AC153" s="48">
        <f>ROUNDDOWN('[20]2025년'!G149/1000,1)</f>
        <v>0</v>
      </c>
    </row>
    <row r="154" spans="1:29">
      <c r="A154" s="6">
        <f t="shared" si="2"/>
        <v>45806</v>
      </c>
      <c r="B154" s="9">
        <v>6583</v>
      </c>
      <c r="C154" s="9">
        <v>236992</v>
      </c>
      <c r="D154" s="9">
        <v>230964</v>
      </c>
      <c r="E154" s="9">
        <v>14467</v>
      </c>
      <c r="F154" s="9">
        <v>12650</v>
      </c>
      <c r="G154" s="9">
        <v>3862</v>
      </c>
      <c r="H154" s="9">
        <v>15919</v>
      </c>
      <c r="I154" s="9">
        <v>273214</v>
      </c>
      <c r="J154" s="10">
        <v>32.24</v>
      </c>
      <c r="K154" s="10">
        <v>31.63</v>
      </c>
      <c r="L154" s="9">
        <f>'[18]key-in(DCO)'!AR152</f>
        <v>0</v>
      </c>
      <c r="M154" s="10">
        <f>[18]생산!AV151</f>
        <v>30.2</v>
      </c>
      <c r="N154" s="10">
        <f>[18]생산!AW151</f>
        <v>0</v>
      </c>
      <c r="O154" s="10">
        <f>[18]생산!AX151</f>
        <v>0</v>
      </c>
      <c r="P154" s="10">
        <f>[18]생산!AY151</f>
        <v>0</v>
      </c>
      <c r="Q154" s="10">
        <f>[19]생산!BE151</f>
        <v>0</v>
      </c>
      <c r="R154" s="10">
        <f>[18]생산!BA151</f>
        <v>0</v>
      </c>
      <c r="S154" s="9">
        <f>[18]운전시간외!C151</f>
        <v>0</v>
      </c>
      <c r="T154" s="9">
        <f>[18]운전시간외!D151</f>
        <v>0</v>
      </c>
      <c r="U154" s="9">
        <f>[18]운전시간외!E151</f>
        <v>0</v>
      </c>
      <c r="V154" s="9">
        <f>[18]운전시간외!F151</f>
        <v>0</v>
      </c>
      <c r="W154" s="11">
        <f>[18]생산!E151</f>
        <v>0</v>
      </c>
      <c r="X154" s="11">
        <f>[18]생산!F151</f>
        <v>0</v>
      </c>
      <c r="Y154" s="11">
        <f>[18]생산!G151</f>
        <v>0</v>
      </c>
      <c r="Z154" s="11">
        <f>[18]생산!H151</f>
        <v>0</v>
      </c>
      <c r="AA154" s="11">
        <f>[18]생산!I151</f>
        <v>0</v>
      </c>
      <c r="AB154" s="11">
        <f>[18]생산!J151</f>
        <v>0</v>
      </c>
      <c r="AC154" s="48">
        <f>ROUNDDOWN('[20]2025년'!G150/1000,1)</f>
        <v>0</v>
      </c>
    </row>
    <row r="155" spans="1:29">
      <c r="A155" s="6">
        <f t="shared" si="2"/>
        <v>45807</v>
      </c>
      <c r="B155" s="9">
        <v>6601</v>
      </c>
      <c r="C155" s="9">
        <v>237090</v>
      </c>
      <c r="D155" s="9">
        <v>230987</v>
      </c>
      <c r="E155" s="9">
        <v>14474</v>
      </c>
      <c r="F155" s="9">
        <v>12666</v>
      </c>
      <c r="G155" s="9">
        <v>3863</v>
      </c>
      <c r="H155" s="9">
        <v>16041</v>
      </c>
      <c r="I155" s="9">
        <v>273434</v>
      </c>
      <c r="J155" s="10">
        <v>32.24</v>
      </c>
      <c r="K155" s="10">
        <v>31.76</v>
      </c>
      <c r="L155" s="9">
        <f>'[18]key-in(DCO)'!AR153</f>
        <v>0</v>
      </c>
      <c r="M155" s="10">
        <f>[18]생산!AV152</f>
        <v>14826.1</v>
      </c>
      <c r="N155" s="10">
        <f>[18]생산!AW152</f>
        <v>0</v>
      </c>
      <c r="O155" s="10">
        <f>[18]생산!AX152</f>
        <v>0</v>
      </c>
      <c r="P155" s="10">
        <f>[18]생산!AY152</f>
        <v>0</v>
      </c>
      <c r="Q155" s="10">
        <f>[19]생산!BE152</f>
        <v>0</v>
      </c>
      <c r="R155" s="10">
        <f>[18]생산!BA152</f>
        <v>0</v>
      </c>
      <c r="S155" s="9">
        <f>[18]운전시간외!C152</f>
        <v>14</v>
      </c>
      <c r="T155" s="9">
        <f>[18]운전시간외!D152</f>
        <v>0</v>
      </c>
      <c r="U155" s="9">
        <f>[18]운전시간외!E152</f>
        <v>0</v>
      </c>
      <c r="V155" s="9">
        <f>[18]운전시간외!F152</f>
        <v>0</v>
      </c>
      <c r="W155" s="11">
        <f>[18]생산!E152</f>
        <v>80</v>
      </c>
      <c r="X155" s="11">
        <f>[18]생산!F152</f>
        <v>0</v>
      </c>
      <c r="Y155" s="11">
        <f>[18]생산!G152</f>
        <v>0</v>
      </c>
      <c r="Z155" s="11">
        <f>[18]생산!H152</f>
        <v>0</v>
      </c>
      <c r="AA155" s="11">
        <f>[18]생산!I152</f>
        <v>0</v>
      </c>
      <c r="AB155" s="11">
        <f>[18]생산!J152</f>
        <v>80</v>
      </c>
      <c r="AC155" s="48">
        <f>ROUNDDOWN('[20]2025년'!G151/1000,1)</f>
        <v>3.6</v>
      </c>
    </row>
    <row r="156" spans="1:29">
      <c r="A156" s="6">
        <f t="shared" si="2"/>
        <v>45808</v>
      </c>
      <c r="B156" s="9">
        <v>6635</v>
      </c>
      <c r="C156" s="9">
        <v>237161</v>
      </c>
      <c r="D156" s="9">
        <v>231051</v>
      </c>
      <c r="E156" s="9">
        <v>14476</v>
      </c>
      <c r="F156" s="9">
        <v>12693</v>
      </c>
      <c r="G156" s="9">
        <v>3863</v>
      </c>
      <c r="H156" s="9">
        <v>16127</v>
      </c>
      <c r="I156" s="9">
        <v>273677</v>
      </c>
      <c r="J156" s="10">
        <v>32.119999999999997</v>
      </c>
      <c r="K156" s="10">
        <v>31.92</v>
      </c>
      <c r="L156" s="9">
        <f>'[18]key-in(DCO)'!AR154</f>
        <v>0</v>
      </c>
      <c r="M156" s="10">
        <f>[18]생산!AV153</f>
        <v>0</v>
      </c>
      <c r="N156" s="10">
        <f>[18]생산!AW153</f>
        <v>0</v>
      </c>
      <c r="O156" s="10">
        <f>[18]생산!AX153</f>
        <v>0</v>
      </c>
      <c r="P156" s="10">
        <f>[18]생산!AY153</f>
        <v>0</v>
      </c>
      <c r="Q156" s="10">
        <f>[19]생산!BE153</f>
        <v>0</v>
      </c>
      <c r="R156" s="10">
        <f>[18]생산!BA153</f>
        <v>0</v>
      </c>
      <c r="S156" s="9">
        <f>[18]운전시간외!C153</f>
        <v>0</v>
      </c>
      <c r="T156" s="9">
        <f>[18]운전시간외!D153</f>
        <v>0</v>
      </c>
      <c r="U156" s="9">
        <f>[18]운전시간외!E153</f>
        <v>0</v>
      </c>
      <c r="V156" s="9">
        <f>[18]운전시간외!F153</f>
        <v>0</v>
      </c>
      <c r="W156" s="11">
        <f>[18]생산!E153</f>
        <v>0</v>
      </c>
      <c r="X156" s="11">
        <f>[18]생산!F153</f>
        <v>0</v>
      </c>
      <c r="Y156" s="11">
        <f>[18]생산!G153</f>
        <v>0</v>
      </c>
      <c r="Z156" s="11">
        <f>[18]생산!H153</f>
        <v>0</v>
      </c>
      <c r="AA156" s="11">
        <f>[18]생산!I153</f>
        <v>0</v>
      </c>
      <c r="AB156" s="11">
        <f>[18]생산!J153</f>
        <v>0</v>
      </c>
      <c r="AC156" s="48">
        <f>ROUNDDOWN('[20]2025년'!G152/1000,1)</f>
        <v>0</v>
      </c>
    </row>
    <row r="157" spans="1:29">
      <c r="A157" s="6">
        <f t="shared" si="2"/>
        <v>45809</v>
      </c>
      <c r="B157" s="9">
        <v>6652</v>
      </c>
      <c r="C157" s="9">
        <v>237161</v>
      </c>
      <c r="D157" s="9">
        <v>231112</v>
      </c>
      <c r="E157" s="9">
        <v>14479</v>
      </c>
      <c r="F157" s="9">
        <v>12721</v>
      </c>
      <c r="G157" s="9">
        <v>3863.8</v>
      </c>
      <c r="H157" s="9">
        <v>16159</v>
      </c>
      <c r="I157" s="9">
        <v>273780</v>
      </c>
      <c r="J157" s="10">
        <v>32.04</v>
      </c>
      <c r="K157" s="10">
        <v>32.04</v>
      </c>
      <c r="L157" s="9">
        <f>'[18]key-in(DCO)'!AR155</f>
        <v>0</v>
      </c>
      <c r="M157" s="10">
        <f>[18]생산!AV154</f>
        <v>0</v>
      </c>
      <c r="N157" s="10">
        <f>[18]생산!AW154</f>
        <v>0</v>
      </c>
      <c r="O157" s="10">
        <f>[18]생산!AX154</f>
        <v>0</v>
      </c>
      <c r="P157" s="10">
        <f>[18]생산!AY154</f>
        <v>0</v>
      </c>
      <c r="Q157" s="10">
        <f>[19]생산!BE154</f>
        <v>0</v>
      </c>
      <c r="R157" s="10">
        <f>[18]생산!BA154</f>
        <v>0</v>
      </c>
      <c r="S157" s="9">
        <f>[18]운전시간외!C154</f>
        <v>0</v>
      </c>
      <c r="T157" s="9">
        <f>[18]운전시간외!D154</f>
        <v>0</v>
      </c>
      <c r="U157" s="9">
        <f>[18]운전시간외!E154</f>
        <v>0</v>
      </c>
      <c r="V157" s="9">
        <f>[18]운전시간외!F154</f>
        <v>0</v>
      </c>
      <c r="W157" s="11">
        <f>[18]생산!E154</f>
        <v>0</v>
      </c>
      <c r="X157" s="11">
        <f>[18]생산!F154</f>
        <v>0</v>
      </c>
      <c r="Y157" s="11">
        <f>[18]생산!G154</f>
        <v>0</v>
      </c>
      <c r="Z157" s="11">
        <f>[18]생산!H154</f>
        <v>0</v>
      </c>
      <c r="AA157" s="11">
        <f>[18]생산!I154</f>
        <v>0</v>
      </c>
      <c r="AB157" s="11">
        <f>[18]생산!J154</f>
        <v>0</v>
      </c>
      <c r="AC157" s="48">
        <f>ROUNDDOWN('[20]2025년'!G153/1000,1)</f>
        <v>0</v>
      </c>
    </row>
    <row r="158" spans="1:29">
      <c r="A158" s="6">
        <f t="shared" si="2"/>
        <v>45810</v>
      </c>
      <c r="B158" s="9">
        <v>6672</v>
      </c>
      <c r="C158" s="9">
        <v>237253</v>
      </c>
      <c r="D158" s="9">
        <v>231167</v>
      </c>
      <c r="E158" s="9">
        <v>14483</v>
      </c>
      <c r="F158" s="9">
        <v>12749</v>
      </c>
      <c r="G158" s="9">
        <v>3864.7</v>
      </c>
      <c r="H158" s="9">
        <v>16273</v>
      </c>
      <c r="I158" s="9">
        <v>274045</v>
      </c>
      <c r="J158" s="10">
        <v>32.18</v>
      </c>
      <c r="K158" s="10">
        <v>32.18</v>
      </c>
      <c r="L158" s="9">
        <f>'[18]key-in(DCO)'!AR156</f>
        <v>0</v>
      </c>
      <c r="M158" s="10">
        <f>[18]생산!AV155</f>
        <v>0</v>
      </c>
      <c r="N158" s="10">
        <f>[18]생산!AW155</f>
        <v>0</v>
      </c>
      <c r="O158" s="10">
        <f>[18]생산!AX155</f>
        <v>0</v>
      </c>
      <c r="P158" s="10">
        <f>[18]생산!AY155</f>
        <v>0</v>
      </c>
      <c r="Q158" s="10">
        <f>[19]생산!BE155</f>
        <v>0</v>
      </c>
      <c r="R158" s="10">
        <f>[18]생산!BA155</f>
        <v>0</v>
      </c>
      <c r="S158" s="9">
        <f>[18]운전시간외!C155</f>
        <v>0</v>
      </c>
      <c r="T158" s="9">
        <f>[18]운전시간외!D155</f>
        <v>0</v>
      </c>
      <c r="U158" s="9">
        <f>[18]운전시간외!E155</f>
        <v>0</v>
      </c>
      <c r="V158" s="9">
        <f>[18]운전시간외!F155</f>
        <v>0</v>
      </c>
      <c r="W158" s="11">
        <f>[18]생산!E155</f>
        <v>0</v>
      </c>
      <c r="X158" s="11">
        <f>[18]생산!F155</f>
        <v>0</v>
      </c>
      <c r="Y158" s="11">
        <f>[18]생산!G155</f>
        <v>0</v>
      </c>
      <c r="Z158" s="11">
        <f>[18]생산!H155</f>
        <v>0</v>
      </c>
      <c r="AA158" s="11">
        <f>[18]생산!I155</f>
        <v>0</v>
      </c>
      <c r="AB158" s="11">
        <f>[18]생산!J155</f>
        <v>0</v>
      </c>
      <c r="AC158" s="48">
        <f>ROUNDDOWN('[20]2025년'!G154/1000,1)</f>
        <v>0</v>
      </c>
    </row>
    <row r="159" spans="1:29">
      <c r="A159" s="6">
        <f t="shared" si="2"/>
        <v>45811</v>
      </c>
      <c r="B159" s="9">
        <v>6709</v>
      </c>
      <c r="C159" s="9">
        <v>237332</v>
      </c>
      <c r="D159" s="9">
        <v>231299</v>
      </c>
      <c r="E159" s="9">
        <v>14486</v>
      </c>
      <c r="F159" s="9">
        <v>12774</v>
      </c>
      <c r="G159" s="9">
        <v>3865.2</v>
      </c>
      <c r="H159" s="9">
        <v>16378</v>
      </c>
      <c r="I159" s="9">
        <v>274349</v>
      </c>
      <c r="J159" s="10">
        <v>32.4</v>
      </c>
      <c r="K159" s="10">
        <v>32.4</v>
      </c>
      <c r="L159" s="9">
        <f>'[18]key-in(DCO)'!AR157</f>
        <v>0</v>
      </c>
      <c r="M159" s="10">
        <f>[18]생산!AV156</f>
        <v>0</v>
      </c>
      <c r="N159" s="10">
        <f>[18]생산!AW156</f>
        <v>0</v>
      </c>
      <c r="O159" s="10">
        <f>[18]생산!AX156</f>
        <v>0</v>
      </c>
      <c r="P159" s="10">
        <f>[18]생산!AY156</f>
        <v>0</v>
      </c>
      <c r="Q159" s="10">
        <f>[19]생산!BE156</f>
        <v>0</v>
      </c>
      <c r="R159" s="10">
        <f>[18]생산!BA156</f>
        <v>0</v>
      </c>
      <c r="S159" s="9">
        <f>[18]운전시간외!C156</f>
        <v>0</v>
      </c>
      <c r="T159" s="9">
        <f>[18]운전시간외!D156</f>
        <v>0</v>
      </c>
      <c r="U159" s="9">
        <f>[18]운전시간외!E156</f>
        <v>0</v>
      </c>
      <c r="V159" s="9">
        <f>[18]운전시간외!F156</f>
        <v>0</v>
      </c>
      <c r="W159" s="11">
        <f>[18]생산!E156</f>
        <v>0</v>
      </c>
      <c r="X159" s="11">
        <f>[18]생산!F156</f>
        <v>0</v>
      </c>
      <c r="Y159" s="11">
        <f>[18]생산!G156</f>
        <v>0</v>
      </c>
      <c r="Z159" s="11">
        <f>[18]생산!H156</f>
        <v>0</v>
      </c>
      <c r="AA159" s="11">
        <f>[18]생산!I156</f>
        <v>0</v>
      </c>
      <c r="AB159" s="11">
        <f>[18]생산!J156</f>
        <v>0</v>
      </c>
      <c r="AC159" s="48">
        <f>ROUNDDOWN('[20]2025년'!G155/1000,1)</f>
        <v>0</v>
      </c>
    </row>
    <row r="160" spans="1:29">
      <c r="A160" s="6">
        <f t="shared" si="2"/>
        <v>45812</v>
      </c>
      <c r="B160" s="9">
        <v>6731</v>
      </c>
      <c r="C160" s="9">
        <v>237434</v>
      </c>
      <c r="D160" s="9">
        <v>231341</v>
      </c>
      <c r="E160" s="9">
        <v>14488</v>
      </c>
      <c r="F160" s="9">
        <v>12796</v>
      </c>
      <c r="G160" s="9">
        <v>3866.1</v>
      </c>
      <c r="H160" s="9">
        <v>16491</v>
      </c>
      <c r="I160" s="9">
        <v>274596</v>
      </c>
      <c r="J160" s="10">
        <v>32.6</v>
      </c>
      <c r="K160" s="10">
        <v>32.6</v>
      </c>
      <c r="L160" s="9">
        <f>'[18]key-in(DCO)'!AR158</f>
        <v>0</v>
      </c>
      <c r="M160" s="10">
        <f>[18]생산!AV157</f>
        <v>0</v>
      </c>
      <c r="N160" s="10">
        <f>[18]생산!AW157</f>
        <v>0</v>
      </c>
      <c r="O160" s="10">
        <f>[18]생산!AX157</f>
        <v>0</v>
      </c>
      <c r="P160" s="10">
        <f>[18]생산!AY157</f>
        <v>0</v>
      </c>
      <c r="Q160" s="10">
        <f>[19]생산!BE157</f>
        <v>0</v>
      </c>
      <c r="R160" s="10">
        <f>[18]생산!BA157</f>
        <v>0</v>
      </c>
      <c r="S160" s="9">
        <f>[18]운전시간외!C157</f>
        <v>0</v>
      </c>
      <c r="T160" s="9">
        <f>[18]운전시간외!D157</f>
        <v>0</v>
      </c>
      <c r="U160" s="9">
        <f>[18]운전시간외!E157</f>
        <v>0</v>
      </c>
      <c r="V160" s="9">
        <f>[18]운전시간외!F157</f>
        <v>0</v>
      </c>
      <c r="W160" s="11">
        <f>[18]생산!E157</f>
        <v>0</v>
      </c>
      <c r="X160" s="11">
        <f>[18]생산!F157</f>
        <v>0</v>
      </c>
      <c r="Y160" s="11">
        <f>[18]생산!G157</f>
        <v>0</v>
      </c>
      <c r="Z160" s="11">
        <f>[18]생산!H157</f>
        <v>0</v>
      </c>
      <c r="AA160" s="11">
        <f>[18]생산!I157</f>
        <v>0</v>
      </c>
      <c r="AB160" s="11">
        <f>[18]생산!J157</f>
        <v>0</v>
      </c>
      <c r="AC160" s="48">
        <f>ROUNDDOWN('[20]2025년'!G156/1000,1)</f>
        <v>0</v>
      </c>
    </row>
    <row r="161" spans="1:29">
      <c r="A161" s="6">
        <f t="shared" si="2"/>
        <v>45813</v>
      </c>
      <c r="B161" s="9">
        <v>6766</v>
      </c>
      <c r="C161" s="9">
        <v>237509</v>
      </c>
      <c r="D161" s="9">
        <v>231406</v>
      </c>
      <c r="E161" s="9">
        <v>14490</v>
      </c>
      <c r="F161" s="9">
        <v>12801</v>
      </c>
      <c r="G161" s="9">
        <v>3866.7</v>
      </c>
      <c r="H161" s="9">
        <v>16547</v>
      </c>
      <c r="I161" s="9">
        <v>274848</v>
      </c>
      <c r="J161" s="10">
        <v>32.729999999999997</v>
      </c>
      <c r="K161" s="10">
        <v>32.729999999999997</v>
      </c>
      <c r="L161" s="9">
        <f>'[18]key-in(DCO)'!AR159</f>
        <v>0</v>
      </c>
      <c r="M161" s="10">
        <f>[18]생산!AV158</f>
        <v>0</v>
      </c>
      <c r="N161" s="10">
        <f>[18]생산!AW158</f>
        <v>0</v>
      </c>
      <c r="O161" s="10">
        <f>[18]생산!AX158</f>
        <v>0</v>
      </c>
      <c r="P161" s="10">
        <f>[18]생산!AY158</f>
        <v>0</v>
      </c>
      <c r="Q161" s="10">
        <f>[19]생산!BE158</f>
        <v>0</v>
      </c>
      <c r="R161" s="10">
        <f>[18]생산!BA158</f>
        <v>0</v>
      </c>
      <c r="S161" s="9">
        <f>[18]운전시간외!C158</f>
        <v>0</v>
      </c>
      <c r="T161" s="9">
        <f>[18]운전시간외!D158</f>
        <v>0</v>
      </c>
      <c r="U161" s="9">
        <f>[18]운전시간외!E158</f>
        <v>0</v>
      </c>
      <c r="V161" s="9">
        <f>[18]운전시간외!F158</f>
        <v>0</v>
      </c>
      <c r="W161" s="11">
        <f>[18]생산!E158</f>
        <v>0</v>
      </c>
      <c r="X161" s="11">
        <f>[18]생산!F158</f>
        <v>0</v>
      </c>
      <c r="Y161" s="11">
        <f>[18]생산!G158</f>
        <v>0</v>
      </c>
      <c r="Z161" s="11">
        <f>[18]생산!H158</f>
        <v>0</v>
      </c>
      <c r="AA161" s="11">
        <f>[18]생산!I158</f>
        <v>0</v>
      </c>
      <c r="AB161" s="11">
        <f>[18]생산!J158</f>
        <v>0</v>
      </c>
      <c r="AC161" s="48">
        <f>ROUNDDOWN('[20]2025년'!G157/1000,1)</f>
        <v>0</v>
      </c>
    </row>
    <row r="162" spans="1:29">
      <c r="A162" s="6">
        <f t="shared" si="2"/>
        <v>45814</v>
      </c>
      <c r="B162" s="9">
        <v>6801</v>
      </c>
      <c r="C162" s="9">
        <v>237552</v>
      </c>
      <c r="D162" s="9">
        <v>231476</v>
      </c>
      <c r="E162" s="9">
        <v>14492</v>
      </c>
      <c r="F162" s="9">
        <v>12801</v>
      </c>
      <c r="G162" s="9">
        <v>3867</v>
      </c>
      <c r="H162" s="9">
        <v>16547</v>
      </c>
      <c r="I162" s="9">
        <v>274951</v>
      </c>
      <c r="J162" s="10">
        <v>32.85</v>
      </c>
      <c r="K162" s="10">
        <v>32.85</v>
      </c>
      <c r="L162" s="9">
        <f>'[18]key-in(DCO)'!AR160</f>
        <v>0</v>
      </c>
      <c r="M162" s="10">
        <f>[18]생산!AV159</f>
        <v>0</v>
      </c>
      <c r="N162" s="10">
        <f>[18]생산!AW159</f>
        <v>0</v>
      </c>
      <c r="O162" s="10">
        <f>[18]생산!AX159</f>
        <v>0</v>
      </c>
      <c r="P162" s="10">
        <f>[18]생산!AY159</f>
        <v>0</v>
      </c>
      <c r="Q162" s="10">
        <f>[19]생산!BE159</f>
        <v>0</v>
      </c>
      <c r="R162" s="10">
        <f>[18]생산!BA159</f>
        <v>0</v>
      </c>
      <c r="S162" s="9">
        <f>[18]운전시간외!C159</f>
        <v>0</v>
      </c>
      <c r="T162" s="9">
        <f>[18]운전시간외!D159</f>
        <v>0</v>
      </c>
      <c r="U162" s="9">
        <f>[18]운전시간외!E159</f>
        <v>0</v>
      </c>
      <c r="V162" s="9">
        <f>[18]운전시간외!F159</f>
        <v>0</v>
      </c>
      <c r="W162" s="11">
        <f>[18]생산!E159</f>
        <v>0</v>
      </c>
      <c r="X162" s="11">
        <f>[18]생산!F159</f>
        <v>0</v>
      </c>
      <c r="Y162" s="11">
        <f>[18]생산!G159</f>
        <v>0</v>
      </c>
      <c r="Z162" s="11">
        <f>[18]생산!H159</f>
        <v>0</v>
      </c>
      <c r="AA162" s="11">
        <f>[18]생산!I159</f>
        <v>0</v>
      </c>
      <c r="AB162" s="11">
        <f>[18]생산!J159</f>
        <v>0</v>
      </c>
      <c r="AC162" s="48">
        <f>ROUNDDOWN('[20]2025년'!G158/1000,1)</f>
        <v>0</v>
      </c>
    </row>
    <row r="163" spans="1:29">
      <c r="A163" s="6">
        <f t="shared" si="2"/>
        <v>45815</v>
      </c>
      <c r="B163" s="9">
        <v>6823</v>
      </c>
      <c r="C163" s="9">
        <v>237664</v>
      </c>
      <c r="D163" s="9">
        <v>231476</v>
      </c>
      <c r="E163" s="9">
        <v>14494</v>
      </c>
      <c r="F163" s="9">
        <v>12801</v>
      </c>
      <c r="G163" s="9">
        <v>3867.4</v>
      </c>
      <c r="H163" s="9">
        <v>16547</v>
      </c>
      <c r="I163" s="9">
        <v>275094</v>
      </c>
      <c r="J163" s="10">
        <v>33.020000000000003</v>
      </c>
      <c r="K163" s="10">
        <v>33.020000000000003</v>
      </c>
      <c r="L163" s="9">
        <f>'[18]key-in(DCO)'!AR161</f>
        <v>0</v>
      </c>
      <c r="M163" s="10">
        <f>[18]생산!AV160</f>
        <v>0</v>
      </c>
      <c r="N163" s="10">
        <f>[18]생산!AW160</f>
        <v>0</v>
      </c>
      <c r="O163" s="10">
        <f>[18]생산!AX160</f>
        <v>0</v>
      </c>
      <c r="P163" s="10">
        <f>[18]생산!AY160</f>
        <v>0</v>
      </c>
      <c r="Q163" s="10">
        <f>[19]생산!BE160</f>
        <v>0</v>
      </c>
      <c r="R163" s="10">
        <f>[18]생산!BA160</f>
        <v>0</v>
      </c>
      <c r="S163" s="9">
        <f>[18]운전시간외!C160</f>
        <v>0</v>
      </c>
      <c r="T163" s="9">
        <f>[18]운전시간외!D160</f>
        <v>0</v>
      </c>
      <c r="U163" s="9">
        <f>[18]운전시간외!E160</f>
        <v>0</v>
      </c>
      <c r="V163" s="9">
        <f>[18]운전시간외!F160</f>
        <v>0</v>
      </c>
      <c r="W163" s="11">
        <f>[18]생산!E160</f>
        <v>0</v>
      </c>
      <c r="X163" s="11">
        <f>[18]생산!F160</f>
        <v>0</v>
      </c>
      <c r="Y163" s="11">
        <f>[18]생산!G160</f>
        <v>0</v>
      </c>
      <c r="Z163" s="11">
        <f>[18]생산!H160</f>
        <v>0</v>
      </c>
      <c r="AA163" s="11">
        <f>[18]생산!I160</f>
        <v>0</v>
      </c>
      <c r="AB163" s="11">
        <f>[18]생산!J160</f>
        <v>0</v>
      </c>
      <c r="AC163" s="48">
        <f>ROUNDDOWN('[20]2025년'!G159/1000,1)</f>
        <v>0</v>
      </c>
    </row>
    <row r="164" spans="1:29">
      <c r="A164" s="6">
        <f t="shared" si="2"/>
        <v>45816</v>
      </c>
      <c r="B164" s="9">
        <v>6823</v>
      </c>
      <c r="C164" s="9">
        <v>237664</v>
      </c>
      <c r="D164" s="9">
        <v>231476</v>
      </c>
      <c r="E164" s="9">
        <v>14496</v>
      </c>
      <c r="F164" s="9">
        <v>12801</v>
      </c>
      <c r="G164" s="9">
        <v>3867.8</v>
      </c>
      <c r="H164" s="9">
        <v>16547</v>
      </c>
      <c r="I164" s="9">
        <v>275109</v>
      </c>
      <c r="J164" s="10">
        <v>32.979999999999997</v>
      </c>
      <c r="K164" s="10">
        <v>32.979999999999997</v>
      </c>
      <c r="L164" s="9">
        <f>'[18]key-in(DCO)'!AR162</f>
        <v>0</v>
      </c>
      <c r="M164" s="10">
        <f>[18]생산!AV161</f>
        <v>0</v>
      </c>
      <c r="N164" s="10">
        <f>[18]생산!AW161</f>
        <v>0</v>
      </c>
      <c r="O164" s="10">
        <f>[18]생산!AX161</f>
        <v>0</v>
      </c>
      <c r="P164" s="10">
        <f>[18]생산!AY161</f>
        <v>0</v>
      </c>
      <c r="Q164" s="10">
        <f>[19]생산!BE161</f>
        <v>0</v>
      </c>
      <c r="R164" s="10">
        <f>[18]생산!BA161</f>
        <v>0</v>
      </c>
      <c r="S164" s="9">
        <f>[18]운전시간외!C161</f>
        <v>0</v>
      </c>
      <c r="T164" s="9">
        <f>[18]운전시간외!D161</f>
        <v>0</v>
      </c>
      <c r="U164" s="9">
        <f>[18]운전시간외!E161</f>
        <v>0</v>
      </c>
      <c r="V164" s="9">
        <f>[18]운전시간외!F161</f>
        <v>0</v>
      </c>
      <c r="W164" s="11">
        <f>[18]생산!E161</f>
        <v>0</v>
      </c>
      <c r="X164" s="11">
        <f>[18]생산!F161</f>
        <v>0</v>
      </c>
      <c r="Y164" s="11">
        <f>[18]생산!G161</f>
        <v>0</v>
      </c>
      <c r="Z164" s="11">
        <f>[18]생산!H161</f>
        <v>0</v>
      </c>
      <c r="AA164" s="11">
        <f>[18]생산!I161</f>
        <v>0</v>
      </c>
      <c r="AB164" s="11">
        <f>[18]생산!J161</f>
        <v>0</v>
      </c>
      <c r="AC164" s="48">
        <f>ROUNDDOWN('[20]2025년'!G160/1000,1)</f>
        <v>0</v>
      </c>
    </row>
    <row r="165" spans="1:29">
      <c r="A165" s="6">
        <f t="shared" si="2"/>
        <v>45817</v>
      </c>
      <c r="B165" s="9">
        <v>6844</v>
      </c>
      <c r="C165" s="9">
        <v>237683</v>
      </c>
      <c r="D165" s="9">
        <v>231565</v>
      </c>
      <c r="E165" s="9">
        <v>14504</v>
      </c>
      <c r="F165" s="9">
        <v>12801</v>
      </c>
      <c r="G165" s="9">
        <v>3868.5</v>
      </c>
      <c r="H165" s="9">
        <v>16638</v>
      </c>
      <c r="I165" s="9">
        <v>275324</v>
      </c>
      <c r="J165" s="10">
        <v>32.99</v>
      </c>
      <c r="K165" s="10">
        <v>32.99</v>
      </c>
      <c r="L165" s="9">
        <f>'[18]key-in(DCO)'!AR163</f>
        <v>0</v>
      </c>
      <c r="M165" s="10">
        <f>[18]생산!AV162</f>
        <v>0</v>
      </c>
      <c r="N165" s="10">
        <f>[18]생산!AW162</f>
        <v>0</v>
      </c>
      <c r="O165" s="10">
        <f>[18]생산!AX162</f>
        <v>0</v>
      </c>
      <c r="P165" s="10">
        <f>[18]생산!AY162</f>
        <v>0</v>
      </c>
      <c r="Q165" s="10">
        <f>[19]생산!BE162</f>
        <v>0</v>
      </c>
      <c r="R165" s="10">
        <f>[18]생산!BA162</f>
        <v>0</v>
      </c>
      <c r="S165" s="9">
        <f>[18]운전시간외!C162</f>
        <v>0</v>
      </c>
      <c r="T165" s="9">
        <f>[18]운전시간외!D162</f>
        <v>0</v>
      </c>
      <c r="U165" s="9">
        <f>[18]운전시간외!E162</f>
        <v>0</v>
      </c>
      <c r="V165" s="9">
        <f>[18]운전시간외!F162</f>
        <v>0</v>
      </c>
      <c r="W165" s="11">
        <f>[18]생산!E162</f>
        <v>0</v>
      </c>
      <c r="X165" s="11">
        <f>[18]생산!F162</f>
        <v>0</v>
      </c>
      <c r="Y165" s="11">
        <f>[18]생산!G162</f>
        <v>0</v>
      </c>
      <c r="Z165" s="11">
        <f>[18]생산!H162</f>
        <v>0</v>
      </c>
      <c r="AA165" s="11">
        <f>[18]생산!I162</f>
        <v>0</v>
      </c>
      <c r="AB165" s="11">
        <f>[18]생산!J162</f>
        <v>0</v>
      </c>
      <c r="AC165" s="48">
        <f>ROUNDDOWN('[20]2025년'!G161/1000,1)</f>
        <v>0</v>
      </c>
    </row>
    <row r="166" spans="1:29">
      <c r="A166" s="6">
        <f t="shared" si="2"/>
        <v>45818</v>
      </c>
      <c r="B166" s="9">
        <v>6878</v>
      </c>
      <c r="C166" s="9">
        <v>237722</v>
      </c>
      <c r="D166" s="9">
        <v>231644</v>
      </c>
      <c r="E166" s="9">
        <v>14513</v>
      </c>
      <c r="F166" s="9">
        <v>12801</v>
      </c>
      <c r="G166" s="9">
        <v>3869</v>
      </c>
      <c r="H166" s="9">
        <v>16699</v>
      </c>
      <c r="I166" s="9">
        <v>275533</v>
      </c>
      <c r="J166" s="10">
        <v>33.04</v>
      </c>
      <c r="K166" s="10">
        <v>33.04</v>
      </c>
      <c r="L166" s="9">
        <f>'[18]key-in(DCO)'!AR164</f>
        <v>0</v>
      </c>
      <c r="M166" s="10">
        <f>[18]생산!AV163</f>
        <v>0</v>
      </c>
      <c r="N166" s="10">
        <f>[18]생산!AW163</f>
        <v>0</v>
      </c>
      <c r="O166" s="10">
        <f>[18]생산!AX163</f>
        <v>0</v>
      </c>
      <c r="P166" s="10">
        <f>[18]생산!AY163</f>
        <v>0</v>
      </c>
      <c r="Q166" s="10">
        <f>[19]생산!BE163</f>
        <v>0</v>
      </c>
      <c r="R166" s="10">
        <f>[18]생산!BA163</f>
        <v>0</v>
      </c>
      <c r="S166" s="9">
        <f>[18]운전시간외!C163</f>
        <v>0</v>
      </c>
      <c r="T166" s="9">
        <f>[18]운전시간외!D163</f>
        <v>0</v>
      </c>
      <c r="U166" s="9">
        <f>[18]운전시간외!E163</f>
        <v>0</v>
      </c>
      <c r="V166" s="9">
        <f>[18]운전시간외!F163</f>
        <v>0</v>
      </c>
      <c r="W166" s="11">
        <f>[18]생산!E163</f>
        <v>0</v>
      </c>
      <c r="X166" s="11">
        <f>[18]생산!F163</f>
        <v>0</v>
      </c>
      <c r="Y166" s="11">
        <f>[18]생산!G163</f>
        <v>0</v>
      </c>
      <c r="Z166" s="11">
        <f>[18]생산!H163</f>
        <v>0</v>
      </c>
      <c r="AA166" s="11">
        <f>[18]생산!I163</f>
        <v>0</v>
      </c>
      <c r="AB166" s="11">
        <f>[18]생산!J163</f>
        <v>0</v>
      </c>
      <c r="AC166" s="48">
        <f>ROUNDDOWN('[20]2025년'!G162/1000,1)</f>
        <v>0</v>
      </c>
    </row>
    <row r="167" spans="1:29">
      <c r="A167" s="6">
        <f t="shared" si="2"/>
        <v>45819</v>
      </c>
      <c r="B167" s="9">
        <v>6913</v>
      </c>
      <c r="C167" s="9">
        <v>237816</v>
      </c>
      <c r="D167" s="9">
        <v>231644</v>
      </c>
      <c r="E167" s="9">
        <v>14521</v>
      </c>
      <c r="F167" s="9">
        <v>12801</v>
      </c>
      <c r="G167" s="9">
        <v>3869.4</v>
      </c>
      <c r="H167" s="9">
        <v>16699</v>
      </c>
      <c r="I167" s="9">
        <v>275695</v>
      </c>
      <c r="J167" s="10">
        <v>33.200000000000003</v>
      </c>
      <c r="K167" s="10">
        <v>33.200000000000003</v>
      </c>
      <c r="L167" s="9">
        <f>'[18]key-in(DCO)'!AR165</f>
        <v>0</v>
      </c>
      <c r="M167" s="10">
        <f>[18]생산!AV164</f>
        <v>0</v>
      </c>
      <c r="N167" s="10">
        <f>[18]생산!AW164</f>
        <v>0</v>
      </c>
      <c r="O167" s="10">
        <f>[18]생산!AX164</f>
        <v>0</v>
      </c>
      <c r="P167" s="10">
        <f>[18]생산!AY164</f>
        <v>0</v>
      </c>
      <c r="Q167" s="10">
        <f>[19]생산!BE164</f>
        <v>0</v>
      </c>
      <c r="R167" s="10">
        <f>[18]생산!BA164</f>
        <v>0</v>
      </c>
      <c r="S167" s="9">
        <f>[18]운전시간외!C164</f>
        <v>0</v>
      </c>
      <c r="T167" s="9">
        <f>[18]운전시간외!D164</f>
        <v>0</v>
      </c>
      <c r="U167" s="9">
        <f>[18]운전시간외!E164</f>
        <v>0</v>
      </c>
      <c r="V167" s="9">
        <f>[18]운전시간외!F164</f>
        <v>0</v>
      </c>
      <c r="W167" s="11">
        <f>[18]생산!E164</f>
        <v>0</v>
      </c>
      <c r="X167" s="11">
        <f>[18]생산!F164</f>
        <v>0</v>
      </c>
      <c r="Y167" s="11">
        <f>[18]생산!G164</f>
        <v>0</v>
      </c>
      <c r="Z167" s="11">
        <f>[18]생산!H164</f>
        <v>0</v>
      </c>
      <c r="AA167" s="11">
        <f>[18]생산!I164</f>
        <v>0</v>
      </c>
      <c r="AB167" s="11">
        <f>[18]생산!J164</f>
        <v>0</v>
      </c>
      <c r="AC167" s="48">
        <f>ROUNDDOWN('[20]2025년'!G163/1000,1)</f>
        <v>0</v>
      </c>
    </row>
    <row r="168" spans="1:29">
      <c r="A168" s="6">
        <f t="shared" si="2"/>
        <v>45820</v>
      </c>
      <c r="B168" s="9">
        <v>6948</v>
      </c>
      <c r="C168" s="9">
        <v>237871</v>
      </c>
      <c r="D168" s="9">
        <v>231743</v>
      </c>
      <c r="E168" s="9">
        <v>14530</v>
      </c>
      <c r="F168" s="9">
        <v>12801</v>
      </c>
      <c r="G168" s="9">
        <v>3870</v>
      </c>
      <c r="H168" s="9">
        <v>16772</v>
      </c>
      <c r="I168" s="9">
        <v>275951</v>
      </c>
      <c r="J168" s="10">
        <v>33.26</v>
      </c>
      <c r="K168" s="10">
        <v>33.26</v>
      </c>
      <c r="L168" s="9">
        <f>'[18]key-in(DCO)'!AR166</f>
        <v>0</v>
      </c>
      <c r="M168" s="10">
        <f>[18]생산!AV165</f>
        <v>0</v>
      </c>
      <c r="N168" s="10">
        <f>[18]생산!AW165</f>
        <v>0</v>
      </c>
      <c r="O168" s="10">
        <f>[18]생산!AX165</f>
        <v>0</v>
      </c>
      <c r="P168" s="10">
        <f>[18]생산!AY165</f>
        <v>0</v>
      </c>
      <c r="Q168" s="10">
        <f>[19]생산!BE165</f>
        <v>0</v>
      </c>
      <c r="R168" s="10">
        <f>[18]생산!BA165</f>
        <v>0</v>
      </c>
      <c r="S168" s="9">
        <f>[18]운전시간외!C165</f>
        <v>0</v>
      </c>
      <c r="T168" s="9">
        <f>[18]운전시간외!D165</f>
        <v>0</v>
      </c>
      <c r="U168" s="9">
        <f>[18]운전시간외!E165</f>
        <v>0</v>
      </c>
      <c r="V168" s="9">
        <f>[18]운전시간외!F165</f>
        <v>0</v>
      </c>
      <c r="W168" s="11">
        <f>[18]생산!E165</f>
        <v>0</v>
      </c>
      <c r="X168" s="11">
        <f>[18]생산!F165</f>
        <v>0</v>
      </c>
      <c r="Y168" s="11">
        <f>[18]생산!G165</f>
        <v>0</v>
      </c>
      <c r="Z168" s="11">
        <f>[18]생산!H165</f>
        <v>0</v>
      </c>
      <c r="AA168" s="11">
        <f>[18]생산!I165</f>
        <v>0</v>
      </c>
      <c r="AB168" s="11">
        <f>[18]생산!J165</f>
        <v>0</v>
      </c>
      <c r="AC168" s="48">
        <f>ROUNDDOWN('[20]2025년'!G164/1000,1)</f>
        <v>0</v>
      </c>
    </row>
    <row r="169" spans="1:29">
      <c r="A169" s="6">
        <f t="shared" si="2"/>
        <v>45821</v>
      </c>
      <c r="B169" s="9">
        <v>6970</v>
      </c>
      <c r="C169" s="9">
        <v>237929</v>
      </c>
      <c r="D169" s="9">
        <v>231813</v>
      </c>
      <c r="E169" s="9">
        <v>14539</v>
      </c>
      <c r="F169" s="9">
        <v>12801</v>
      </c>
      <c r="G169" s="9">
        <v>3870.5</v>
      </c>
      <c r="H169" s="9">
        <v>16805</v>
      </c>
      <c r="I169" s="9">
        <v>276165</v>
      </c>
      <c r="J169" s="10">
        <v>33.369999999999997</v>
      </c>
      <c r="K169" s="10">
        <v>33.369999999999997</v>
      </c>
      <c r="L169" s="9">
        <f>'[18]key-in(DCO)'!AR167</f>
        <v>0</v>
      </c>
      <c r="M169" s="10">
        <f>[18]생산!AV166</f>
        <v>0</v>
      </c>
      <c r="N169" s="10">
        <f>[18]생산!AW166</f>
        <v>0</v>
      </c>
      <c r="O169" s="10">
        <f>[18]생산!AX166</f>
        <v>0</v>
      </c>
      <c r="P169" s="10">
        <f>[18]생산!AY166</f>
        <v>0</v>
      </c>
      <c r="Q169" s="10">
        <f>[19]생산!BE166</f>
        <v>0</v>
      </c>
      <c r="R169" s="10">
        <f>[18]생산!BA166</f>
        <v>0</v>
      </c>
      <c r="S169" s="9">
        <f>[18]운전시간외!C166</f>
        <v>0</v>
      </c>
      <c r="T169" s="9">
        <f>[18]운전시간외!D166</f>
        <v>0</v>
      </c>
      <c r="U169" s="9">
        <f>[18]운전시간외!E166</f>
        <v>0</v>
      </c>
      <c r="V169" s="9">
        <f>[18]운전시간외!F166</f>
        <v>0</v>
      </c>
      <c r="W169" s="11">
        <f>[18]생산!E166</f>
        <v>0</v>
      </c>
      <c r="X169" s="11">
        <f>[18]생산!F166</f>
        <v>0</v>
      </c>
      <c r="Y169" s="11">
        <f>[18]생산!G166</f>
        <v>0</v>
      </c>
      <c r="Z169" s="11">
        <f>[18]생산!H166</f>
        <v>0</v>
      </c>
      <c r="AA169" s="11">
        <f>[18]생산!I166</f>
        <v>0</v>
      </c>
      <c r="AB169" s="11">
        <f>[18]생산!J166</f>
        <v>0</v>
      </c>
      <c r="AC169" s="48">
        <f>ROUNDDOWN('[20]2025년'!G165/1000,1)</f>
        <v>0</v>
      </c>
    </row>
    <row r="170" spans="1:29">
      <c r="A170" s="6">
        <f t="shared" si="2"/>
        <v>45822</v>
      </c>
      <c r="B170" s="9">
        <v>6991</v>
      </c>
      <c r="C170" s="9">
        <v>237962</v>
      </c>
      <c r="D170" s="9">
        <v>231813</v>
      </c>
      <c r="E170" s="9">
        <v>14542</v>
      </c>
      <c r="F170" s="9">
        <v>12801</v>
      </c>
      <c r="G170" s="9">
        <v>3870.5</v>
      </c>
      <c r="H170" s="9">
        <v>16805</v>
      </c>
      <c r="I170" s="9">
        <v>276265</v>
      </c>
      <c r="J170" s="10">
        <v>33.42</v>
      </c>
      <c r="K170" s="10">
        <v>33.42</v>
      </c>
      <c r="L170" s="9">
        <f>'[18]key-in(DCO)'!AR168</f>
        <v>0</v>
      </c>
      <c r="M170" s="10">
        <f>[18]생산!AV167</f>
        <v>0</v>
      </c>
      <c r="N170" s="10">
        <f>[18]생산!AW167</f>
        <v>0</v>
      </c>
      <c r="O170" s="10">
        <f>[18]생산!AX167</f>
        <v>0</v>
      </c>
      <c r="P170" s="10">
        <f>[18]생산!AY167</f>
        <v>0</v>
      </c>
      <c r="Q170" s="10">
        <f>[19]생산!BE167</f>
        <v>0</v>
      </c>
      <c r="R170" s="10">
        <f>[18]생산!BA167</f>
        <v>0</v>
      </c>
      <c r="S170" s="9">
        <f>[18]운전시간외!C167</f>
        <v>0</v>
      </c>
      <c r="T170" s="9">
        <f>[18]운전시간외!D167</f>
        <v>0</v>
      </c>
      <c r="U170" s="9">
        <f>[18]운전시간외!E167</f>
        <v>0</v>
      </c>
      <c r="V170" s="9">
        <f>[18]운전시간외!F167</f>
        <v>0</v>
      </c>
      <c r="W170" s="11">
        <f>[18]생산!E167</f>
        <v>0</v>
      </c>
      <c r="X170" s="11">
        <f>[18]생산!F167</f>
        <v>0</v>
      </c>
      <c r="Y170" s="11">
        <f>[18]생산!G167</f>
        <v>0</v>
      </c>
      <c r="Z170" s="11">
        <f>[18]생산!H167</f>
        <v>0</v>
      </c>
      <c r="AA170" s="11">
        <f>[18]생산!I167</f>
        <v>0</v>
      </c>
      <c r="AB170" s="11">
        <f>[18]생산!J167</f>
        <v>0</v>
      </c>
      <c r="AC170" s="48">
        <f>ROUNDDOWN('[20]2025년'!G166/1000,1)</f>
        <v>0</v>
      </c>
    </row>
    <row r="171" spans="1:29">
      <c r="A171" s="6">
        <f t="shared" si="2"/>
        <v>45823</v>
      </c>
      <c r="B171" s="9">
        <v>6991</v>
      </c>
      <c r="C171" s="9">
        <v>237962</v>
      </c>
      <c r="D171" s="9">
        <v>231813</v>
      </c>
      <c r="E171" s="9">
        <v>14544</v>
      </c>
      <c r="F171" s="9">
        <v>12801</v>
      </c>
      <c r="G171" s="9">
        <v>3871.4</v>
      </c>
      <c r="H171" s="9">
        <v>16823</v>
      </c>
      <c r="I171" s="9">
        <v>276279</v>
      </c>
      <c r="J171" s="10">
        <v>33.4</v>
      </c>
      <c r="K171" s="10">
        <v>33.4</v>
      </c>
      <c r="L171" s="9">
        <f>'[18]key-in(DCO)'!AR169</f>
        <v>0</v>
      </c>
      <c r="M171" s="10">
        <f>[18]생산!AV168</f>
        <v>0</v>
      </c>
      <c r="N171" s="10">
        <f>[18]생산!AW168</f>
        <v>0</v>
      </c>
      <c r="O171" s="10">
        <f>[18]생산!AX168</f>
        <v>0</v>
      </c>
      <c r="P171" s="10">
        <f>[18]생산!AY168</f>
        <v>0</v>
      </c>
      <c r="Q171" s="10">
        <f>[19]생산!BE168</f>
        <v>0</v>
      </c>
      <c r="R171" s="10">
        <f>[18]생산!BA168</f>
        <v>0</v>
      </c>
      <c r="S171" s="9">
        <f>[18]운전시간외!C168</f>
        <v>0</v>
      </c>
      <c r="T171" s="9">
        <f>[18]운전시간외!D168</f>
        <v>0</v>
      </c>
      <c r="U171" s="9">
        <f>[18]운전시간외!E168</f>
        <v>0</v>
      </c>
      <c r="V171" s="9">
        <f>[18]운전시간외!F168</f>
        <v>0</v>
      </c>
      <c r="W171" s="11">
        <f>[18]생산!E168</f>
        <v>0</v>
      </c>
      <c r="X171" s="11">
        <f>[18]생산!F168</f>
        <v>0</v>
      </c>
      <c r="Y171" s="11">
        <f>[18]생산!G168</f>
        <v>0</v>
      </c>
      <c r="Z171" s="11">
        <f>[18]생산!H168</f>
        <v>0</v>
      </c>
      <c r="AA171" s="11">
        <f>[18]생산!I168</f>
        <v>0</v>
      </c>
      <c r="AB171" s="11">
        <f>[18]생산!J168</f>
        <v>0</v>
      </c>
      <c r="AC171" s="48">
        <f>ROUNDDOWN('[20]2025년'!G167/1000,1)</f>
        <v>0</v>
      </c>
    </row>
    <row r="172" spans="1:29">
      <c r="A172" s="6">
        <f t="shared" si="2"/>
        <v>45824</v>
      </c>
      <c r="B172" s="9">
        <v>6991</v>
      </c>
      <c r="C172" s="9">
        <v>237962</v>
      </c>
      <c r="D172" s="9">
        <v>231813</v>
      </c>
      <c r="E172" s="9">
        <v>14552</v>
      </c>
      <c r="F172" s="9">
        <v>12801</v>
      </c>
      <c r="G172" s="9">
        <v>3871.8</v>
      </c>
      <c r="H172" s="9">
        <v>16823</v>
      </c>
      <c r="I172" s="9">
        <v>276345</v>
      </c>
      <c r="J172" s="10">
        <v>33.409999999999997</v>
      </c>
      <c r="K172" s="10">
        <v>33.409999999999997</v>
      </c>
      <c r="L172" s="9">
        <f>'[18]key-in(DCO)'!AR170</f>
        <v>0</v>
      </c>
      <c r="M172" s="10">
        <f>[18]생산!AV169</f>
        <v>0</v>
      </c>
      <c r="N172" s="10">
        <f>[18]생산!AW169</f>
        <v>0</v>
      </c>
      <c r="O172" s="10">
        <f>[18]생산!AX169</f>
        <v>0</v>
      </c>
      <c r="P172" s="10">
        <f>[18]생산!AY169</f>
        <v>0</v>
      </c>
      <c r="Q172" s="10">
        <f>[19]생산!BE169</f>
        <v>0</v>
      </c>
      <c r="R172" s="10">
        <f>[18]생산!BA169</f>
        <v>0</v>
      </c>
      <c r="S172" s="9">
        <f>[18]운전시간외!C169</f>
        <v>0</v>
      </c>
      <c r="T172" s="9">
        <f>[18]운전시간외!D169</f>
        <v>0</v>
      </c>
      <c r="U172" s="9">
        <f>[18]운전시간외!E169</f>
        <v>0</v>
      </c>
      <c r="V172" s="9">
        <f>[18]운전시간외!F169</f>
        <v>0</v>
      </c>
      <c r="W172" s="11">
        <f>[18]생산!E169</f>
        <v>0</v>
      </c>
      <c r="X172" s="11">
        <f>[18]생산!F169</f>
        <v>0</v>
      </c>
      <c r="Y172" s="11">
        <f>[18]생산!G169</f>
        <v>0</v>
      </c>
      <c r="Z172" s="11">
        <f>[18]생산!H169</f>
        <v>0</v>
      </c>
      <c r="AA172" s="11">
        <f>[18]생산!I169</f>
        <v>0</v>
      </c>
      <c r="AB172" s="11">
        <f>[18]생산!J169</f>
        <v>0</v>
      </c>
      <c r="AC172" s="48">
        <f>ROUNDDOWN('[20]2025년'!G168/1000,1)</f>
        <v>0</v>
      </c>
    </row>
    <row r="173" spans="1:29">
      <c r="A173" s="6">
        <f t="shared" si="2"/>
        <v>45825</v>
      </c>
      <c r="B173" s="9">
        <v>6991</v>
      </c>
      <c r="C173" s="9">
        <v>238009</v>
      </c>
      <c r="D173" s="9">
        <v>231813</v>
      </c>
      <c r="E173" s="9">
        <v>14561</v>
      </c>
      <c r="F173" s="9">
        <v>12801</v>
      </c>
      <c r="G173" s="9">
        <v>3872.4</v>
      </c>
      <c r="H173" s="9">
        <v>16906</v>
      </c>
      <c r="I173" s="9">
        <v>276464</v>
      </c>
      <c r="J173" s="10">
        <v>33.39</v>
      </c>
      <c r="K173" s="10">
        <v>33.39</v>
      </c>
      <c r="L173" s="9">
        <f>'[18]key-in(DCO)'!AR171</f>
        <v>0</v>
      </c>
      <c r="M173" s="10">
        <f>[18]생산!AV170</f>
        <v>0</v>
      </c>
      <c r="N173" s="10">
        <f>[18]생산!AW170</f>
        <v>0</v>
      </c>
      <c r="O173" s="10">
        <f>[18]생산!AX170</f>
        <v>0</v>
      </c>
      <c r="P173" s="10">
        <f>[18]생산!AY170</f>
        <v>0</v>
      </c>
      <c r="Q173" s="10">
        <f>[19]생산!BE170</f>
        <v>0</v>
      </c>
      <c r="R173" s="10">
        <f>[18]생산!BA170</f>
        <v>0</v>
      </c>
      <c r="S173" s="9">
        <f>[18]운전시간외!C170</f>
        <v>0</v>
      </c>
      <c r="T173" s="9">
        <f>[18]운전시간외!D170</f>
        <v>0</v>
      </c>
      <c r="U173" s="9">
        <f>[18]운전시간외!E170</f>
        <v>0</v>
      </c>
      <c r="V173" s="9">
        <f>[18]운전시간외!F170</f>
        <v>0</v>
      </c>
      <c r="W173" s="11">
        <f>[18]생산!E170</f>
        <v>0</v>
      </c>
      <c r="X173" s="11">
        <f>[18]생산!F170</f>
        <v>0</v>
      </c>
      <c r="Y173" s="11">
        <f>[18]생산!G170</f>
        <v>0</v>
      </c>
      <c r="Z173" s="11">
        <f>[18]생산!H170</f>
        <v>0</v>
      </c>
      <c r="AA173" s="11">
        <f>[18]생산!I170</f>
        <v>0</v>
      </c>
      <c r="AB173" s="11">
        <f>[18]생산!J170</f>
        <v>0</v>
      </c>
      <c r="AC173" s="48">
        <f>ROUNDDOWN('[20]2025년'!G169/1000,1)</f>
        <v>0</v>
      </c>
    </row>
    <row r="174" spans="1:29">
      <c r="A174" s="6">
        <f t="shared" si="2"/>
        <v>45826</v>
      </c>
      <c r="B174" s="9">
        <v>6991</v>
      </c>
      <c r="C174" s="9">
        <v>238049</v>
      </c>
      <c r="D174" s="9">
        <v>231813</v>
      </c>
      <c r="E174" s="9">
        <v>14572</v>
      </c>
      <c r="F174" s="9">
        <v>12801</v>
      </c>
      <c r="G174" s="9">
        <v>3872.7</v>
      </c>
      <c r="H174" s="9">
        <v>16906</v>
      </c>
      <c r="I174" s="9">
        <v>276588</v>
      </c>
      <c r="J174" s="10">
        <v>33.43</v>
      </c>
      <c r="K174" s="10">
        <v>33.43</v>
      </c>
      <c r="L174" s="9">
        <f>'[18]key-in(DCO)'!AR172</f>
        <v>0</v>
      </c>
      <c r="M174" s="10">
        <f>[18]생산!AV171</f>
        <v>0</v>
      </c>
      <c r="N174" s="10">
        <f>[18]생산!AW171</f>
        <v>0</v>
      </c>
      <c r="O174" s="10">
        <f>[18]생산!AX171</f>
        <v>0</v>
      </c>
      <c r="P174" s="10">
        <f>[18]생산!AY171</f>
        <v>0</v>
      </c>
      <c r="Q174" s="10">
        <f>[19]생산!BE171</f>
        <v>0</v>
      </c>
      <c r="R174" s="10">
        <f>[18]생산!BA171</f>
        <v>0</v>
      </c>
      <c r="S174" s="9">
        <f>[18]운전시간외!C171</f>
        <v>0</v>
      </c>
      <c r="T174" s="9">
        <f>[18]운전시간외!D171</f>
        <v>0</v>
      </c>
      <c r="U174" s="9">
        <f>[18]운전시간외!E171</f>
        <v>0</v>
      </c>
      <c r="V174" s="9">
        <f>[18]운전시간외!F171</f>
        <v>0</v>
      </c>
      <c r="W174" s="11">
        <f>[18]생산!E171</f>
        <v>0</v>
      </c>
      <c r="X174" s="11">
        <f>[18]생산!F171</f>
        <v>0</v>
      </c>
      <c r="Y174" s="11">
        <f>[18]생산!G171</f>
        <v>0</v>
      </c>
      <c r="Z174" s="11">
        <f>[18]생산!H171</f>
        <v>0</v>
      </c>
      <c r="AA174" s="11">
        <f>[18]생산!I171</f>
        <v>0</v>
      </c>
      <c r="AB174" s="11">
        <f>[18]생산!J171</f>
        <v>0</v>
      </c>
      <c r="AC174" s="48">
        <f>ROUNDDOWN('[20]2025년'!G170/1000,1)</f>
        <v>0</v>
      </c>
    </row>
    <row r="175" spans="1:29">
      <c r="A175" s="6">
        <f t="shared" si="2"/>
        <v>45827</v>
      </c>
      <c r="B175" s="9">
        <v>6991</v>
      </c>
      <c r="C175" s="9">
        <v>238049</v>
      </c>
      <c r="D175" s="9">
        <v>231852</v>
      </c>
      <c r="E175" s="9">
        <v>14572</v>
      </c>
      <c r="F175" s="9">
        <v>12801</v>
      </c>
      <c r="G175" s="9">
        <v>3873.5</v>
      </c>
      <c r="H175" s="9">
        <v>16963</v>
      </c>
      <c r="I175" s="9">
        <v>276744</v>
      </c>
      <c r="J175" s="10">
        <v>33.869999999999997</v>
      </c>
      <c r="K175" s="10">
        <v>33.869999999999997</v>
      </c>
      <c r="L175" s="9">
        <f>'[18]key-in(DCO)'!AR173</f>
        <v>0</v>
      </c>
      <c r="M175" s="10">
        <f>[18]생산!AV172</f>
        <v>0</v>
      </c>
      <c r="N175" s="10">
        <f>[18]생산!AW172</f>
        <v>0</v>
      </c>
      <c r="O175" s="10">
        <f>[18]생산!AX172</f>
        <v>0</v>
      </c>
      <c r="P175" s="10">
        <f>[18]생산!AY172</f>
        <v>0</v>
      </c>
      <c r="Q175" s="10">
        <f>[19]생산!BE172</f>
        <v>0</v>
      </c>
      <c r="R175" s="10">
        <f>[18]생산!BA172</f>
        <v>0</v>
      </c>
      <c r="S175" s="9">
        <f>[18]운전시간외!C172</f>
        <v>0</v>
      </c>
      <c r="T175" s="9">
        <f>[18]운전시간외!D172</f>
        <v>0</v>
      </c>
      <c r="U175" s="9">
        <f>[18]운전시간외!E172</f>
        <v>0</v>
      </c>
      <c r="V175" s="9">
        <f>[18]운전시간외!F172</f>
        <v>0</v>
      </c>
      <c r="W175" s="11">
        <f>[18]생산!E172</f>
        <v>0</v>
      </c>
      <c r="X175" s="11">
        <f>[18]생산!F172</f>
        <v>0</v>
      </c>
      <c r="Y175" s="11">
        <f>[18]생산!G172</f>
        <v>0</v>
      </c>
      <c r="Z175" s="11">
        <f>[18]생산!H172</f>
        <v>0</v>
      </c>
      <c r="AA175" s="11">
        <f>[18]생산!I172</f>
        <v>0</v>
      </c>
      <c r="AB175" s="11">
        <f>[18]생산!J172</f>
        <v>0</v>
      </c>
      <c r="AC175" s="48">
        <f>ROUNDDOWN('[20]2025년'!G171/1000,1)</f>
        <v>0</v>
      </c>
    </row>
    <row r="176" spans="1:29">
      <c r="A176" s="6">
        <f t="shared" si="2"/>
        <v>45828</v>
      </c>
      <c r="B176" s="9">
        <v>6991</v>
      </c>
      <c r="C176" s="9">
        <v>238049</v>
      </c>
      <c r="D176" s="9">
        <v>231852</v>
      </c>
      <c r="E176" s="9">
        <v>14594</v>
      </c>
      <c r="F176" s="9">
        <v>12801</v>
      </c>
      <c r="G176" s="9">
        <v>3873.8</v>
      </c>
      <c r="H176" s="9">
        <v>16963</v>
      </c>
      <c r="I176" s="9">
        <v>276765</v>
      </c>
      <c r="J176" s="10">
        <v>33.409999999999997</v>
      </c>
      <c r="K176" s="10">
        <v>33.409999999999997</v>
      </c>
      <c r="L176" s="9">
        <f>'[18]key-in(DCO)'!AR174</f>
        <v>0</v>
      </c>
      <c r="M176" s="10">
        <f>[18]생산!AV173</f>
        <v>0</v>
      </c>
      <c r="N176" s="10">
        <f>[18]생산!AW173</f>
        <v>0</v>
      </c>
      <c r="O176" s="10">
        <f>[18]생산!AX173</f>
        <v>0</v>
      </c>
      <c r="P176" s="10">
        <f>[18]생산!AY173</f>
        <v>0</v>
      </c>
      <c r="Q176" s="10">
        <f>[19]생산!BE173</f>
        <v>0</v>
      </c>
      <c r="R176" s="10">
        <f>[18]생산!BA173</f>
        <v>0</v>
      </c>
      <c r="S176" s="9">
        <f>[18]운전시간외!C173</f>
        <v>0</v>
      </c>
      <c r="T176" s="9">
        <f>[18]운전시간외!D173</f>
        <v>0</v>
      </c>
      <c r="U176" s="9">
        <f>[18]운전시간외!E173</f>
        <v>0</v>
      </c>
      <c r="V176" s="9">
        <f>[18]운전시간외!F173</f>
        <v>0</v>
      </c>
      <c r="W176" s="11">
        <f>[18]생산!E173</f>
        <v>0</v>
      </c>
      <c r="X176" s="11">
        <f>[18]생산!F173</f>
        <v>0</v>
      </c>
      <c r="Y176" s="11">
        <f>[18]생산!G173</f>
        <v>0</v>
      </c>
      <c r="Z176" s="11">
        <f>[18]생산!H173</f>
        <v>0</v>
      </c>
      <c r="AA176" s="11">
        <f>[18]생산!I173</f>
        <v>0</v>
      </c>
      <c r="AB176" s="11">
        <f>[18]생산!J173</f>
        <v>0</v>
      </c>
      <c r="AC176" s="48">
        <f>ROUNDDOWN('[20]2025년'!G172/1000,1)</f>
        <v>0</v>
      </c>
    </row>
    <row r="177" spans="1:29">
      <c r="A177" s="6">
        <f t="shared" si="2"/>
        <v>45829</v>
      </c>
      <c r="B177" s="9">
        <f>'[18]key-in(LO)'!Z175</f>
        <v>6991</v>
      </c>
      <c r="C177" s="9">
        <f>'[18]key-in(LO)'!AA175</f>
        <v>238049</v>
      </c>
      <c r="D177" s="9">
        <f>'[18]key-in(LO)'!AB175</f>
        <v>231852</v>
      </c>
      <c r="E177" s="9">
        <f>'[18]key-in(LO)'!AC175</f>
        <v>14596.2</v>
      </c>
      <c r="F177" s="9">
        <f>'[18]key-in(LO)'!AD175</f>
        <v>12801.16</v>
      </c>
      <c r="G177" s="9">
        <f>'[18]key-in(LO)'!AE175</f>
        <v>3874.1</v>
      </c>
      <c r="H177" s="9">
        <f>'[18]key-in(LO)'!AF175</f>
        <v>16963</v>
      </c>
      <c r="I177" s="9">
        <f>'[18]key-in(LO)'!AG175</f>
        <v>276828</v>
      </c>
      <c r="J177" s="10">
        <f>'[18]key-in(DCO)'!AN175</f>
        <v>33.74</v>
      </c>
      <c r="K177" s="10">
        <f>'[18]key-in(DCO)'!AO175</f>
        <v>33.25</v>
      </c>
      <c r="L177" s="9">
        <f>'[18]key-in(DCO)'!AR175</f>
        <v>8441</v>
      </c>
      <c r="M177" s="10">
        <f>[18]생산!AV174</f>
        <v>0</v>
      </c>
      <c r="N177" s="10">
        <f>[18]생산!AW174</f>
        <v>0</v>
      </c>
      <c r="O177" s="10">
        <f>[18]생산!AX174</f>
        <v>0</v>
      </c>
      <c r="P177" s="10">
        <f>[18]생산!AY174</f>
        <v>0</v>
      </c>
      <c r="Q177" s="10">
        <f>[19]생산!BE174</f>
        <v>0</v>
      </c>
      <c r="R177" s="10">
        <f>[18]생산!BA174</f>
        <v>0</v>
      </c>
      <c r="S177" s="9">
        <f>[18]운전시간외!C174</f>
        <v>0</v>
      </c>
      <c r="T177" s="9">
        <f>[18]운전시간외!D174</f>
        <v>0</v>
      </c>
      <c r="U177" s="9">
        <f>[18]운전시간외!E174</f>
        <v>0</v>
      </c>
      <c r="V177" s="9">
        <f>[18]운전시간외!F174</f>
        <v>0</v>
      </c>
      <c r="W177" s="11">
        <f>[18]생산!E174</f>
        <v>0</v>
      </c>
      <c r="X177" s="11">
        <f>[18]생산!F174</f>
        <v>0</v>
      </c>
      <c r="Y177" s="11">
        <f>[18]생산!G174</f>
        <v>0</v>
      </c>
      <c r="Z177" s="11">
        <f>[18]생산!H174</f>
        <v>0</v>
      </c>
      <c r="AA177" s="11">
        <f>[18]생산!I174</f>
        <v>0</v>
      </c>
      <c r="AB177" s="11">
        <f>[18]생산!J174</f>
        <v>0</v>
      </c>
      <c r="AC177" s="48">
        <f>ROUNDDOWN('[20]2025년'!G173/1000,1)</f>
        <v>0</v>
      </c>
    </row>
    <row r="178" spans="1:29">
      <c r="A178" s="6">
        <f t="shared" si="2"/>
        <v>45830</v>
      </c>
      <c r="B178" s="9">
        <f>'[18]key-in(LO)'!Z176</f>
        <v>6991</v>
      </c>
      <c r="C178" s="9">
        <f>'[18]key-in(LO)'!AA176</f>
        <v>238049</v>
      </c>
      <c r="D178" s="9">
        <f>'[18]key-in(LO)'!AB176</f>
        <v>231852</v>
      </c>
      <c r="E178" s="9">
        <f>'[18]key-in(LO)'!AC176</f>
        <v>14598.2</v>
      </c>
      <c r="F178" s="9">
        <f>'[18]key-in(LO)'!AD176</f>
        <v>12801.16</v>
      </c>
      <c r="G178" s="9">
        <f>'[18]key-in(LO)'!AE176</f>
        <v>3874.5</v>
      </c>
      <c r="H178" s="9">
        <f>'[18]key-in(LO)'!AF176</f>
        <v>16963</v>
      </c>
      <c r="I178" s="9">
        <f>'[18]key-in(LO)'!AG176</f>
        <v>276843</v>
      </c>
      <c r="J178" s="10">
        <f>'[18]key-in(DCO)'!AN176</f>
        <v>33.5</v>
      </c>
      <c r="K178" s="10">
        <f>'[18]key-in(DCO)'!AO176</f>
        <v>33.299999999999997</v>
      </c>
      <c r="L178" s="9">
        <f>'[18]key-in(DCO)'!AR176</f>
        <v>8333</v>
      </c>
      <c r="M178" s="10">
        <f>[18]생산!AV175</f>
        <v>0</v>
      </c>
      <c r="N178" s="10">
        <f>[18]생산!AW175</f>
        <v>0</v>
      </c>
      <c r="O178" s="10">
        <f>[18]생산!AX175</f>
        <v>0</v>
      </c>
      <c r="P178" s="10">
        <f>[18]생산!AY175</f>
        <v>0</v>
      </c>
      <c r="Q178" s="10">
        <f>[19]생산!BE175</f>
        <v>0</v>
      </c>
      <c r="R178" s="10">
        <f>[18]생산!BA175</f>
        <v>0</v>
      </c>
      <c r="S178" s="9">
        <f>[18]운전시간외!C175</f>
        <v>0</v>
      </c>
      <c r="T178" s="9">
        <f>[18]운전시간외!D175</f>
        <v>0</v>
      </c>
      <c r="U178" s="9">
        <f>[18]운전시간외!E175</f>
        <v>0</v>
      </c>
      <c r="V178" s="9">
        <f>[18]운전시간외!F175</f>
        <v>0</v>
      </c>
      <c r="W178" s="11">
        <f>[18]생산!E175</f>
        <v>0</v>
      </c>
      <c r="X178" s="11">
        <f>[18]생산!F175</f>
        <v>0</v>
      </c>
      <c r="Y178" s="11">
        <f>[18]생산!G175</f>
        <v>0</v>
      </c>
      <c r="Z178" s="11">
        <f>[18]생산!H175</f>
        <v>0</v>
      </c>
      <c r="AA178" s="11">
        <f>[18]생산!I175</f>
        <v>0</v>
      </c>
      <c r="AB178" s="11">
        <f>[18]생산!J175</f>
        <v>0</v>
      </c>
      <c r="AC178" s="48">
        <f>ROUNDDOWN('[20]2025년'!G174/1000,1)</f>
        <v>0</v>
      </c>
    </row>
    <row r="179" spans="1:29">
      <c r="A179" s="6">
        <f t="shared" si="2"/>
        <v>45831</v>
      </c>
      <c r="B179" s="9">
        <f>'[18]key-in(LO)'!Z177</f>
        <v>6991</v>
      </c>
      <c r="C179" s="9">
        <f>'[18]key-in(LO)'!AA177</f>
        <v>238049</v>
      </c>
      <c r="D179" s="9">
        <f>'[18]key-in(LO)'!AB177</f>
        <v>231852</v>
      </c>
      <c r="E179" s="9">
        <f>'[18]key-in(LO)'!AC177</f>
        <v>14603</v>
      </c>
      <c r="F179" s="9">
        <f>'[18]key-in(LO)'!AD177</f>
        <v>12801</v>
      </c>
      <c r="G179" s="9">
        <f>'[18]key-in(LO)'!AE177</f>
        <v>3874.8</v>
      </c>
      <c r="H179" s="9">
        <f>'[18]key-in(LO)'!AF177</f>
        <v>16963</v>
      </c>
      <c r="I179" s="9">
        <f>'[18]key-in(LO)'!AG177</f>
        <v>277003</v>
      </c>
      <c r="J179" s="10">
        <f>'[18]key-in(DCO)'!AN177</f>
        <v>33.729999999999997</v>
      </c>
      <c r="K179" s="10">
        <f>'[18]key-in(DCO)'!AO177</f>
        <v>33.32</v>
      </c>
      <c r="L179" s="9">
        <f>'[18]key-in(DCO)'!AR177</f>
        <v>8224</v>
      </c>
      <c r="M179" s="10">
        <f>[18]생산!AV176</f>
        <v>0</v>
      </c>
      <c r="N179" s="10">
        <f>[18]생산!AW176</f>
        <v>0</v>
      </c>
      <c r="O179" s="10">
        <f>[18]생산!AX176</f>
        <v>0</v>
      </c>
      <c r="P179" s="10">
        <f>[18]생산!AY176</f>
        <v>0</v>
      </c>
      <c r="Q179" s="10">
        <f>[19]생산!BE176</f>
        <v>0</v>
      </c>
      <c r="R179" s="10">
        <f>[18]생산!BA176</f>
        <v>0</v>
      </c>
      <c r="S179" s="9">
        <f>[18]운전시간외!C176</f>
        <v>0</v>
      </c>
      <c r="T179" s="9">
        <f>[18]운전시간외!D176</f>
        <v>0</v>
      </c>
      <c r="U179" s="9">
        <f>[18]운전시간외!E176</f>
        <v>0</v>
      </c>
      <c r="V179" s="9">
        <f>[18]운전시간외!F176</f>
        <v>0</v>
      </c>
      <c r="W179" s="11">
        <f>[18]생산!E176</f>
        <v>0</v>
      </c>
      <c r="X179" s="11">
        <f>[18]생산!F176</f>
        <v>0</v>
      </c>
      <c r="Y179" s="11">
        <f>[18]생산!G176</f>
        <v>0</v>
      </c>
      <c r="Z179" s="11">
        <f>[18]생산!H176</f>
        <v>0</v>
      </c>
      <c r="AA179" s="11">
        <f>[18]생산!I176</f>
        <v>0</v>
      </c>
      <c r="AB179" s="11">
        <f>[18]생산!J176</f>
        <v>0</v>
      </c>
      <c r="AC179" s="48">
        <f>ROUNDDOWN('[20]2025년'!G175/1000,1)</f>
        <v>0</v>
      </c>
    </row>
    <row r="180" spans="1:29">
      <c r="A180" s="6">
        <f t="shared" si="2"/>
        <v>45832</v>
      </c>
      <c r="B180" s="9">
        <f>'[18]key-in(LO)'!Z178</f>
        <v>6991</v>
      </c>
      <c r="C180" s="9">
        <f>'[18]key-in(LO)'!AA178</f>
        <v>238049</v>
      </c>
      <c r="D180" s="9">
        <f>'[18]key-in(LO)'!AB178</f>
        <v>231909</v>
      </c>
      <c r="E180" s="9">
        <f>'[18]key-in(LO)'!AC178</f>
        <v>14616</v>
      </c>
      <c r="F180" s="9">
        <f>'[18]key-in(LO)'!AD178</f>
        <v>12801</v>
      </c>
      <c r="G180" s="9">
        <f>'[18]key-in(LO)'!AE178</f>
        <v>3875.7</v>
      </c>
      <c r="H180" s="9">
        <f>'[18]key-in(LO)'!AF178</f>
        <v>17011</v>
      </c>
      <c r="I180" s="9">
        <f>'[18]key-in(LO)'!AG178</f>
        <v>277114</v>
      </c>
      <c r="J180" s="10">
        <f>'[18]key-in(DCO)'!AN178</f>
        <v>33.700000000000003</v>
      </c>
      <c r="K180" s="10">
        <f>'[18]key-in(DCO)'!AO178</f>
        <v>33.270000000000003</v>
      </c>
      <c r="L180" s="9">
        <f>'[18]key-in(DCO)'!AR178</f>
        <v>8260</v>
      </c>
      <c r="M180" s="10">
        <f>[18]생산!AV177</f>
        <v>0</v>
      </c>
      <c r="N180" s="10">
        <f>[18]생산!AW177</f>
        <v>0</v>
      </c>
      <c r="O180" s="10">
        <f>[18]생산!AX177</f>
        <v>0</v>
      </c>
      <c r="P180" s="10">
        <f>[18]생산!AY177</f>
        <v>0</v>
      </c>
      <c r="Q180" s="10">
        <f>[19]생산!BE177</f>
        <v>0</v>
      </c>
      <c r="R180" s="10">
        <f>[18]생산!BA177</f>
        <v>0</v>
      </c>
      <c r="S180" s="9">
        <f>[18]운전시간외!C177</f>
        <v>0</v>
      </c>
      <c r="T180" s="9">
        <f>[18]운전시간외!D177</f>
        <v>0</v>
      </c>
      <c r="U180" s="9">
        <f>[18]운전시간외!E177</f>
        <v>0</v>
      </c>
      <c r="V180" s="9">
        <f>[18]운전시간외!F177</f>
        <v>0</v>
      </c>
      <c r="W180" s="11">
        <f>[18]생산!E177</f>
        <v>0</v>
      </c>
      <c r="X180" s="11">
        <f>[18]생산!F177</f>
        <v>0</v>
      </c>
      <c r="Y180" s="11">
        <f>[18]생산!G177</f>
        <v>0</v>
      </c>
      <c r="Z180" s="11">
        <f>[18]생산!H177</f>
        <v>0</v>
      </c>
      <c r="AA180" s="11">
        <f>[18]생산!I177</f>
        <v>0</v>
      </c>
      <c r="AB180" s="11">
        <f>[18]생산!J177</f>
        <v>0</v>
      </c>
      <c r="AC180" s="48">
        <f>ROUNDDOWN('[20]2025년'!G176/1000,1)</f>
        <v>0</v>
      </c>
    </row>
    <row r="181" spans="1:29">
      <c r="A181" s="6">
        <f t="shared" si="2"/>
        <v>45833</v>
      </c>
      <c r="B181" s="9">
        <f>'[18]key-in(LO)'!Z179</f>
        <v>6991</v>
      </c>
      <c r="C181" s="9">
        <f>'[18]key-in(LO)'!AA179</f>
        <v>238049</v>
      </c>
      <c r="D181" s="9">
        <f>'[18]key-in(LO)'!AB179</f>
        <v>231938</v>
      </c>
      <c r="E181" s="9">
        <f>'[18]key-in(LO)'!AC179</f>
        <v>14625</v>
      </c>
      <c r="F181" s="9">
        <f>'[18]key-in(LO)'!AD179</f>
        <v>12801</v>
      </c>
      <c r="G181" s="9">
        <f>'[18]key-in(LO)'!AE179</f>
        <v>3877.2</v>
      </c>
      <c r="H181" s="9">
        <f>'[18]key-in(LO)'!AF179</f>
        <v>17089</v>
      </c>
      <c r="I181" s="9">
        <f>'[18]key-in(LO)'!AG179</f>
        <v>277137</v>
      </c>
      <c r="J181" s="10">
        <f>'[18]key-in(DCO)'!AN179</f>
        <v>33.82</v>
      </c>
      <c r="K181" s="10">
        <f>'[18]key-in(DCO)'!AO179</f>
        <v>33.25</v>
      </c>
      <c r="L181" s="9">
        <f>'[18]key-in(DCO)'!AR179</f>
        <v>8623</v>
      </c>
      <c r="M181" s="10">
        <f>[18]생산!AV178</f>
        <v>0</v>
      </c>
      <c r="N181" s="10">
        <f>[18]생산!AW178</f>
        <v>0</v>
      </c>
      <c r="O181" s="10">
        <f>[18]생산!AX178</f>
        <v>0</v>
      </c>
      <c r="P181" s="10">
        <f>[18]생산!AY178</f>
        <v>0</v>
      </c>
      <c r="Q181" s="10">
        <f>[19]생산!BE178</f>
        <v>0</v>
      </c>
      <c r="R181" s="10">
        <f>[18]생산!BA178</f>
        <v>0</v>
      </c>
      <c r="S181" s="9">
        <f>[18]운전시간외!C178</f>
        <v>0</v>
      </c>
      <c r="T181" s="9">
        <f>[18]운전시간외!D178</f>
        <v>0</v>
      </c>
      <c r="U181" s="9">
        <f>[18]운전시간외!E178</f>
        <v>0</v>
      </c>
      <c r="V181" s="9">
        <f>[18]운전시간외!F178</f>
        <v>0</v>
      </c>
      <c r="W181" s="11">
        <f>[18]생산!E178</f>
        <v>0</v>
      </c>
      <c r="X181" s="11">
        <f>[18]생산!F178</f>
        <v>0</v>
      </c>
      <c r="Y181" s="11">
        <f>[18]생산!G178</f>
        <v>0</v>
      </c>
      <c r="Z181" s="11">
        <f>[18]생산!H178</f>
        <v>0</v>
      </c>
      <c r="AA181" s="11">
        <f>[18]생산!I178</f>
        <v>0</v>
      </c>
      <c r="AB181" s="11">
        <f>[18]생산!J178</f>
        <v>0</v>
      </c>
      <c r="AC181" s="48">
        <f>ROUNDDOWN('[20]2025년'!G177/1000,1)</f>
        <v>0</v>
      </c>
    </row>
    <row r="182" spans="1:29">
      <c r="A182" s="6">
        <f t="shared" si="2"/>
        <v>45834</v>
      </c>
      <c r="B182" s="9">
        <f>'[18]key-in(LO)'!Z180</f>
        <v>6991</v>
      </c>
      <c r="C182" s="9">
        <f>'[18]key-in(LO)'!AA180</f>
        <v>238049</v>
      </c>
      <c r="D182" s="9">
        <f>'[18]key-in(LO)'!AB180</f>
        <v>231938</v>
      </c>
      <c r="E182" s="9">
        <f>'[18]key-in(LO)'!AC180</f>
        <v>14635</v>
      </c>
      <c r="F182" s="9">
        <f>'[18]key-in(LO)'!AD180</f>
        <v>12801</v>
      </c>
      <c r="G182" s="9">
        <f>'[18]key-in(LO)'!AE180</f>
        <v>3877.6</v>
      </c>
      <c r="H182" s="9">
        <f>'[18]key-in(LO)'!AF180</f>
        <v>17092</v>
      </c>
      <c r="I182" s="9">
        <f>'[18]key-in(LO)'!AG180</f>
        <v>277196</v>
      </c>
      <c r="J182" s="10">
        <f>'[18]key-in(DCO)'!AN180</f>
        <v>33.700000000000003</v>
      </c>
      <c r="K182" s="10">
        <f>'[18]key-in(DCO)'!AO180</f>
        <v>33.14</v>
      </c>
      <c r="L182" s="9">
        <f>'[18]key-in(DCO)'!AR180</f>
        <v>7740</v>
      </c>
      <c r="M182" s="10">
        <f>[18]생산!AV179</f>
        <v>0</v>
      </c>
      <c r="N182" s="10">
        <f>[18]생산!AW179</f>
        <v>0</v>
      </c>
      <c r="O182" s="10">
        <f>[18]생산!AX179</f>
        <v>0</v>
      </c>
      <c r="P182" s="10">
        <f>[18]생산!AY179</f>
        <v>0</v>
      </c>
      <c r="Q182" s="10">
        <f>[19]생산!BE179</f>
        <v>0</v>
      </c>
      <c r="R182" s="10">
        <f>[18]생산!BA179</f>
        <v>0</v>
      </c>
      <c r="S182" s="9">
        <f>[18]운전시간외!C179</f>
        <v>0</v>
      </c>
      <c r="T182" s="9">
        <f>[18]운전시간외!D179</f>
        <v>0</v>
      </c>
      <c r="U182" s="9">
        <f>[18]운전시간외!E179</f>
        <v>0</v>
      </c>
      <c r="V182" s="9">
        <f>[18]운전시간외!F179</f>
        <v>0</v>
      </c>
      <c r="W182" s="11">
        <f>[18]생산!E179</f>
        <v>0</v>
      </c>
      <c r="X182" s="11">
        <f>[18]생산!F179</f>
        <v>0</v>
      </c>
      <c r="Y182" s="11">
        <f>[18]생산!G179</f>
        <v>0</v>
      </c>
      <c r="Z182" s="11">
        <f>[18]생산!H179</f>
        <v>0</v>
      </c>
      <c r="AA182" s="11">
        <f>[18]생산!I179</f>
        <v>0</v>
      </c>
      <c r="AB182" s="11">
        <f>[18]생산!J179</f>
        <v>0</v>
      </c>
      <c r="AC182" s="48">
        <f>ROUNDDOWN('[20]2025년'!G178/1000,1)</f>
        <v>0</v>
      </c>
    </row>
    <row r="183" spans="1:29">
      <c r="A183" s="6">
        <f t="shared" si="2"/>
        <v>45835</v>
      </c>
      <c r="B183" s="9">
        <f>'[18]key-in(LO)'!Z181</f>
        <v>6991</v>
      </c>
      <c r="C183" s="9">
        <f>'[18]key-in(LO)'!AA181</f>
        <v>238049</v>
      </c>
      <c r="D183" s="9">
        <f>'[18]key-in(LO)'!AB181</f>
        <v>231938</v>
      </c>
      <c r="E183" s="9">
        <f>'[18]key-in(LO)'!AC181</f>
        <v>14646.75</v>
      </c>
      <c r="F183" s="9">
        <f>'[18]key-in(LO)'!AD181</f>
        <v>12801.16</v>
      </c>
      <c r="G183" s="9">
        <f>'[18]key-in(LO)'!AE181</f>
        <v>3878.1</v>
      </c>
      <c r="H183" s="9">
        <f>'[18]key-in(LO)'!AF181</f>
        <v>17142</v>
      </c>
      <c r="I183" s="9">
        <f>'[18]key-in(LO)'!AG181</f>
        <v>277218</v>
      </c>
      <c r="J183" s="10">
        <f>'[18]key-in(DCO)'!AN181</f>
        <v>33.53</v>
      </c>
      <c r="K183" s="10">
        <f>'[18]key-in(DCO)'!AO181</f>
        <v>33.119999999999997</v>
      </c>
      <c r="L183" s="9">
        <f>'[18]key-in(DCO)'!AR181</f>
        <v>7612</v>
      </c>
      <c r="M183" s="10">
        <f>[18]생산!AV180</f>
        <v>0</v>
      </c>
      <c r="N183" s="10">
        <f>[18]생산!AW180</f>
        <v>0</v>
      </c>
      <c r="O183" s="10">
        <f>[18]생산!AX180</f>
        <v>0</v>
      </c>
      <c r="P183" s="10">
        <f>[18]생산!AY180</f>
        <v>0</v>
      </c>
      <c r="Q183" s="10">
        <f>[19]생산!BE180</f>
        <v>0</v>
      </c>
      <c r="R183" s="10">
        <f>[18]생산!BA180</f>
        <v>0</v>
      </c>
      <c r="S183" s="9">
        <f>[18]운전시간외!C180</f>
        <v>0</v>
      </c>
      <c r="T183" s="9">
        <f>[18]운전시간외!D180</f>
        <v>0</v>
      </c>
      <c r="U183" s="9">
        <f>[18]운전시간외!E180</f>
        <v>0</v>
      </c>
      <c r="V183" s="9">
        <f>[18]운전시간외!F180</f>
        <v>0</v>
      </c>
      <c r="W183" s="11">
        <f>[18]생산!E180</f>
        <v>0</v>
      </c>
      <c r="X183" s="11">
        <f>[18]생산!F180</f>
        <v>0</v>
      </c>
      <c r="Y183" s="11">
        <f>[18]생산!G180</f>
        <v>0</v>
      </c>
      <c r="Z183" s="11">
        <f>[18]생산!H180</f>
        <v>0</v>
      </c>
      <c r="AA183" s="11">
        <f>[18]생산!I180</f>
        <v>0</v>
      </c>
      <c r="AB183" s="11">
        <f>[18]생산!J180</f>
        <v>0</v>
      </c>
      <c r="AC183" s="48">
        <f>ROUNDDOWN('[20]2025년'!G179/1000,1)</f>
        <v>0</v>
      </c>
    </row>
    <row r="184" spans="1:29">
      <c r="A184" s="6">
        <f t="shared" si="2"/>
        <v>45836</v>
      </c>
      <c r="B184" s="9">
        <f>'[18]key-in(LO)'!Z182</f>
        <v>6991</v>
      </c>
      <c r="C184" s="9">
        <f>'[18]key-in(LO)'!AA182</f>
        <v>238049</v>
      </c>
      <c r="D184" s="9">
        <f>'[18]key-in(LO)'!AB182</f>
        <v>231938</v>
      </c>
      <c r="E184" s="9">
        <f>'[18]key-in(LO)'!AC182</f>
        <v>14649.1</v>
      </c>
      <c r="F184" s="9">
        <f>'[18]key-in(LO)'!AD182</f>
        <v>12801.16</v>
      </c>
      <c r="G184" s="9">
        <f>'[18]key-in(LO)'!AE182</f>
        <v>3878.5</v>
      </c>
      <c r="H184" s="9">
        <f>'[18]key-in(LO)'!AF182</f>
        <v>17142</v>
      </c>
      <c r="I184" s="9">
        <f>'[18]key-in(LO)'!AG182</f>
        <v>277232</v>
      </c>
      <c r="J184" s="10">
        <f>'[18]key-in(DCO)'!AN182</f>
        <v>33.36</v>
      </c>
      <c r="K184" s="10">
        <f>'[18]key-in(DCO)'!AO182</f>
        <v>33.14</v>
      </c>
      <c r="L184" s="9">
        <f>'[18]key-in(DCO)'!AR182</f>
        <v>7515</v>
      </c>
      <c r="M184" s="10">
        <f>[18]생산!AV181</f>
        <v>0</v>
      </c>
      <c r="N184" s="10">
        <f>[18]생산!AW181</f>
        <v>0</v>
      </c>
      <c r="O184" s="10">
        <f>[18]생산!AX181</f>
        <v>0</v>
      </c>
      <c r="P184" s="10">
        <f>[18]생산!AY181</f>
        <v>0</v>
      </c>
      <c r="Q184" s="10">
        <f>[19]생산!BE181</f>
        <v>0</v>
      </c>
      <c r="R184" s="10">
        <f>[18]생산!BA181</f>
        <v>0</v>
      </c>
      <c r="S184" s="9">
        <f>[18]운전시간외!C181</f>
        <v>0</v>
      </c>
      <c r="T184" s="9">
        <f>[18]운전시간외!D181</f>
        <v>0</v>
      </c>
      <c r="U184" s="9">
        <f>[18]운전시간외!E181</f>
        <v>0</v>
      </c>
      <c r="V184" s="9">
        <f>[18]운전시간외!F181</f>
        <v>0</v>
      </c>
      <c r="W184" s="11">
        <f>[18]생산!E181</f>
        <v>0</v>
      </c>
      <c r="X184" s="11">
        <f>[18]생산!F181</f>
        <v>0</v>
      </c>
      <c r="Y184" s="11">
        <f>[18]생산!G181</f>
        <v>0</v>
      </c>
      <c r="Z184" s="11">
        <f>[18]생산!H181</f>
        <v>0</v>
      </c>
      <c r="AA184" s="11">
        <f>[18]생산!I181</f>
        <v>0</v>
      </c>
      <c r="AB184" s="11">
        <f>[18]생산!J181</f>
        <v>0</v>
      </c>
      <c r="AC184" s="48">
        <f>ROUNDDOWN('[20]2025년'!G180/1000,1)</f>
        <v>0</v>
      </c>
    </row>
    <row r="185" spans="1:29">
      <c r="A185" s="6">
        <f t="shared" si="2"/>
        <v>45837</v>
      </c>
      <c r="B185" s="9">
        <f>'[18]key-in(LO)'!Z183</f>
        <v>7015</v>
      </c>
      <c r="C185" s="9">
        <f>'[18]key-in(LO)'!AA183</f>
        <v>238105</v>
      </c>
      <c r="D185" s="9">
        <f>'[18]key-in(LO)'!AB183</f>
        <v>231967</v>
      </c>
      <c r="E185" s="9">
        <f>'[18]key-in(LO)'!AC183</f>
        <v>14656.16</v>
      </c>
      <c r="F185" s="9">
        <f>'[18]key-in(LO)'!AD183</f>
        <v>12801.16</v>
      </c>
      <c r="G185" s="9">
        <f>'[18]key-in(LO)'!AE183</f>
        <v>3878.8</v>
      </c>
      <c r="H185" s="9">
        <f>'[18]key-in(LO)'!AF183</f>
        <v>17142</v>
      </c>
      <c r="I185" s="9">
        <f>'[18]key-in(LO)'!AG183</f>
        <v>277339</v>
      </c>
      <c r="J185" s="10">
        <f>'[18]key-in(DCO)'!AN183</f>
        <v>33.46</v>
      </c>
      <c r="K185" s="10">
        <f>'[18]key-in(DCO)'!AO183</f>
        <v>33.270000000000003</v>
      </c>
      <c r="L185" s="9">
        <f>'[18]key-in(DCO)'!AR183</f>
        <v>8162</v>
      </c>
      <c r="M185" s="10">
        <f>[18]생산!AV182</f>
        <v>0</v>
      </c>
      <c r="N185" s="10">
        <f>[18]생산!AW182</f>
        <v>0</v>
      </c>
      <c r="O185" s="10">
        <f>[18]생산!AX182</f>
        <v>0</v>
      </c>
      <c r="P185" s="10">
        <f>[18]생산!AY182</f>
        <v>0</v>
      </c>
      <c r="Q185" s="10">
        <f>[19]생산!BE182</f>
        <v>0</v>
      </c>
      <c r="R185" s="10">
        <f>[18]생산!BA182</f>
        <v>0</v>
      </c>
      <c r="S185" s="9">
        <f>[18]운전시간외!C182</f>
        <v>0</v>
      </c>
      <c r="T185" s="9">
        <f>[18]운전시간외!D182</f>
        <v>0</v>
      </c>
      <c r="U185" s="9">
        <f>[18]운전시간외!E182</f>
        <v>0</v>
      </c>
      <c r="V185" s="9">
        <f>[18]운전시간외!F182</f>
        <v>0</v>
      </c>
      <c r="W185" s="11">
        <f>[18]생산!E182</f>
        <v>0</v>
      </c>
      <c r="X185" s="11">
        <f>[18]생산!F182</f>
        <v>0</v>
      </c>
      <c r="Y185" s="11">
        <f>[18]생산!G182</f>
        <v>0</v>
      </c>
      <c r="Z185" s="11">
        <f>[18]생산!H182</f>
        <v>0</v>
      </c>
      <c r="AA185" s="11">
        <f>[18]생산!I182</f>
        <v>0</v>
      </c>
      <c r="AB185" s="11">
        <f>[18]생산!J182</f>
        <v>0</v>
      </c>
      <c r="AC185" s="48">
        <f>ROUNDDOWN('[20]2025년'!G181/1000,1)</f>
        <v>0</v>
      </c>
    </row>
    <row r="186" spans="1:29">
      <c r="A186" s="6">
        <f t="shared" si="2"/>
        <v>45838</v>
      </c>
      <c r="B186" s="9">
        <f>'[18]key-in(LO)'!Z184</f>
        <v>7026</v>
      </c>
      <c r="C186" s="9">
        <f>'[18]key-in(LO)'!AA184</f>
        <v>238185</v>
      </c>
      <c r="D186" s="9">
        <f>'[18]key-in(LO)'!AB184</f>
        <v>231967</v>
      </c>
      <c r="E186" s="9">
        <f>'[18]key-in(LO)'!AC184</f>
        <v>14671.33</v>
      </c>
      <c r="F186" s="9">
        <f>'[18]key-in(LO)'!AD184</f>
        <v>12801.16</v>
      </c>
      <c r="G186" s="9">
        <f>'[18]key-in(LO)'!AE184</f>
        <v>3879.5</v>
      </c>
      <c r="H186" s="9">
        <f>'[18]key-in(LO)'!AF184</f>
        <v>17199</v>
      </c>
      <c r="I186" s="9">
        <f>'[18]key-in(LO)'!AG184</f>
        <v>277487</v>
      </c>
      <c r="J186" s="10">
        <f>'[18]key-in(DCO)'!AN184</f>
        <v>33.47</v>
      </c>
      <c r="K186" s="10">
        <f>'[18]key-in(DCO)'!AO184</f>
        <v>33.33</v>
      </c>
      <c r="L186" s="9">
        <f>'[18]key-in(DCO)'!AR184</f>
        <v>8685</v>
      </c>
      <c r="M186" s="10">
        <f>[18]생산!AV183</f>
        <v>0</v>
      </c>
      <c r="N186" s="10">
        <f>[18]생산!AW183</f>
        <v>0</v>
      </c>
      <c r="O186" s="10">
        <f>[18]생산!AX183</f>
        <v>0</v>
      </c>
      <c r="P186" s="10">
        <f>[18]생산!AY183</f>
        <v>0</v>
      </c>
      <c r="Q186" s="10">
        <f>[19]생산!BE183</f>
        <v>0</v>
      </c>
      <c r="R186" s="10">
        <f>[18]생산!BA183</f>
        <v>0</v>
      </c>
      <c r="S186" s="9">
        <f>[18]운전시간외!C183</f>
        <v>0</v>
      </c>
      <c r="T186" s="9">
        <f>[18]운전시간외!D183</f>
        <v>0</v>
      </c>
      <c r="U186" s="9">
        <f>[18]운전시간외!E183</f>
        <v>0</v>
      </c>
      <c r="V186" s="9">
        <f>[18]운전시간외!F183</f>
        <v>0</v>
      </c>
      <c r="W186" s="11">
        <f>[18]생산!E183</f>
        <v>0</v>
      </c>
      <c r="X186" s="11">
        <f>[18]생산!F183</f>
        <v>0</v>
      </c>
      <c r="Y186" s="11">
        <f>[18]생산!G183</f>
        <v>0</v>
      </c>
      <c r="Z186" s="11">
        <f>[18]생산!H183</f>
        <v>0</v>
      </c>
      <c r="AA186" s="11">
        <f>[18]생산!I183</f>
        <v>0</v>
      </c>
      <c r="AB186" s="11">
        <f>[18]생산!J183</f>
        <v>0</v>
      </c>
      <c r="AC186" s="48">
        <f>ROUNDDOWN('[20]2025년'!G182/1000,1)</f>
        <v>0</v>
      </c>
    </row>
    <row r="187" spans="1:29">
      <c r="A187" s="6">
        <f t="shared" si="2"/>
        <v>45839</v>
      </c>
      <c r="B187" s="9">
        <f>'[18]key-in(LO)'!Z185</f>
        <v>7026</v>
      </c>
      <c r="C187" s="9">
        <f>'[18]key-in(LO)'!AA185</f>
        <v>238185</v>
      </c>
      <c r="D187" s="9">
        <f>'[18]key-in(LO)'!AB185</f>
        <v>231967</v>
      </c>
      <c r="E187" s="9">
        <f>'[18]key-in(LO)'!AC185</f>
        <v>14686.29</v>
      </c>
      <c r="F187" s="9">
        <f>'[18]key-in(LO)'!AD185</f>
        <v>12801.16</v>
      </c>
      <c r="G187" s="9">
        <f>'[18]key-in(LO)'!AE185</f>
        <v>3880.1</v>
      </c>
      <c r="H187" s="9">
        <f>'[18]key-in(LO)'!AF185</f>
        <v>17199</v>
      </c>
      <c r="I187" s="9">
        <f>'[18]key-in(LO)'!AG185</f>
        <v>277514</v>
      </c>
      <c r="J187" s="10">
        <f>'[18]key-in(DCO)'!AN185</f>
        <v>33.56</v>
      </c>
      <c r="K187" s="10">
        <f>'[18]key-in(DCO)'!AO185</f>
        <v>33.31</v>
      </c>
      <c r="L187" s="9">
        <f>'[18]key-in(DCO)'!AR185</f>
        <v>7854</v>
      </c>
      <c r="M187" s="10">
        <f>[18]생산!AV184</f>
        <v>0</v>
      </c>
      <c r="N187" s="10">
        <f>[18]생산!AW184</f>
        <v>0</v>
      </c>
      <c r="O187" s="10">
        <f>[18]생산!AX184</f>
        <v>0</v>
      </c>
      <c r="P187" s="10">
        <f>[18]생산!AY184</f>
        <v>0</v>
      </c>
      <c r="Q187" s="10">
        <f>[19]생산!BE184</f>
        <v>0</v>
      </c>
      <c r="R187" s="10">
        <f>[18]생산!BA184</f>
        <v>0</v>
      </c>
      <c r="S187" s="9">
        <f>[18]운전시간외!C184</f>
        <v>0</v>
      </c>
      <c r="T187" s="9">
        <f>[18]운전시간외!D184</f>
        <v>0</v>
      </c>
      <c r="U187" s="9">
        <f>[18]운전시간외!E184</f>
        <v>0</v>
      </c>
      <c r="V187" s="9">
        <f>[18]운전시간외!F184</f>
        <v>0</v>
      </c>
      <c r="W187" s="11">
        <f>[18]생산!E184</f>
        <v>0</v>
      </c>
      <c r="X187" s="11">
        <f>[18]생산!F184</f>
        <v>0</v>
      </c>
      <c r="Y187" s="11">
        <f>[18]생산!G184</f>
        <v>0</v>
      </c>
      <c r="Z187" s="11">
        <f>[18]생산!H184</f>
        <v>0</v>
      </c>
      <c r="AA187" s="11">
        <f>[18]생산!I184</f>
        <v>0</v>
      </c>
      <c r="AB187" s="11">
        <f>[18]생산!J184</f>
        <v>0</v>
      </c>
      <c r="AC187" s="48">
        <f>ROUNDDOWN('[20]2025년'!G183/1000,1)</f>
        <v>0</v>
      </c>
    </row>
    <row r="188" spans="1:29">
      <c r="A188" s="6">
        <f t="shared" si="2"/>
        <v>45840</v>
      </c>
      <c r="B188" s="9">
        <f>'[18]key-in(LO)'!Z186</f>
        <v>7026</v>
      </c>
      <c r="C188" s="9">
        <f>'[18]key-in(LO)'!AA186</f>
        <v>238226</v>
      </c>
      <c r="D188" s="9">
        <f>'[18]key-in(LO)'!AB186</f>
        <v>231967</v>
      </c>
      <c r="E188" s="9">
        <f>'[18]key-in(LO)'!AC186</f>
        <v>14738</v>
      </c>
      <c r="F188" s="9">
        <f>'[18]key-in(LO)'!AD186</f>
        <v>12801.16</v>
      </c>
      <c r="G188" s="9">
        <f>'[18]key-in(LO)'!AE186</f>
        <v>3880.8</v>
      </c>
      <c r="H188" s="9">
        <f>'[18]key-in(LO)'!AF186</f>
        <v>17255</v>
      </c>
      <c r="I188" s="9">
        <f>'[18]key-in(LO)'!AG186</f>
        <v>277619</v>
      </c>
      <c r="J188" s="10">
        <f>'[18]key-in(DCO)'!AN186</f>
        <v>33.17</v>
      </c>
      <c r="K188" s="10">
        <f>'[18]key-in(DCO)'!AO186</f>
        <v>33.44</v>
      </c>
      <c r="L188" s="9">
        <f>'[18]key-in(DCO)'!AR186</f>
        <v>8254</v>
      </c>
      <c r="M188" s="10">
        <f>[18]생산!AV185</f>
        <v>0</v>
      </c>
      <c r="N188" s="10">
        <f>[18]생산!AW185</f>
        <v>0</v>
      </c>
      <c r="O188" s="10">
        <f>[18]생산!AX185</f>
        <v>0</v>
      </c>
      <c r="P188" s="10">
        <f>[18]생산!AY185</f>
        <v>0</v>
      </c>
      <c r="Q188" s="10">
        <f>[19]생산!BE185</f>
        <v>0</v>
      </c>
      <c r="R188" s="10">
        <f>[18]생산!BA185</f>
        <v>0</v>
      </c>
      <c r="S188" s="9">
        <f>[18]운전시간외!C185</f>
        <v>0</v>
      </c>
      <c r="T188" s="9">
        <f>[18]운전시간외!D185</f>
        <v>0</v>
      </c>
      <c r="U188" s="9">
        <f>[18]운전시간외!E185</f>
        <v>0</v>
      </c>
      <c r="V188" s="9">
        <f>[18]운전시간외!F185</f>
        <v>0</v>
      </c>
      <c r="W188" s="11">
        <f>[18]생산!E185</f>
        <v>0</v>
      </c>
      <c r="X188" s="11">
        <f>[18]생산!F185</f>
        <v>0</v>
      </c>
      <c r="Y188" s="11">
        <f>[18]생산!G185</f>
        <v>0</v>
      </c>
      <c r="Z188" s="11">
        <f>[18]생산!H185</f>
        <v>0</v>
      </c>
      <c r="AA188" s="11">
        <f>[18]생산!I185</f>
        <v>0</v>
      </c>
      <c r="AB188" s="11">
        <f>[18]생산!J185</f>
        <v>0</v>
      </c>
      <c r="AC188" s="48">
        <f>ROUNDDOWN('[20]2025년'!G184/1000,1)</f>
        <v>0</v>
      </c>
    </row>
    <row r="189" spans="1:29">
      <c r="A189" s="6">
        <f t="shared" si="2"/>
        <v>45841</v>
      </c>
      <c r="B189" s="9">
        <f>'[18]key-in(LO)'!Z187</f>
        <v>7026</v>
      </c>
      <c r="C189" s="9">
        <f>'[18]key-in(LO)'!AA187</f>
        <v>238226</v>
      </c>
      <c r="D189" s="9">
        <f>'[18]key-in(LO)'!AB187</f>
        <v>231997</v>
      </c>
      <c r="E189" s="9">
        <f>'[18]key-in(LO)'!AC187</f>
        <v>14772</v>
      </c>
      <c r="F189" s="9">
        <f>'[18]key-in(LO)'!AD187</f>
        <v>12801.16</v>
      </c>
      <c r="G189" s="9">
        <f>'[18]key-in(LO)'!AE187</f>
        <v>3881.3</v>
      </c>
      <c r="H189" s="9">
        <f>'[18]key-in(LO)'!AF187</f>
        <v>17299</v>
      </c>
      <c r="I189" s="9">
        <f>'[18]key-in(LO)'!AG187</f>
        <v>277704</v>
      </c>
      <c r="J189" s="10">
        <f>'[18]key-in(DCO)'!AN187</f>
        <v>33.18</v>
      </c>
      <c r="K189" s="10">
        <f>'[18]key-in(DCO)'!AO187</f>
        <v>33.6</v>
      </c>
      <c r="L189" s="9">
        <f>'[18]key-in(DCO)'!AR187</f>
        <v>7973</v>
      </c>
      <c r="M189" s="10">
        <f>[18]생산!AV186</f>
        <v>18276.70000000298</v>
      </c>
      <c r="N189" s="10">
        <f>[18]생산!AW186</f>
        <v>0</v>
      </c>
      <c r="O189" s="10">
        <f>[18]생산!AX186</f>
        <v>0</v>
      </c>
      <c r="P189" s="10">
        <f>[18]생산!AY186</f>
        <v>0</v>
      </c>
      <c r="Q189" s="10">
        <f>[19]생산!BE186</f>
        <v>0</v>
      </c>
      <c r="R189" s="10">
        <f>[18]생산!BA186</f>
        <v>0</v>
      </c>
      <c r="S189" s="9">
        <f>[18]운전시간외!C186</f>
        <v>10</v>
      </c>
      <c r="T189" s="9">
        <f>[18]운전시간외!D186</f>
        <v>0</v>
      </c>
      <c r="U189" s="9">
        <f>[18]운전시간외!E186</f>
        <v>0</v>
      </c>
      <c r="V189" s="9">
        <f>[18]운전시간외!F186</f>
        <v>0</v>
      </c>
      <c r="W189" s="11">
        <f>[18]생산!E186</f>
        <v>97</v>
      </c>
      <c r="X189" s="11">
        <f>[18]생산!F186</f>
        <v>0</v>
      </c>
      <c r="Y189" s="11">
        <f>[18]생산!G186</f>
        <v>0</v>
      </c>
      <c r="Z189" s="11">
        <f>[18]생산!H186</f>
        <v>0</v>
      </c>
      <c r="AA189" s="11">
        <f>[18]생산!I186</f>
        <v>0</v>
      </c>
      <c r="AB189" s="11">
        <f>[18]생산!J186</f>
        <v>97</v>
      </c>
      <c r="AC189" s="48">
        <f>ROUNDDOWN('[20]2025년'!G185/1000,1)</f>
        <v>3.2</v>
      </c>
    </row>
    <row r="190" spans="1:29">
      <c r="A190" s="6">
        <f t="shared" si="2"/>
        <v>45842</v>
      </c>
      <c r="B190" s="9">
        <f>'[18]key-in(LO)'!Z188</f>
        <v>7026</v>
      </c>
      <c r="C190" s="9">
        <f>'[18]key-in(LO)'!AA188</f>
        <v>238226</v>
      </c>
      <c r="D190" s="9">
        <f>'[18]key-in(LO)'!AB188</f>
        <v>232038</v>
      </c>
      <c r="E190" s="9">
        <f>'[18]key-in(LO)'!AC188</f>
        <v>14800.22</v>
      </c>
      <c r="F190" s="9">
        <f>'[18]key-in(LO)'!AD188</f>
        <v>12801.16</v>
      </c>
      <c r="G190" s="9">
        <f>'[18]key-in(LO)'!AE188</f>
        <v>3881.8</v>
      </c>
      <c r="H190" s="9">
        <f>'[18]key-in(LO)'!AF188</f>
        <v>17345</v>
      </c>
      <c r="I190" s="9">
        <f>'[18]key-in(LO)'!AG188</f>
        <v>277790</v>
      </c>
      <c r="J190" s="10">
        <f>'[18]key-in(DCO)'!AN188</f>
        <v>33.700000000000003</v>
      </c>
      <c r="K190" s="10">
        <f>'[18]key-in(DCO)'!AO188</f>
        <v>33.18</v>
      </c>
      <c r="L190" s="9">
        <f>'[18]key-in(DCO)'!AR188</f>
        <v>8550</v>
      </c>
      <c r="M190" s="10">
        <f>[18]생산!AV187</f>
        <v>0</v>
      </c>
      <c r="N190" s="10">
        <f>[18]생산!AW187</f>
        <v>0</v>
      </c>
      <c r="O190" s="10">
        <f>[18]생산!AX187</f>
        <v>0</v>
      </c>
      <c r="P190" s="10">
        <f>[18]생산!AY187</f>
        <v>0</v>
      </c>
      <c r="Q190" s="10">
        <f>[19]생산!BE187</f>
        <v>0</v>
      </c>
      <c r="R190" s="10">
        <f>[18]생산!BA187</f>
        <v>0</v>
      </c>
      <c r="S190" s="9">
        <f>[18]운전시간외!C187</f>
        <v>0</v>
      </c>
      <c r="T190" s="9">
        <f>[18]운전시간외!D187</f>
        <v>0</v>
      </c>
      <c r="U190" s="9">
        <f>[18]운전시간외!E187</f>
        <v>0</v>
      </c>
      <c r="V190" s="9">
        <f>[18]운전시간외!F187</f>
        <v>0</v>
      </c>
      <c r="W190" s="11">
        <f>[18]생산!E187</f>
        <v>0</v>
      </c>
      <c r="X190" s="11">
        <f>[18]생산!F187</f>
        <v>0</v>
      </c>
      <c r="Y190" s="11">
        <f>[18]생산!G187</f>
        <v>0</v>
      </c>
      <c r="Z190" s="11">
        <f>[18]생산!H187</f>
        <v>0</v>
      </c>
      <c r="AA190" s="11">
        <f>[18]생산!I187</f>
        <v>0</v>
      </c>
      <c r="AB190" s="11">
        <f>[18]생산!J187</f>
        <v>0</v>
      </c>
      <c r="AC190" s="48">
        <f>ROUNDDOWN('[20]2025년'!G186/1000,1)</f>
        <v>0</v>
      </c>
    </row>
    <row r="191" spans="1:29">
      <c r="A191" s="6">
        <f t="shared" si="2"/>
        <v>45843</v>
      </c>
      <c r="B191" s="9">
        <f>'[18]key-in(LO)'!Z189</f>
        <v>7026</v>
      </c>
      <c r="C191" s="9">
        <f>'[18]key-in(LO)'!AA189</f>
        <v>238226</v>
      </c>
      <c r="D191" s="9">
        <f>'[18]key-in(LO)'!AB189</f>
        <v>232038</v>
      </c>
      <c r="E191" s="9">
        <f>'[18]key-in(LO)'!AC189</f>
        <v>14828.94</v>
      </c>
      <c r="F191" s="9">
        <f>'[18]key-in(LO)'!AD189</f>
        <v>12801.16</v>
      </c>
      <c r="G191" s="9">
        <f>'[18]key-in(LO)'!AE189</f>
        <v>3882.1</v>
      </c>
      <c r="H191" s="9">
        <f>'[18]key-in(LO)'!AF189</f>
        <v>17345</v>
      </c>
      <c r="I191" s="9">
        <f>'[18]key-in(LO)'!AG189</f>
        <v>277828</v>
      </c>
      <c r="J191" s="10">
        <f>'[18]key-in(DCO)'!AN189</f>
        <v>33.68</v>
      </c>
      <c r="K191" s="10">
        <f>'[18]key-in(DCO)'!AO189</f>
        <v>33.090000000000003</v>
      </c>
      <c r="L191" s="9">
        <f>'[18]key-in(DCO)'!AR189</f>
        <v>8175</v>
      </c>
      <c r="M191" s="10">
        <f>[18]생산!AV188</f>
        <v>0</v>
      </c>
      <c r="N191" s="10">
        <f>[18]생산!AW188</f>
        <v>0</v>
      </c>
      <c r="O191" s="10">
        <f>[18]생산!AX188</f>
        <v>0</v>
      </c>
      <c r="P191" s="10">
        <f>[18]생산!AY188</f>
        <v>0</v>
      </c>
      <c r="Q191" s="10">
        <f>[19]생산!BE188</f>
        <v>0</v>
      </c>
      <c r="R191" s="10">
        <f>[18]생산!BA188</f>
        <v>0</v>
      </c>
      <c r="S191" s="9">
        <f>[18]운전시간외!C188</f>
        <v>0</v>
      </c>
      <c r="T191" s="9">
        <f>[18]운전시간외!D188</f>
        <v>0</v>
      </c>
      <c r="U191" s="9">
        <f>[18]운전시간외!E188</f>
        <v>0</v>
      </c>
      <c r="V191" s="9">
        <f>[18]운전시간외!F188</f>
        <v>0</v>
      </c>
      <c r="W191" s="11">
        <f>[18]생산!E188</f>
        <v>0</v>
      </c>
      <c r="X191" s="11">
        <f>[18]생산!F188</f>
        <v>0</v>
      </c>
      <c r="Y191" s="11">
        <f>[18]생산!G188</f>
        <v>0</v>
      </c>
      <c r="Z191" s="11">
        <f>[18]생산!H188</f>
        <v>0</v>
      </c>
      <c r="AA191" s="11">
        <f>[18]생산!I188</f>
        <v>0</v>
      </c>
      <c r="AB191" s="11">
        <f>[18]생산!J188</f>
        <v>0</v>
      </c>
      <c r="AC191" s="48">
        <f>ROUNDDOWN('[20]2025년'!G187/1000,1)</f>
        <v>0</v>
      </c>
    </row>
    <row r="192" spans="1:29">
      <c r="A192" s="6">
        <f t="shared" si="2"/>
        <v>45844</v>
      </c>
      <c r="B192" s="9">
        <f>'[18]key-in(LO)'!Z190</f>
        <v>7026</v>
      </c>
      <c r="C192" s="9">
        <f>'[18]key-in(LO)'!AA190</f>
        <v>238226</v>
      </c>
      <c r="D192" s="9">
        <f>'[18]key-in(LO)'!AB190</f>
        <v>232038</v>
      </c>
      <c r="E192" s="9">
        <f>'[18]key-in(LO)'!AC190</f>
        <v>14843.73</v>
      </c>
      <c r="F192" s="9">
        <f>'[18]key-in(LO)'!AD190</f>
        <v>12801.33</v>
      </c>
      <c r="G192" s="9">
        <f>'[18]key-in(LO)'!AE190</f>
        <v>3882.4</v>
      </c>
      <c r="H192" s="9">
        <f>'[18]key-in(LO)'!AF190</f>
        <v>17345</v>
      </c>
      <c r="I192" s="9">
        <f>'[18]key-in(LO)'!AG190</f>
        <v>277853</v>
      </c>
      <c r="J192" s="10">
        <f>'[18]key-in(DCO)'!AN190</f>
        <v>33.479999999999997</v>
      </c>
      <c r="K192" s="10">
        <f>'[18]key-in(DCO)'!AO190</f>
        <v>33.049999999999997</v>
      </c>
      <c r="L192" s="9">
        <f>'[18]key-in(DCO)'!AR190</f>
        <v>8062</v>
      </c>
      <c r="M192" s="10">
        <f>[18]생산!AV189</f>
        <v>0</v>
      </c>
      <c r="N192" s="10">
        <f>[18]생산!AW189</f>
        <v>0</v>
      </c>
      <c r="O192" s="10">
        <f>[18]생산!AX189</f>
        <v>0</v>
      </c>
      <c r="P192" s="10">
        <f>[18]생산!AY189</f>
        <v>0</v>
      </c>
      <c r="Q192" s="10">
        <f>[19]생산!BE189</f>
        <v>0</v>
      </c>
      <c r="R192" s="10">
        <f>[18]생산!BA189</f>
        <v>0</v>
      </c>
      <c r="S192" s="9">
        <f>[18]운전시간외!C189</f>
        <v>0</v>
      </c>
      <c r="T192" s="9">
        <f>[18]운전시간외!D189</f>
        <v>0</v>
      </c>
      <c r="U192" s="9">
        <f>[18]운전시간외!E189</f>
        <v>0</v>
      </c>
      <c r="V192" s="9">
        <f>[18]운전시간외!F189</f>
        <v>0</v>
      </c>
      <c r="W192" s="11">
        <f>[18]생산!E189</f>
        <v>0</v>
      </c>
      <c r="X192" s="11">
        <f>[18]생산!F189</f>
        <v>0</v>
      </c>
      <c r="Y192" s="11">
        <f>[18]생산!G189</f>
        <v>0</v>
      </c>
      <c r="Z192" s="11">
        <f>[18]생산!H189</f>
        <v>0</v>
      </c>
      <c r="AA192" s="11">
        <f>[18]생산!I189</f>
        <v>0</v>
      </c>
      <c r="AB192" s="11">
        <f>[18]생산!J189</f>
        <v>0</v>
      </c>
      <c r="AC192" s="48">
        <f>ROUNDDOWN('[20]2025년'!G188/1000,1)</f>
        <v>0</v>
      </c>
    </row>
    <row r="193" spans="1:29">
      <c r="A193" s="6">
        <f t="shared" si="2"/>
        <v>45845</v>
      </c>
      <c r="B193" s="9">
        <f>'[18]key-in(LO)'!Z191</f>
        <v>7026</v>
      </c>
      <c r="C193" s="9">
        <f>'[18]key-in(LO)'!AA191</f>
        <v>238226</v>
      </c>
      <c r="D193" s="9">
        <f>'[18]key-in(LO)'!AB191</f>
        <v>232080</v>
      </c>
      <c r="E193" s="9">
        <f>'[18]key-in(LO)'!AC191</f>
        <v>14876.01</v>
      </c>
      <c r="F193" s="9">
        <f>'[18]key-in(LO)'!AD191</f>
        <v>12809.6</v>
      </c>
      <c r="G193" s="9">
        <f>'[18]key-in(LO)'!AE191</f>
        <v>3883</v>
      </c>
      <c r="H193" s="9">
        <f>'[18]key-in(LO)'!AF191</f>
        <v>17413</v>
      </c>
      <c r="I193" s="9">
        <f>'[18]key-in(LO)'!AG191</f>
        <v>277976</v>
      </c>
      <c r="J193" s="10">
        <f>'[18]key-in(DCO)'!AN191</f>
        <v>33.44</v>
      </c>
      <c r="K193" s="10">
        <f>'[18]key-in(DCO)'!AO191</f>
        <v>33</v>
      </c>
      <c r="L193" s="9">
        <f>'[18]key-in(DCO)'!AR191</f>
        <v>8392</v>
      </c>
      <c r="M193" s="10">
        <f>[18]생산!AV190</f>
        <v>42185.98</v>
      </c>
      <c r="N193" s="10">
        <f>[18]생산!AW190</f>
        <v>0</v>
      </c>
      <c r="O193" s="10">
        <f>[18]생산!AX190</f>
        <v>0</v>
      </c>
      <c r="P193" s="10">
        <f>[18]생산!AY190</f>
        <v>0</v>
      </c>
      <c r="Q193" s="10">
        <f>[19]생산!BE190</f>
        <v>0</v>
      </c>
      <c r="R193" s="10">
        <f>[18]생산!BA190</f>
        <v>0</v>
      </c>
      <c r="S193" s="9">
        <f>[18]운전시간외!C190</f>
        <v>17</v>
      </c>
      <c r="T193" s="9">
        <f>[18]운전시간외!D190</f>
        <v>0</v>
      </c>
      <c r="U193" s="9">
        <f>[18]운전시간외!E190</f>
        <v>0</v>
      </c>
      <c r="V193" s="9">
        <f>[18]운전시간외!F190</f>
        <v>0</v>
      </c>
      <c r="W193" s="11">
        <f>[18]생산!E190</f>
        <v>270</v>
      </c>
      <c r="X193" s="11">
        <f>[18]생산!F190</f>
        <v>0</v>
      </c>
      <c r="Y193" s="11">
        <f>[18]생산!G190</f>
        <v>0</v>
      </c>
      <c r="Z193" s="11">
        <f>[18]생산!H190</f>
        <v>0</v>
      </c>
      <c r="AA193" s="11">
        <f>[18]생산!I190</f>
        <v>0</v>
      </c>
      <c r="AB193" s="11">
        <f>[18]생산!J190</f>
        <v>270</v>
      </c>
      <c r="AC193" s="48">
        <f>ROUNDDOWN('[20]2025년'!G189/1000,1)</f>
        <v>4.4000000000000004</v>
      </c>
    </row>
    <row r="194" spans="1:29">
      <c r="A194" s="6">
        <f t="shared" si="2"/>
        <v>45846</v>
      </c>
      <c r="B194" s="9">
        <f>'[18]key-in(LO)'!Z192</f>
        <v>7030</v>
      </c>
      <c r="C194" s="9">
        <f>'[18]key-in(LO)'!AA192</f>
        <v>238226</v>
      </c>
      <c r="D194" s="9">
        <f>'[18]key-in(LO)'!AB192</f>
        <v>232103</v>
      </c>
      <c r="E194" s="9">
        <f>'[18]key-in(LO)'!AC192</f>
        <v>14917.13</v>
      </c>
      <c r="F194" s="9">
        <f>'[18]key-in(LO)'!AD192</f>
        <v>12817.6</v>
      </c>
      <c r="G194" s="9">
        <f>'[18]key-in(LO)'!AE192</f>
        <v>3883.3</v>
      </c>
      <c r="H194" s="9">
        <f>'[18]key-in(LO)'!AF192</f>
        <v>17413</v>
      </c>
      <c r="I194" s="9">
        <f>'[18]key-in(LO)'!AG192</f>
        <v>278100</v>
      </c>
      <c r="J194" s="10">
        <f>'[18]key-in(DCO)'!AN192</f>
        <v>33.49</v>
      </c>
      <c r="K194" s="10">
        <f>'[18]key-in(DCO)'!AO192</f>
        <v>32.97</v>
      </c>
      <c r="L194" s="9">
        <f>'[18]key-in(DCO)'!AR192</f>
        <v>8004</v>
      </c>
      <c r="M194" s="10">
        <f>[18]생산!AV191</f>
        <v>40229.730000000003</v>
      </c>
      <c r="N194" s="10">
        <f>[18]생산!AW191</f>
        <v>0</v>
      </c>
      <c r="O194" s="10">
        <f>[18]생산!AX191</f>
        <v>0</v>
      </c>
      <c r="P194" s="10">
        <f>[18]생산!AY191</f>
        <v>0</v>
      </c>
      <c r="Q194" s="10">
        <f>[19]생산!BE191</f>
        <v>0</v>
      </c>
      <c r="R194" s="10">
        <f>[18]생산!BA191</f>
        <v>0</v>
      </c>
      <c r="S194" s="9">
        <f>[18]운전시간외!C191</f>
        <v>14</v>
      </c>
      <c r="T194" s="9">
        <f>[18]운전시간외!D191</f>
        <v>0</v>
      </c>
      <c r="U194" s="9">
        <f>[18]운전시간외!E191</f>
        <v>0</v>
      </c>
      <c r="V194" s="9">
        <f>[18]운전시간외!F191</f>
        <v>0</v>
      </c>
      <c r="W194" s="11">
        <f>[18]생산!E191</f>
        <v>270</v>
      </c>
      <c r="X194" s="11">
        <f>[18]생산!F191</f>
        <v>0</v>
      </c>
      <c r="Y194" s="11">
        <f>[18]생산!G191</f>
        <v>0</v>
      </c>
      <c r="Z194" s="11">
        <f>[18]생산!H191</f>
        <v>0</v>
      </c>
      <c r="AA194" s="11">
        <f>[18]생산!I191</f>
        <v>0</v>
      </c>
      <c r="AB194" s="11">
        <f>[18]생산!J191</f>
        <v>270</v>
      </c>
      <c r="AC194" s="48">
        <f>ROUNDDOWN('[20]2025년'!G190/1000,1)</f>
        <v>4.4000000000000004</v>
      </c>
    </row>
    <row r="195" spans="1:29">
      <c r="A195" s="6">
        <f t="shared" si="2"/>
        <v>45847</v>
      </c>
      <c r="B195" s="9">
        <f>'[18]key-in(LO)'!Z193</f>
        <v>7039</v>
      </c>
      <c r="C195" s="9">
        <f>'[18]key-in(LO)'!AA193</f>
        <v>238226</v>
      </c>
      <c r="D195" s="9">
        <f>'[18]key-in(LO)'!AB193</f>
        <v>232136</v>
      </c>
      <c r="E195" s="9">
        <f>'[18]key-in(LO)'!AC193</f>
        <v>14946.87</v>
      </c>
      <c r="F195" s="9">
        <f>'[18]key-in(LO)'!AD193</f>
        <v>12839.2</v>
      </c>
      <c r="G195" s="9">
        <f>'[18]key-in(LO)'!AE193</f>
        <v>3883.3</v>
      </c>
      <c r="H195" s="9">
        <f>'[18]key-in(LO)'!AF193</f>
        <v>17468</v>
      </c>
      <c r="I195" s="9">
        <f>'[18]key-in(LO)'!AG193</f>
        <v>278224</v>
      </c>
      <c r="J195" s="10">
        <f>'[18]key-in(DCO)'!AN193</f>
        <v>33.39</v>
      </c>
      <c r="K195" s="10">
        <f>'[18]key-in(DCO)'!AO193</f>
        <v>32.94</v>
      </c>
      <c r="L195" s="9">
        <f>'[18]key-in(DCO)'!AR193</f>
        <v>7508</v>
      </c>
      <c r="M195" s="10">
        <f>[18]생산!AV192</f>
        <v>34156.6</v>
      </c>
      <c r="N195" s="10">
        <f>[18]생산!AW192</f>
        <v>0</v>
      </c>
      <c r="O195" s="10">
        <f>[18]생산!AX192</f>
        <v>0</v>
      </c>
      <c r="P195" s="10">
        <f>[18]생산!AY192</f>
        <v>0</v>
      </c>
      <c r="Q195" s="10">
        <f>[19]생산!BE192</f>
        <v>0</v>
      </c>
      <c r="R195" s="10">
        <f>[18]생산!BA192</f>
        <v>0</v>
      </c>
      <c r="S195" s="9">
        <f>[18]운전시간외!C192</f>
        <v>13</v>
      </c>
      <c r="T195" s="9">
        <f>[18]운전시간외!D192</f>
        <v>0</v>
      </c>
      <c r="U195" s="9">
        <f>[18]운전시간외!E192</f>
        <v>0</v>
      </c>
      <c r="V195" s="9">
        <f>[18]운전시간외!F192</f>
        <v>0</v>
      </c>
      <c r="W195" s="11">
        <f>[18]생산!E192</f>
        <v>227</v>
      </c>
      <c r="X195" s="11">
        <f>[18]생산!F192</f>
        <v>0</v>
      </c>
      <c r="Y195" s="11">
        <f>[18]생산!G192</f>
        <v>0</v>
      </c>
      <c r="Z195" s="11">
        <f>[18]생산!H192</f>
        <v>0</v>
      </c>
      <c r="AA195" s="11">
        <f>[18]생산!I192</f>
        <v>0</v>
      </c>
      <c r="AB195" s="11">
        <f>[18]생산!J192</f>
        <v>227</v>
      </c>
      <c r="AC195" s="48">
        <f>ROUNDDOWN('[20]2025년'!G191/1000,1)</f>
        <v>7.6</v>
      </c>
    </row>
    <row r="196" spans="1:29">
      <c r="A196" s="6">
        <f t="shared" si="2"/>
        <v>45848</v>
      </c>
      <c r="B196" s="9">
        <f>'[18]key-in(LO)'!Z194</f>
        <v>7064</v>
      </c>
      <c r="C196" s="9">
        <f>'[18]key-in(LO)'!AA194</f>
        <v>238250</v>
      </c>
      <c r="D196" s="9">
        <f>'[18]key-in(LO)'!AB194</f>
        <v>232231</v>
      </c>
      <c r="E196" s="9">
        <f>'[18]key-in(LO)'!AC194</f>
        <v>14974.16</v>
      </c>
      <c r="F196" s="9">
        <f>'[18]key-in(LO)'!AD194</f>
        <v>12850.86</v>
      </c>
      <c r="G196" s="9">
        <f>'[18]key-in(LO)'!AE194</f>
        <v>3884.6</v>
      </c>
      <c r="H196" s="9">
        <f>'[18]key-in(LO)'!AF194</f>
        <v>17568</v>
      </c>
      <c r="I196" s="9">
        <f>'[18]key-in(LO)'!AG194</f>
        <v>278442</v>
      </c>
      <c r="J196" s="10">
        <f>'[18]key-in(DCO)'!AN194</f>
        <v>33.57</v>
      </c>
      <c r="K196" s="10">
        <f>'[18]key-in(DCO)'!AO194</f>
        <v>33.130000000000003</v>
      </c>
      <c r="L196" s="9">
        <f>'[18]key-in(DCO)'!AR194</f>
        <v>7946</v>
      </c>
      <c r="M196" s="10">
        <f>[18]생산!AV193</f>
        <v>0</v>
      </c>
      <c r="N196" s="10">
        <f>[18]생산!AW193</f>
        <v>0</v>
      </c>
      <c r="O196" s="10">
        <f>[18]생산!AX193</f>
        <v>0</v>
      </c>
      <c r="P196" s="10">
        <f>[18]생산!AY193</f>
        <v>0</v>
      </c>
      <c r="Q196" s="10">
        <f>[19]생산!BE193</f>
        <v>0</v>
      </c>
      <c r="R196" s="10">
        <f>[18]생산!BA193</f>
        <v>0</v>
      </c>
      <c r="S196" s="9">
        <f>[18]운전시간외!C193</f>
        <v>0</v>
      </c>
      <c r="T196" s="9">
        <f>[18]운전시간외!D193</f>
        <v>0</v>
      </c>
      <c r="U196" s="9">
        <f>[18]운전시간외!E193</f>
        <v>0</v>
      </c>
      <c r="V196" s="9">
        <f>[18]운전시간외!F193</f>
        <v>0</v>
      </c>
      <c r="W196" s="11">
        <f>[18]생산!E193</f>
        <v>0</v>
      </c>
      <c r="X196" s="11">
        <f>[18]생산!F193</f>
        <v>0</v>
      </c>
      <c r="Y196" s="11">
        <f>[18]생산!G193</f>
        <v>0</v>
      </c>
      <c r="Z196" s="11">
        <f>[18]생산!H193</f>
        <v>0</v>
      </c>
      <c r="AA196" s="11">
        <f>[18]생산!I193</f>
        <v>0</v>
      </c>
      <c r="AB196" s="11">
        <f>[18]생산!J193</f>
        <v>0</v>
      </c>
      <c r="AC196" s="48">
        <f>ROUNDDOWN('[20]2025년'!G192/1000,1)</f>
        <v>0</v>
      </c>
    </row>
    <row r="197" spans="1:29">
      <c r="A197" s="6">
        <f t="shared" si="2"/>
        <v>45849</v>
      </c>
      <c r="B197" s="9">
        <f>'[18]key-in(LO)'!Z195</f>
        <v>7096</v>
      </c>
      <c r="C197" s="9">
        <f>'[18]key-in(LO)'!AA195</f>
        <v>238366</v>
      </c>
      <c r="D197" s="9">
        <f>'[18]key-in(LO)'!AB195</f>
        <v>232245</v>
      </c>
      <c r="E197" s="9">
        <f>'[18]key-in(LO)'!AC195</f>
        <v>15004</v>
      </c>
      <c r="F197" s="9">
        <f>'[18]key-in(LO)'!AD195</f>
        <v>12856.56</v>
      </c>
      <c r="G197" s="9">
        <f>'[18]key-in(LO)'!AE195</f>
        <v>3885.3</v>
      </c>
      <c r="H197" s="9">
        <f>'[18]key-in(LO)'!AF195</f>
        <v>17568</v>
      </c>
      <c r="I197" s="9">
        <f>'[18]key-in(LO)'!AG195</f>
        <v>278607</v>
      </c>
      <c r="J197" s="10">
        <f>'[18]key-in(DCO)'!AN195</f>
        <v>33.82</v>
      </c>
      <c r="K197" s="10">
        <f>'[18]key-in(DCO)'!AO195</f>
        <v>33.11</v>
      </c>
      <c r="L197" s="9">
        <f>'[18]key-in(DCO)'!AR195</f>
        <v>7799</v>
      </c>
      <c r="M197" s="10">
        <f>[18]생산!AV194</f>
        <v>0</v>
      </c>
      <c r="N197" s="10">
        <f>[18]생산!AW194</f>
        <v>0</v>
      </c>
      <c r="O197" s="10">
        <f>[18]생산!AX194</f>
        <v>0</v>
      </c>
      <c r="P197" s="10">
        <f>[18]생산!AY194</f>
        <v>0</v>
      </c>
      <c r="Q197" s="10">
        <f>[19]생산!BE194</f>
        <v>0</v>
      </c>
      <c r="R197" s="10">
        <f>[18]생산!BA194</f>
        <v>0</v>
      </c>
      <c r="S197" s="9">
        <f>[18]운전시간외!C194</f>
        <v>0</v>
      </c>
      <c r="T197" s="9">
        <f>[18]운전시간외!D194</f>
        <v>0</v>
      </c>
      <c r="U197" s="9">
        <f>[18]운전시간외!E194</f>
        <v>0</v>
      </c>
      <c r="V197" s="9">
        <f>[18]운전시간외!F194</f>
        <v>0</v>
      </c>
      <c r="W197" s="11">
        <f>[18]생산!E194</f>
        <v>0</v>
      </c>
      <c r="X197" s="11">
        <f>[18]생산!F194</f>
        <v>0</v>
      </c>
      <c r="Y197" s="11">
        <f>[18]생산!G194</f>
        <v>0</v>
      </c>
      <c r="Z197" s="11">
        <f>[18]생산!H194</f>
        <v>0</v>
      </c>
      <c r="AA197" s="11">
        <f>[18]생산!I194</f>
        <v>0</v>
      </c>
      <c r="AB197" s="11">
        <f>[18]생산!J194</f>
        <v>0</v>
      </c>
      <c r="AC197" s="48">
        <f>ROUNDDOWN('[20]2025년'!G193/1000,1)</f>
        <v>0</v>
      </c>
    </row>
    <row r="198" spans="1:29">
      <c r="A198" s="6">
        <f t="shared" si="2"/>
        <v>45850</v>
      </c>
      <c r="B198" s="9">
        <f>'[18]key-in(LO)'!Z196</f>
        <v>7130</v>
      </c>
      <c r="C198" s="9">
        <f>'[18]key-in(LO)'!AA196</f>
        <v>238422</v>
      </c>
      <c r="D198" s="9">
        <f>'[18]key-in(LO)'!AB196</f>
        <v>232297</v>
      </c>
      <c r="E198" s="9">
        <f>'[18]key-in(LO)'!AC196</f>
        <v>15022</v>
      </c>
      <c r="F198" s="9">
        <f>'[18]key-in(LO)'!AD196</f>
        <v>12859.76</v>
      </c>
      <c r="G198" s="9">
        <f>'[18]key-in(LO)'!AE196</f>
        <v>3886.3</v>
      </c>
      <c r="H198" s="9">
        <f>'[18]key-in(LO)'!AF196</f>
        <v>17631</v>
      </c>
      <c r="I198" s="9">
        <f>'[18]key-in(LO)'!AG196</f>
        <v>278765</v>
      </c>
      <c r="J198" s="10">
        <f>'[18]key-in(DCO)'!AN196</f>
        <v>33.69</v>
      </c>
      <c r="K198" s="10">
        <f>'[18]key-in(DCO)'!AO196</f>
        <v>33.229999999999997</v>
      </c>
      <c r="L198" s="9">
        <f>'[18]key-in(DCO)'!AR196</f>
        <v>8230</v>
      </c>
      <c r="M198" s="10">
        <f>[18]생산!AV195</f>
        <v>0</v>
      </c>
      <c r="N198" s="10">
        <f>[18]생산!AW195</f>
        <v>0</v>
      </c>
      <c r="O198" s="10">
        <f>[18]생산!AX195</f>
        <v>0</v>
      </c>
      <c r="P198" s="10">
        <f>[18]생산!AY195</f>
        <v>0</v>
      </c>
      <c r="Q198" s="10">
        <f>[19]생산!BE195</f>
        <v>0</v>
      </c>
      <c r="R198" s="10">
        <f>[18]생산!BA195</f>
        <v>0</v>
      </c>
      <c r="S198" s="9">
        <f>[18]운전시간외!C195</f>
        <v>0</v>
      </c>
      <c r="T198" s="9">
        <f>[18]운전시간외!D195</f>
        <v>0</v>
      </c>
      <c r="U198" s="9">
        <f>[18]운전시간외!E195</f>
        <v>0</v>
      </c>
      <c r="V198" s="9">
        <f>[18]운전시간외!F195</f>
        <v>0</v>
      </c>
      <c r="W198" s="11">
        <f>[18]생산!E195</f>
        <v>0</v>
      </c>
      <c r="X198" s="11">
        <f>[18]생산!F195</f>
        <v>0</v>
      </c>
      <c r="Y198" s="11">
        <f>[18]생산!G195</f>
        <v>0</v>
      </c>
      <c r="Z198" s="11">
        <f>[18]생산!H195</f>
        <v>0</v>
      </c>
      <c r="AA198" s="11">
        <f>[18]생산!I195</f>
        <v>0</v>
      </c>
      <c r="AB198" s="11">
        <f>[18]생산!J195</f>
        <v>0</v>
      </c>
      <c r="AC198" s="48">
        <f>ROUNDDOWN('[20]2025년'!G194/1000,1)</f>
        <v>0</v>
      </c>
    </row>
    <row r="199" spans="1:29">
      <c r="A199" s="6">
        <f t="shared" si="2"/>
        <v>45851</v>
      </c>
      <c r="B199" s="9">
        <f>'[18]key-in(LO)'!Z197</f>
        <v>7166</v>
      </c>
      <c r="C199" s="9">
        <f>'[18]key-in(LO)'!AA197</f>
        <v>238422</v>
      </c>
      <c r="D199" s="9">
        <f>'[18]key-in(LO)'!AB197</f>
        <v>232388</v>
      </c>
      <c r="E199" s="9">
        <f>'[18]key-in(LO)'!AC197</f>
        <v>15037</v>
      </c>
      <c r="F199" s="9">
        <f>'[18]key-in(LO)'!AD197</f>
        <v>12863.69</v>
      </c>
      <c r="G199" s="9">
        <f>'[18]key-in(LO)'!AE197</f>
        <v>3886.7</v>
      </c>
      <c r="H199" s="9">
        <f>'[18]key-in(LO)'!AF197</f>
        <v>17631</v>
      </c>
      <c r="I199" s="9">
        <f>'[18]key-in(LO)'!AG197</f>
        <v>278905</v>
      </c>
      <c r="J199" s="10">
        <f>'[18]key-in(DCO)'!AN197</f>
        <v>33.78</v>
      </c>
      <c r="K199" s="10">
        <f>'[18]key-in(DCO)'!AO197</f>
        <v>33.4</v>
      </c>
      <c r="L199" s="9">
        <f>'[18]key-in(DCO)'!AR197</f>
        <v>8652</v>
      </c>
      <c r="M199" s="10">
        <f>[18]생산!AV196</f>
        <v>0</v>
      </c>
      <c r="N199" s="10">
        <f>[18]생산!AW196</f>
        <v>0</v>
      </c>
      <c r="O199" s="10">
        <f>[18]생산!AX196</f>
        <v>0</v>
      </c>
      <c r="P199" s="10">
        <f>[18]생산!AY196</f>
        <v>0</v>
      </c>
      <c r="Q199" s="10">
        <f>[19]생산!BE196</f>
        <v>0</v>
      </c>
      <c r="R199" s="10">
        <f>[18]생산!BA196</f>
        <v>0</v>
      </c>
      <c r="S199" s="9">
        <f>[18]운전시간외!C196</f>
        <v>0</v>
      </c>
      <c r="T199" s="9">
        <f>[18]운전시간외!D196</f>
        <v>0</v>
      </c>
      <c r="U199" s="9">
        <f>[18]운전시간외!E196</f>
        <v>0</v>
      </c>
      <c r="V199" s="9">
        <f>[18]운전시간외!F196</f>
        <v>0</v>
      </c>
      <c r="W199" s="11">
        <f>[18]생산!E196</f>
        <v>0</v>
      </c>
      <c r="X199" s="11">
        <f>[18]생산!F196</f>
        <v>0</v>
      </c>
      <c r="Y199" s="11">
        <f>[18]생산!G196</f>
        <v>0</v>
      </c>
      <c r="Z199" s="11">
        <f>[18]생산!H196</f>
        <v>0</v>
      </c>
      <c r="AA199" s="11">
        <f>[18]생산!I196</f>
        <v>0</v>
      </c>
      <c r="AB199" s="11">
        <f>[18]생산!J196</f>
        <v>0</v>
      </c>
      <c r="AC199" s="48">
        <f>ROUNDDOWN('[20]2025년'!G195/1000,1)</f>
        <v>0</v>
      </c>
    </row>
    <row r="200" spans="1:29">
      <c r="A200" s="6">
        <f t="shared" ref="A200:A263" si="3">A199+1</f>
        <v>45852</v>
      </c>
      <c r="B200" s="9">
        <f>'[18]key-in(LO)'!Z198</f>
        <v>7169</v>
      </c>
      <c r="C200" s="9">
        <f>'[18]key-in(LO)'!AA198</f>
        <v>238422</v>
      </c>
      <c r="D200" s="9">
        <f>'[18]key-in(LO)'!AB198</f>
        <v>232441</v>
      </c>
      <c r="E200" s="9">
        <f>'[18]key-in(LO)'!AC198</f>
        <v>15055.73</v>
      </c>
      <c r="F200" s="9">
        <f>'[18]key-in(LO)'!AD198</f>
        <v>12869.18</v>
      </c>
      <c r="G200" s="9">
        <f>'[18]key-in(LO)'!AE198</f>
        <v>3887.1</v>
      </c>
      <c r="H200" s="9">
        <f>'[18]key-in(LO)'!AF198</f>
        <v>17648</v>
      </c>
      <c r="I200" s="9">
        <f>'[18]key-in(LO)'!AG198</f>
        <v>279031</v>
      </c>
      <c r="J200" s="10">
        <f>'[18]key-in(DCO)'!AN198</f>
        <v>33.71</v>
      </c>
      <c r="K200" s="10">
        <f>'[18]key-in(DCO)'!AO198</f>
        <v>33.33</v>
      </c>
      <c r="L200" s="9">
        <f>'[18]key-in(DCO)'!AR198</f>
        <v>8677</v>
      </c>
      <c r="M200" s="10">
        <f>[18]생산!AV197</f>
        <v>0</v>
      </c>
      <c r="N200" s="10">
        <f>[18]생산!AW197</f>
        <v>0</v>
      </c>
      <c r="O200" s="10">
        <f>[18]생산!AX197</f>
        <v>0</v>
      </c>
      <c r="P200" s="10">
        <f>[18]생산!AY197</f>
        <v>0</v>
      </c>
      <c r="Q200" s="10">
        <f>[19]생산!BE197</f>
        <v>0</v>
      </c>
      <c r="R200" s="10">
        <f>[18]생산!BA197</f>
        <v>0</v>
      </c>
      <c r="S200" s="9">
        <f>[18]운전시간외!C197</f>
        <v>0</v>
      </c>
      <c r="T200" s="9">
        <f>[18]운전시간외!D197</f>
        <v>0</v>
      </c>
      <c r="U200" s="9">
        <f>[18]운전시간외!E197</f>
        <v>0</v>
      </c>
      <c r="V200" s="9">
        <f>[18]운전시간외!F197</f>
        <v>0</v>
      </c>
      <c r="W200" s="11">
        <f>[18]생산!E197</f>
        <v>0</v>
      </c>
      <c r="X200" s="11">
        <f>[18]생산!F197</f>
        <v>0</v>
      </c>
      <c r="Y200" s="11">
        <f>[18]생산!G197</f>
        <v>0</v>
      </c>
      <c r="Z200" s="11">
        <f>[18]생산!H197</f>
        <v>0</v>
      </c>
      <c r="AA200" s="11">
        <f>[18]생산!I197</f>
        <v>0</v>
      </c>
      <c r="AB200" s="11">
        <f>[18]생산!J197</f>
        <v>0</v>
      </c>
      <c r="AC200" s="48">
        <f>ROUNDDOWN('[20]2025년'!G196/1000,1)</f>
        <v>0</v>
      </c>
    </row>
    <row r="201" spans="1:29">
      <c r="A201" s="6">
        <f t="shared" si="3"/>
        <v>45853</v>
      </c>
      <c r="B201" s="9">
        <f>'[18]key-in(LO)'!Z199</f>
        <v>7169</v>
      </c>
      <c r="C201" s="9">
        <f>'[18]key-in(LO)'!AA199</f>
        <v>238422</v>
      </c>
      <c r="D201" s="9">
        <f>'[18]key-in(LO)'!AB199</f>
        <v>232470</v>
      </c>
      <c r="E201" s="9">
        <f>'[18]key-in(LO)'!AC199</f>
        <v>15071</v>
      </c>
      <c r="F201" s="9">
        <f>'[18]key-in(LO)'!AD199</f>
        <v>12872.69</v>
      </c>
      <c r="G201" s="9">
        <f>'[18]key-in(LO)'!AE199</f>
        <v>3887.4</v>
      </c>
      <c r="H201" s="9">
        <f>'[18]key-in(LO)'!AF199</f>
        <v>17648</v>
      </c>
      <c r="I201" s="9">
        <f>'[18]key-in(LO)'!AG199</f>
        <v>279098</v>
      </c>
      <c r="J201" s="10">
        <f>'[18]key-in(DCO)'!AN199</f>
        <v>33.700000000000003</v>
      </c>
      <c r="K201" s="10">
        <f>'[18]key-in(DCO)'!AO199</f>
        <v>33.28</v>
      </c>
      <c r="L201" s="9">
        <f>'[18]key-in(DCO)'!AR199</f>
        <v>7928</v>
      </c>
      <c r="M201" s="10">
        <f>[18]생산!AV198</f>
        <v>0</v>
      </c>
      <c r="N201" s="10">
        <f>[18]생산!AW198</f>
        <v>0</v>
      </c>
      <c r="O201" s="10">
        <f>[18]생산!AX198</f>
        <v>0</v>
      </c>
      <c r="P201" s="10">
        <f>[18]생산!AY198</f>
        <v>0</v>
      </c>
      <c r="Q201" s="10">
        <f>[19]생산!BE198</f>
        <v>0</v>
      </c>
      <c r="R201" s="10">
        <f>[18]생산!BA198</f>
        <v>0</v>
      </c>
      <c r="S201" s="9">
        <f>[18]운전시간외!C198</f>
        <v>0</v>
      </c>
      <c r="T201" s="9">
        <f>[18]운전시간외!D198</f>
        <v>0</v>
      </c>
      <c r="U201" s="9">
        <f>[18]운전시간외!E198</f>
        <v>0</v>
      </c>
      <c r="V201" s="9">
        <f>[18]운전시간외!F198</f>
        <v>0</v>
      </c>
      <c r="W201" s="11">
        <f>[18]생산!E198</f>
        <v>0</v>
      </c>
      <c r="X201" s="11">
        <f>[18]생산!F198</f>
        <v>0</v>
      </c>
      <c r="Y201" s="11">
        <f>[18]생산!G198</f>
        <v>0</v>
      </c>
      <c r="Z201" s="11">
        <f>[18]생산!H198</f>
        <v>0</v>
      </c>
      <c r="AA201" s="11">
        <f>[18]생산!I198</f>
        <v>0</v>
      </c>
      <c r="AB201" s="11">
        <f>[18]생산!J198</f>
        <v>0</v>
      </c>
      <c r="AC201" s="48">
        <f>ROUNDDOWN('[20]2025년'!G197/1000,1)</f>
        <v>0</v>
      </c>
    </row>
    <row r="202" spans="1:29">
      <c r="A202" s="6">
        <f t="shared" si="3"/>
        <v>45854</v>
      </c>
      <c r="B202" s="9">
        <f>'[18]key-in(LO)'!Z200</f>
        <v>7169</v>
      </c>
      <c r="C202" s="9">
        <f>'[18]key-in(LO)'!AA200</f>
        <v>238515</v>
      </c>
      <c r="D202" s="9">
        <f>'[18]key-in(LO)'!AB200</f>
        <v>232470</v>
      </c>
      <c r="E202" s="9">
        <f>'[18]key-in(LO)'!AC200</f>
        <v>15085.21</v>
      </c>
      <c r="F202" s="9">
        <f>'[18]key-in(LO)'!AD200</f>
        <v>12873.88</v>
      </c>
      <c r="G202" s="9">
        <f>'[18]key-in(LO)'!AE200</f>
        <v>3888.1</v>
      </c>
      <c r="H202" s="9">
        <f>'[18]key-in(LO)'!AF200</f>
        <v>17660</v>
      </c>
      <c r="I202" s="9">
        <f>'[18]key-in(LO)'!AG200</f>
        <v>279215</v>
      </c>
      <c r="J202" s="10">
        <f>'[18]key-in(DCO)'!AN200</f>
        <v>33.76</v>
      </c>
      <c r="K202" s="10">
        <f>'[18]key-in(DCO)'!AO200</f>
        <v>33.19</v>
      </c>
      <c r="L202" s="9">
        <f>'[18]key-in(DCO)'!AR200</f>
        <v>8681</v>
      </c>
      <c r="M202" s="10">
        <f>[18]생산!AV199</f>
        <v>0</v>
      </c>
      <c r="N202" s="10">
        <f>[18]생산!AW199</f>
        <v>0</v>
      </c>
      <c r="O202" s="10">
        <f>[18]생산!AX199</f>
        <v>0</v>
      </c>
      <c r="P202" s="10">
        <f>[18]생산!AY199</f>
        <v>0</v>
      </c>
      <c r="Q202" s="10">
        <f>[19]생산!BE199</f>
        <v>0</v>
      </c>
      <c r="R202" s="10">
        <f>[18]생산!BA199</f>
        <v>0</v>
      </c>
      <c r="S202" s="9">
        <f>[18]운전시간외!C199</f>
        <v>0</v>
      </c>
      <c r="T202" s="9">
        <f>[18]운전시간외!D199</f>
        <v>0</v>
      </c>
      <c r="U202" s="9">
        <f>[18]운전시간외!E199</f>
        <v>0</v>
      </c>
      <c r="V202" s="9">
        <f>[18]운전시간외!F199</f>
        <v>0</v>
      </c>
      <c r="W202" s="11">
        <f>[18]생산!E199</f>
        <v>0</v>
      </c>
      <c r="X202" s="11">
        <f>[18]생산!F199</f>
        <v>0</v>
      </c>
      <c r="Y202" s="11">
        <f>[18]생산!G199</f>
        <v>0</v>
      </c>
      <c r="Z202" s="11">
        <f>[18]생산!H199</f>
        <v>0</v>
      </c>
      <c r="AA202" s="11">
        <f>[18]생산!I199</f>
        <v>0</v>
      </c>
      <c r="AB202" s="11">
        <f>[18]생산!J199</f>
        <v>0</v>
      </c>
      <c r="AC202" s="48">
        <f>ROUNDDOWN('[20]2025년'!G198/1000,1)</f>
        <v>0</v>
      </c>
    </row>
    <row r="203" spans="1:29">
      <c r="A203" s="6">
        <f t="shared" si="3"/>
        <v>45855</v>
      </c>
      <c r="B203" s="9">
        <f>'[18]key-in(LO)'!Z201</f>
        <v>7169</v>
      </c>
      <c r="C203" s="9">
        <f>'[18]key-in(LO)'!AA201</f>
        <v>238522</v>
      </c>
      <c r="D203" s="9">
        <f>'[18]key-in(LO)'!AB201</f>
        <v>232470</v>
      </c>
      <c r="E203" s="9">
        <f>'[18]key-in(LO)'!AC201</f>
        <v>15102.53</v>
      </c>
      <c r="F203" s="9">
        <f>'[18]key-in(LO)'!AD201</f>
        <v>12874.21</v>
      </c>
      <c r="G203" s="9">
        <f>'[18]key-in(LO)'!AE201</f>
        <v>3888.7</v>
      </c>
      <c r="H203" s="9">
        <f>'[18]key-in(LO)'!AF201</f>
        <v>17749</v>
      </c>
      <c r="I203" s="9">
        <f>'[18]key-in(LO)'!AG201</f>
        <v>279284</v>
      </c>
      <c r="J203" s="10">
        <f>'[18]key-in(DCO)'!AN201</f>
        <v>33.659999999999997</v>
      </c>
      <c r="K203" s="10">
        <f>'[18]key-in(DCO)'!AO201</f>
        <v>33.14</v>
      </c>
      <c r="L203" s="9">
        <f>'[18]key-in(DCO)'!AR201</f>
        <v>8628</v>
      </c>
      <c r="M203" s="10">
        <f>[18]생산!AV200</f>
        <v>0</v>
      </c>
      <c r="N203" s="10">
        <f>[18]생산!AW200</f>
        <v>0</v>
      </c>
      <c r="O203" s="10">
        <f>[18]생산!AX200</f>
        <v>0</v>
      </c>
      <c r="P203" s="10">
        <f>[18]생산!AY200</f>
        <v>0</v>
      </c>
      <c r="Q203" s="10">
        <f>[19]생산!BE200</f>
        <v>0</v>
      </c>
      <c r="R203" s="10">
        <f>[18]생산!BA200</f>
        <v>0</v>
      </c>
      <c r="S203" s="9">
        <f>[18]운전시간외!C200</f>
        <v>0</v>
      </c>
      <c r="T203" s="9">
        <f>[18]운전시간외!D200</f>
        <v>0</v>
      </c>
      <c r="U203" s="9">
        <f>[18]운전시간외!E200</f>
        <v>0</v>
      </c>
      <c r="V203" s="9">
        <f>[18]운전시간외!F200</f>
        <v>0</v>
      </c>
      <c r="W203" s="11">
        <f>[18]생산!E200</f>
        <v>0</v>
      </c>
      <c r="X203" s="11">
        <f>[18]생산!F200</f>
        <v>0</v>
      </c>
      <c r="Y203" s="11">
        <f>[18]생산!G200</f>
        <v>0</v>
      </c>
      <c r="Z203" s="11">
        <f>[18]생산!H200</f>
        <v>0</v>
      </c>
      <c r="AA203" s="11">
        <f>[18]생산!I200</f>
        <v>0</v>
      </c>
      <c r="AB203" s="11">
        <f>[18]생산!J200</f>
        <v>0</v>
      </c>
      <c r="AC203" s="48">
        <f>ROUNDDOWN('[20]2025년'!G199/1000,1)</f>
        <v>0</v>
      </c>
    </row>
    <row r="204" spans="1:29">
      <c r="A204" s="6">
        <f t="shared" si="3"/>
        <v>45856</v>
      </c>
      <c r="B204" s="9">
        <f>'[18]key-in(LO)'!Z202</f>
        <v>7169</v>
      </c>
      <c r="C204" s="9">
        <f>'[18]key-in(LO)'!AA202</f>
        <v>238522</v>
      </c>
      <c r="D204" s="9">
        <f>'[18]key-in(LO)'!AB202</f>
        <v>232470</v>
      </c>
      <c r="E204" s="9">
        <f>'[18]key-in(LO)'!AC202</f>
        <v>15121.73</v>
      </c>
      <c r="F204" s="9">
        <f>'[18]key-in(LO)'!AD202</f>
        <v>12875.04</v>
      </c>
      <c r="G204" s="9">
        <f>'[18]key-in(LO)'!AE202</f>
        <v>3889.7</v>
      </c>
      <c r="H204" s="9">
        <f>'[18]key-in(LO)'!AF202</f>
        <v>17911</v>
      </c>
      <c r="I204" s="9">
        <f>'[18]key-in(LO)'!AG202</f>
        <v>279315</v>
      </c>
      <c r="J204" s="10">
        <f>'[18]key-in(DCO)'!AN202</f>
        <v>33.69</v>
      </c>
      <c r="K204" s="10">
        <f>'[18]key-in(DCO)'!AO202</f>
        <v>33.15</v>
      </c>
      <c r="L204" s="9">
        <f>'[18]key-in(DCO)'!AR202</f>
        <v>7740</v>
      </c>
      <c r="M204" s="10">
        <f>[18]생산!AV201</f>
        <v>0</v>
      </c>
      <c r="N204" s="10">
        <f>[18]생산!AW201</f>
        <v>0</v>
      </c>
      <c r="O204" s="10">
        <f>[18]생산!AX201</f>
        <v>0</v>
      </c>
      <c r="P204" s="10">
        <f>[18]생산!AY201</f>
        <v>0</v>
      </c>
      <c r="Q204" s="10">
        <f>[19]생산!BE201</f>
        <v>0</v>
      </c>
      <c r="R204" s="10">
        <f>[18]생산!BA201</f>
        <v>0</v>
      </c>
      <c r="S204" s="9">
        <f>[18]운전시간외!C201</f>
        <v>0</v>
      </c>
      <c r="T204" s="9">
        <f>[18]운전시간외!D201</f>
        <v>0</v>
      </c>
      <c r="U204" s="9">
        <f>[18]운전시간외!E201</f>
        <v>0</v>
      </c>
      <c r="V204" s="9">
        <f>[18]운전시간외!F201</f>
        <v>0</v>
      </c>
      <c r="W204" s="11">
        <f>[18]생산!E201</f>
        <v>0</v>
      </c>
      <c r="X204" s="11">
        <f>[18]생산!F201</f>
        <v>0</v>
      </c>
      <c r="Y204" s="11">
        <f>[18]생산!G201</f>
        <v>0</v>
      </c>
      <c r="Z204" s="11">
        <f>[18]생산!H201</f>
        <v>0</v>
      </c>
      <c r="AA204" s="11">
        <f>[18]생산!I201</f>
        <v>0</v>
      </c>
      <c r="AB204" s="11">
        <f>[18]생산!J201</f>
        <v>0</v>
      </c>
      <c r="AC204" s="48">
        <f>ROUNDDOWN('[20]2025년'!G200/1000,1)</f>
        <v>0</v>
      </c>
    </row>
    <row r="205" spans="1:29">
      <c r="A205" s="6">
        <f t="shared" si="3"/>
        <v>45857</v>
      </c>
      <c r="B205" s="9">
        <f>'[18]key-in(LO)'!Z203</f>
        <v>7169</v>
      </c>
      <c r="C205" s="9">
        <f>'[18]key-in(LO)'!AA203</f>
        <v>238522</v>
      </c>
      <c r="D205" s="9">
        <f>'[18]key-in(LO)'!AB203</f>
        <v>232470</v>
      </c>
      <c r="E205" s="9">
        <f>'[18]key-in(LO)'!AC203</f>
        <v>15132.28</v>
      </c>
      <c r="F205" s="9">
        <f>'[18]key-in(LO)'!AD203</f>
        <v>12875.42</v>
      </c>
      <c r="G205" s="9">
        <f>'[18]key-in(LO)'!AE203</f>
        <v>3890.3</v>
      </c>
      <c r="H205" s="9">
        <f>'[18]key-in(LO)'!AF203</f>
        <v>17976</v>
      </c>
      <c r="I205" s="9">
        <f>'[18]key-in(LO)'!AG203</f>
        <v>279380</v>
      </c>
      <c r="J205" s="10">
        <f>'[18]key-in(DCO)'!AN203</f>
        <v>33.58</v>
      </c>
      <c r="K205" s="10">
        <f>'[18]key-in(DCO)'!AO203</f>
        <v>33.130000000000003</v>
      </c>
      <c r="L205" s="9">
        <f>'[18]key-in(DCO)'!AR203</f>
        <v>8688</v>
      </c>
      <c r="M205" s="10">
        <f>[18]생산!AV202</f>
        <v>0</v>
      </c>
      <c r="N205" s="10">
        <f>[18]생산!AW202</f>
        <v>0</v>
      </c>
      <c r="O205" s="10">
        <f>[18]생산!AX202</f>
        <v>0</v>
      </c>
      <c r="P205" s="10">
        <f>[18]생산!AY202</f>
        <v>0</v>
      </c>
      <c r="Q205" s="10">
        <f>[19]생산!BE202</f>
        <v>0</v>
      </c>
      <c r="R205" s="10">
        <f>[18]생산!BA202</f>
        <v>0</v>
      </c>
      <c r="S205" s="9">
        <f>[18]운전시간외!C202</f>
        <v>0</v>
      </c>
      <c r="T205" s="9">
        <f>[18]운전시간외!D202</f>
        <v>0</v>
      </c>
      <c r="U205" s="9">
        <f>[18]운전시간외!E202</f>
        <v>0</v>
      </c>
      <c r="V205" s="9">
        <f>[18]운전시간외!F202</f>
        <v>0</v>
      </c>
      <c r="W205" s="11">
        <f>[18]생산!E202</f>
        <v>0</v>
      </c>
      <c r="X205" s="11">
        <f>[18]생산!F202</f>
        <v>0</v>
      </c>
      <c r="Y205" s="11">
        <f>[18]생산!G202</f>
        <v>0</v>
      </c>
      <c r="Z205" s="11">
        <f>[18]생산!H202</f>
        <v>0</v>
      </c>
      <c r="AA205" s="11">
        <f>[18]생산!I202</f>
        <v>0</v>
      </c>
      <c r="AB205" s="11">
        <f>[18]생산!J202</f>
        <v>0</v>
      </c>
      <c r="AC205" s="48">
        <f>ROUNDDOWN('[20]2025년'!G201/1000,1)</f>
        <v>0</v>
      </c>
    </row>
    <row r="206" spans="1:29">
      <c r="A206" s="6">
        <f t="shared" si="3"/>
        <v>45858</v>
      </c>
      <c r="B206" s="9">
        <f>'[18]key-in(LO)'!Z204</f>
        <v>7193</v>
      </c>
      <c r="C206" s="9">
        <f>'[18]key-in(LO)'!AA204</f>
        <v>238601</v>
      </c>
      <c r="D206" s="9">
        <f>'[18]key-in(LO)'!AB204</f>
        <v>232470</v>
      </c>
      <c r="E206" s="9">
        <f>'[18]key-in(LO)'!AC204</f>
        <v>15143.41</v>
      </c>
      <c r="F206" s="9">
        <f>'[18]key-in(LO)'!AD204</f>
        <v>12877.85</v>
      </c>
      <c r="G206" s="9">
        <f>'[18]key-in(LO)'!AE204</f>
        <v>3890.6</v>
      </c>
      <c r="H206" s="9">
        <f>'[18]key-in(LO)'!AF204</f>
        <v>17976</v>
      </c>
      <c r="I206" s="9">
        <f>'[18]key-in(LO)'!AG204</f>
        <v>279479</v>
      </c>
      <c r="J206" s="10">
        <f>'[18]key-in(DCO)'!AN204</f>
        <v>33.46</v>
      </c>
      <c r="K206" s="10">
        <f>'[18]key-in(DCO)'!AO204</f>
        <v>33.159999999999997</v>
      </c>
      <c r="L206" s="9">
        <f>'[18]key-in(DCO)'!AR204</f>
        <v>7981</v>
      </c>
      <c r="M206" s="10">
        <f>[18]생산!AV203</f>
        <v>0</v>
      </c>
      <c r="N206" s="10">
        <f>[18]생산!AW203</f>
        <v>0</v>
      </c>
      <c r="O206" s="10">
        <f>[18]생산!AX203</f>
        <v>0</v>
      </c>
      <c r="P206" s="10">
        <f>[18]생산!AY203</f>
        <v>0</v>
      </c>
      <c r="Q206" s="10">
        <f>[19]생산!BE203</f>
        <v>0</v>
      </c>
      <c r="R206" s="10">
        <f>[18]생산!BA203</f>
        <v>0</v>
      </c>
      <c r="S206" s="9">
        <f>[18]운전시간외!C203</f>
        <v>0</v>
      </c>
      <c r="T206" s="9">
        <f>[18]운전시간외!D203</f>
        <v>0</v>
      </c>
      <c r="U206" s="9">
        <f>[18]운전시간외!E203</f>
        <v>0</v>
      </c>
      <c r="V206" s="9">
        <f>[18]운전시간외!F203</f>
        <v>0</v>
      </c>
      <c r="W206" s="11">
        <f>[18]생산!E203</f>
        <v>0</v>
      </c>
      <c r="X206" s="11">
        <f>[18]생산!F203</f>
        <v>0</v>
      </c>
      <c r="Y206" s="11">
        <f>[18]생산!G203</f>
        <v>0</v>
      </c>
      <c r="Z206" s="11">
        <f>[18]생산!H203</f>
        <v>0</v>
      </c>
      <c r="AA206" s="11">
        <f>[18]생산!I203</f>
        <v>0</v>
      </c>
      <c r="AB206" s="11">
        <f>[18]생산!J203</f>
        <v>0</v>
      </c>
      <c r="AC206" s="48">
        <f>ROUNDDOWN('[20]2025년'!G202/1000,1)</f>
        <v>0</v>
      </c>
    </row>
    <row r="207" spans="1:29">
      <c r="A207" s="6">
        <f t="shared" si="3"/>
        <v>45859</v>
      </c>
      <c r="B207" s="9">
        <f>'[18]key-in(LO)'!Z205</f>
        <v>7220</v>
      </c>
      <c r="C207" s="9">
        <f>'[18]key-in(LO)'!AA205</f>
        <v>238601</v>
      </c>
      <c r="D207" s="9">
        <f>'[18]key-in(LO)'!AB205</f>
        <v>232577</v>
      </c>
      <c r="E207" s="9">
        <f>'[18]key-in(LO)'!AC205</f>
        <v>15165</v>
      </c>
      <c r="F207" s="9">
        <f>'[18]key-in(LO)'!AD205</f>
        <v>12880.71</v>
      </c>
      <c r="G207" s="9">
        <f>'[18]key-in(LO)'!AE205</f>
        <v>3891.2</v>
      </c>
      <c r="H207" s="9">
        <f>'[18]key-in(LO)'!AF205</f>
        <v>18035</v>
      </c>
      <c r="I207" s="9">
        <f>'[18]key-in(LO)'!AG205</f>
        <v>279647</v>
      </c>
      <c r="J207" s="10">
        <f>'[18]key-in(DCO)'!AN205</f>
        <v>33.44</v>
      </c>
      <c r="K207" s="10">
        <f>'[18]key-in(DCO)'!AO205</f>
        <v>33.24</v>
      </c>
      <c r="L207" s="9">
        <f>'[18]key-in(DCO)'!AR205</f>
        <v>7522</v>
      </c>
      <c r="M207" s="10">
        <f>[18]생산!AV204</f>
        <v>0</v>
      </c>
      <c r="N207" s="10">
        <f>[18]생산!AW204</f>
        <v>0</v>
      </c>
      <c r="O207" s="10">
        <f>[18]생산!AX204</f>
        <v>0</v>
      </c>
      <c r="P207" s="10">
        <f>[18]생산!AY204</f>
        <v>0</v>
      </c>
      <c r="Q207" s="10">
        <f>[19]생산!BE204</f>
        <v>0</v>
      </c>
      <c r="R207" s="10">
        <f>[18]생산!BA204</f>
        <v>0</v>
      </c>
      <c r="S207" s="9">
        <f>[18]운전시간외!C204</f>
        <v>0</v>
      </c>
      <c r="T207" s="9">
        <f>[18]운전시간외!D204</f>
        <v>0</v>
      </c>
      <c r="U207" s="9">
        <f>[18]운전시간외!E204</f>
        <v>0</v>
      </c>
      <c r="V207" s="9">
        <f>[18]운전시간외!F204</f>
        <v>0</v>
      </c>
      <c r="W207" s="11">
        <f>[18]생산!E204</f>
        <v>0</v>
      </c>
      <c r="X207" s="11">
        <f>[18]생산!F204</f>
        <v>0</v>
      </c>
      <c r="Y207" s="11">
        <f>[18]생산!G204</f>
        <v>0</v>
      </c>
      <c r="Z207" s="11">
        <f>[18]생산!H204</f>
        <v>0</v>
      </c>
      <c r="AA207" s="11">
        <f>[18]생산!I204</f>
        <v>0</v>
      </c>
      <c r="AB207" s="11">
        <f>[18]생산!J204</f>
        <v>0</v>
      </c>
      <c r="AC207" s="48">
        <f>ROUNDDOWN('[20]2025년'!G203/1000,1)</f>
        <v>0</v>
      </c>
    </row>
    <row r="208" spans="1:29">
      <c r="A208" s="6">
        <f t="shared" si="3"/>
        <v>45860</v>
      </c>
      <c r="B208" s="9">
        <f>'[18]key-in(LO)'!Z206</f>
        <v>7250</v>
      </c>
      <c r="C208" s="9">
        <f>'[18]key-in(LO)'!AA206</f>
        <v>238744</v>
      </c>
      <c r="D208" s="9">
        <f>'[18]key-in(LO)'!AB206</f>
        <v>232577</v>
      </c>
      <c r="E208" s="9">
        <f>'[18]key-in(LO)'!AC206</f>
        <v>15187</v>
      </c>
      <c r="F208" s="9">
        <f>'[18]key-in(LO)'!AD206</f>
        <v>12881.7</v>
      </c>
      <c r="G208" s="9">
        <f>'[18]key-in(LO)'!AE206</f>
        <v>3892</v>
      </c>
      <c r="H208" s="9">
        <f>'[18]key-in(LO)'!AF206</f>
        <v>18167</v>
      </c>
      <c r="I208" s="9">
        <f>'[18]key-in(LO)'!AG206</f>
        <v>279859</v>
      </c>
      <c r="J208" s="10">
        <f>'[18]key-in(DCO)'!AN206</f>
        <v>33.61</v>
      </c>
      <c r="K208" s="10">
        <f>'[18]key-in(DCO)'!AO206</f>
        <v>33.39</v>
      </c>
      <c r="L208" s="9">
        <f>'[18]key-in(DCO)'!AR206</f>
        <v>8537</v>
      </c>
      <c r="M208" s="10">
        <f>[18]생산!AV205</f>
        <v>0</v>
      </c>
      <c r="N208" s="10">
        <f>[18]생산!AW205</f>
        <v>0</v>
      </c>
      <c r="O208" s="10">
        <f>[18]생산!AX205</f>
        <v>0</v>
      </c>
      <c r="P208" s="10">
        <f>[18]생산!AY205</f>
        <v>0</v>
      </c>
      <c r="Q208" s="10">
        <f>[19]생산!BE205</f>
        <v>0</v>
      </c>
      <c r="R208" s="10">
        <f>[18]생산!BA205</f>
        <v>0</v>
      </c>
      <c r="S208" s="9">
        <f>[18]운전시간외!C205</f>
        <v>0</v>
      </c>
      <c r="T208" s="9">
        <f>[18]운전시간외!D205</f>
        <v>0</v>
      </c>
      <c r="U208" s="9">
        <f>[18]운전시간외!E205</f>
        <v>0</v>
      </c>
      <c r="V208" s="9">
        <f>[18]운전시간외!F205</f>
        <v>0</v>
      </c>
      <c r="W208" s="11">
        <f>[18]생산!E205</f>
        <v>0</v>
      </c>
      <c r="X208" s="11">
        <f>[18]생산!F205</f>
        <v>0</v>
      </c>
      <c r="Y208" s="11">
        <f>[18]생산!G205</f>
        <v>0</v>
      </c>
      <c r="Z208" s="11">
        <f>[18]생산!H205</f>
        <v>0</v>
      </c>
      <c r="AA208" s="11">
        <f>[18]생산!I205</f>
        <v>0</v>
      </c>
      <c r="AB208" s="11">
        <f>[18]생산!J205</f>
        <v>0</v>
      </c>
      <c r="AC208" s="48">
        <f>ROUNDDOWN('[20]2025년'!G204/1000,1)</f>
        <v>0</v>
      </c>
    </row>
    <row r="209" spans="1:29">
      <c r="A209" s="6">
        <f t="shared" si="3"/>
        <v>45861</v>
      </c>
      <c r="B209" s="9">
        <f>'[18]key-in(LO)'!Z207</f>
        <v>7250</v>
      </c>
      <c r="C209" s="9">
        <f>'[18]key-in(LO)'!AA207</f>
        <v>238791</v>
      </c>
      <c r="D209" s="9">
        <f>'[18]key-in(LO)'!AB207</f>
        <v>232577</v>
      </c>
      <c r="E209" s="9">
        <f>'[18]key-in(LO)'!AC207</f>
        <v>15212.34</v>
      </c>
      <c r="F209" s="9">
        <f>'[18]key-in(LO)'!AD207</f>
        <v>12881.77</v>
      </c>
      <c r="G209" s="9">
        <f>'[18]key-in(LO)'!AE207</f>
        <v>3892.6</v>
      </c>
      <c r="H209" s="9">
        <f>'[18]key-in(LO)'!AF207</f>
        <v>18235</v>
      </c>
      <c r="I209" s="9">
        <f>'[18]key-in(LO)'!AG207</f>
        <v>279940</v>
      </c>
      <c r="J209" s="10">
        <f>'[18]key-in(DCO)'!AN207</f>
        <v>33.5</v>
      </c>
      <c r="K209" s="10">
        <f>'[18]key-in(DCO)'!AO207</f>
        <v>33.270000000000003</v>
      </c>
      <c r="L209" s="9">
        <f>'[18]key-in(DCO)'!AR207</f>
        <v>8678</v>
      </c>
      <c r="M209" s="10">
        <f>[18]생산!AV206</f>
        <v>0</v>
      </c>
      <c r="N209" s="10">
        <f>[18]생산!AW206</f>
        <v>0</v>
      </c>
      <c r="O209" s="10">
        <f>[18]생산!AX206</f>
        <v>0</v>
      </c>
      <c r="P209" s="10">
        <f>[18]생산!AY206</f>
        <v>0</v>
      </c>
      <c r="Q209" s="10">
        <f>[19]생산!BE206</f>
        <v>0</v>
      </c>
      <c r="R209" s="10">
        <f>[18]생산!BA206</f>
        <v>0</v>
      </c>
      <c r="S209" s="9">
        <f>[18]운전시간외!C206</f>
        <v>0</v>
      </c>
      <c r="T209" s="9">
        <f>[18]운전시간외!D206</f>
        <v>0</v>
      </c>
      <c r="U209" s="9">
        <f>[18]운전시간외!E206</f>
        <v>0</v>
      </c>
      <c r="V209" s="9">
        <f>[18]운전시간외!F206</f>
        <v>0</v>
      </c>
      <c r="W209" s="11">
        <f>[18]생산!E206</f>
        <v>0</v>
      </c>
      <c r="X209" s="11">
        <f>[18]생산!F206</f>
        <v>0</v>
      </c>
      <c r="Y209" s="11">
        <f>[18]생산!G206</f>
        <v>0</v>
      </c>
      <c r="Z209" s="11">
        <f>[18]생산!H206</f>
        <v>0</v>
      </c>
      <c r="AA209" s="11">
        <f>[18]생산!I206</f>
        <v>0</v>
      </c>
      <c r="AB209" s="11">
        <f>[18]생산!J206</f>
        <v>0</v>
      </c>
      <c r="AC209" s="48">
        <f>ROUNDDOWN('[20]2025년'!G205/1000,1)</f>
        <v>0</v>
      </c>
    </row>
    <row r="210" spans="1:29">
      <c r="A210" s="6">
        <f t="shared" si="3"/>
        <v>45862</v>
      </c>
      <c r="B210" s="9">
        <f>'[18]key-in(LO)'!Z208</f>
        <v>7250</v>
      </c>
      <c r="C210" s="9">
        <f>'[18]key-in(LO)'!AA208</f>
        <v>238791</v>
      </c>
      <c r="D210" s="9">
        <f>'[18]key-in(LO)'!AB208</f>
        <v>232577</v>
      </c>
      <c r="E210" s="9">
        <f>'[18]key-in(LO)'!AC208</f>
        <v>15239.1</v>
      </c>
      <c r="F210" s="9">
        <f>'[18]key-in(LO)'!AD208</f>
        <v>12882.42</v>
      </c>
      <c r="G210" s="9">
        <f>'[18]key-in(LO)'!AE208</f>
        <v>3893.1</v>
      </c>
      <c r="H210" s="9">
        <f>'[18]key-in(LO)'!AF208</f>
        <v>18287</v>
      </c>
      <c r="I210" s="9">
        <f>'[18]key-in(LO)'!AG208</f>
        <v>280019</v>
      </c>
      <c r="J210" s="10">
        <f>'[18]key-in(DCO)'!AN208</f>
        <v>33.65</v>
      </c>
      <c r="K210" s="10">
        <f>'[18]key-in(DCO)'!AO208</f>
        <v>33.25</v>
      </c>
      <c r="L210" s="9">
        <f>'[18]key-in(DCO)'!AR208</f>
        <v>7704</v>
      </c>
      <c r="M210" s="10">
        <f>[18]생산!AV207</f>
        <v>0</v>
      </c>
      <c r="N210" s="10">
        <f>[18]생산!AW207</f>
        <v>0</v>
      </c>
      <c r="O210" s="10">
        <f>[18]생산!AX207</f>
        <v>0</v>
      </c>
      <c r="P210" s="10">
        <f>[18]생산!AY207</f>
        <v>0</v>
      </c>
      <c r="Q210" s="10">
        <f>[19]생산!BE207</f>
        <v>0</v>
      </c>
      <c r="R210" s="10">
        <f>[18]생산!BA207</f>
        <v>0</v>
      </c>
      <c r="S210" s="9">
        <f>[18]운전시간외!C207</f>
        <v>0</v>
      </c>
      <c r="T210" s="9">
        <f>[18]운전시간외!D207</f>
        <v>0</v>
      </c>
      <c r="U210" s="9">
        <f>[18]운전시간외!E207</f>
        <v>0</v>
      </c>
      <c r="V210" s="9">
        <f>[18]운전시간외!F207</f>
        <v>0</v>
      </c>
      <c r="W210" s="11">
        <f>[18]생산!E207</f>
        <v>0</v>
      </c>
      <c r="X210" s="11">
        <f>[18]생산!F207</f>
        <v>0</v>
      </c>
      <c r="Y210" s="11">
        <f>[18]생산!G207</f>
        <v>0</v>
      </c>
      <c r="Z210" s="11">
        <f>[18]생산!H207</f>
        <v>0</v>
      </c>
      <c r="AA210" s="11">
        <f>[18]생산!I207</f>
        <v>0</v>
      </c>
      <c r="AB210" s="11">
        <f>[18]생산!J207</f>
        <v>0</v>
      </c>
      <c r="AC210" s="48">
        <f>ROUNDDOWN('[20]2025년'!G206/1000,1)</f>
        <v>0</v>
      </c>
    </row>
    <row r="211" spans="1:29">
      <c r="A211" s="6">
        <f t="shared" si="3"/>
        <v>45863</v>
      </c>
      <c r="B211" s="9">
        <f>'[18]key-in(LO)'!Z209</f>
        <v>7250</v>
      </c>
      <c r="C211" s="9">
        <f>'[18]key-in(LO)'!AA209</f>
        <v>238791</v>
      </c>
      <c r="D211" s="9">
        <f>'[18]key-in(LO)'!AB209</f>
        <v>232642</v>
      </c>
      <c r="E211" s="9">
        <f>'[18]key-in(LO)'!AC209</f>
        <v>15261.25</v>
      </c>
      <c r="F211" s="9">
        <f>'[18]key-in(LO)'!AD209</f>
        <v>12889.28</v>
      </c>
      <c r="G211" s="9">
        <f>'[18]key-in(LO)'!AE209</f>
        <v>3893.7</v>
      </c>
      <c r="H211" s="9">
        <f>'[18]key-in(LO)'!AF209</f>
        <v>18352</v>
      </c>
      <c r="I211" s="9">
        <f>'[18]key-in(LO)'!AG209</f>
        <v>280106</v>
      </c>
      <c r="J211" s="10">
        <f>'[18]key-in(DCO)'!AN209</f>
        <v>33.869999999999997</v>
      </c>
      <c r="K211" s="10">
        <f>'[18]key-in(DCO)'!AO209</f>
        <v>33.200000000000003</v>
      </c>
      <c r="L211" s="9">
        <f>'[18]key-in(DCO)'!AR209</f>
        <v>8660</v>
      </c>
      <c r="M211" s="10">
        <f>[18]생산!AV208</f>
        <v>0</v>
      </c>
      <c r="N211" s="10">
        <f>[18]생산!AW208</f>
        <v>0</v>
      </c>
      <c r="O211" s="10">
        <f>[18]생산!AX208</f>
        <v>0</v>
      </c>
      <c r="P211" s="10">
        <f>[18]생산!AY208</f>
        <v>0</v>
      </c>
      <c r="Q211" s="10">
        <f>[19]생산!BE208</f>
        <v>0</v>
      </c>
      <c r="R211" s="10">
        <f>[18]생산!BA208</f>
        <v>0</v>
      </c>
      <c r="S211" s="9">
        <f>[18]운전시간외!C208</f>
        <v>0</v>
      </c>
      <c r="T211" s="9">
        <f>[18]운전시간외!D208</f>
        <v>0</v>
      </c>
      <c r="U211" s="9">
        <f>[18]운전시간외!E208</f>
        <v>0</v>
      </c>
      <c r="V211" s="9">
        <f>[18]운전시간외!F208</f>
        <v>0</v>
      </c>
      <c r="W211" s="11">
        <f>[18]생산!E208</f>
        <v>0</v>
      </c>
      <c r="X211" s="11">
        <f>[18]생산!F208</f>
        <v>0</v>
      </c>
      <c r="Y211" s="11">
        <f>[18]생산!G208</f>
        <v>0</v>
      </c>
      <c r="Z211" s="11">
        <f>[18]생산!H208</f>
        <v>0</v>
      </c>
      <c r="AA211" s="11">
        <f>[18]생산!I208</f>
        <v>0</v>
      </c>
      <c r="AB211" s="11">
        <f>[18]생산!J208</f>
        <v>0</v>
      </c>
      <c r="AC211" s="48">
        <f>ROUNDDOWN('[20]2025년'!G207/1000,1)</f>
        <v>0</v>
      </c>
    </row>
    <row r="212" spans="1:29">
      <c r="A212" s="6">
        <f t="shared" si="3"/>
        <v>45864</v>
      </c>
      <c r="B212" s="9">
        <f>'[18]key-in(LO)'!Z210</f>
        <v>7250</v>
      </c>
      <c r="C212" s="9">
        <f>'[18]key-in(LO)'!AA210</f>
        <v>238791</v>
      </c>
      <c r="D212" s="9">
        <f>'[18]key-in(LO)'!AB210</f>
        <v>232642</v>
      </c>
      <c r="E212" s="9">
        <f>'[18]key-in(LO)'!AC210</f>
        <v>15285.8</v>
      </c>
      <c r="F212" s="9">
        <f>'[18]key-in(LO)'!AD210</f>
        <v>12900.89</v>
      </c>
      <c r="G212" s="9">
        <f>'[18]key-in(LO)'!AE210</f>
        <v>3894</v>
      </c>
      <c r="H212" s="9">
        <f>'[18]key-in(LO)'!AF210</f>
        <v>18352</v>
      </c>
      <c r="I212" s="9">
        <f>'[18]key-in(LO)'!AG210</f>
        <v>280172</v>
      </c>
      <c r="J212" s="10">
        <f>'[18]key-in(DCO)'!AN210</f>
        <v>33.729999999999997</v>
      </c>
      <c r="K212" s="10">
        <f>'[18]key-in(DCO)'!AO210</f>
        <v>33.19</v>
      </c>
      <c r="L212" s="9">
        <f>'[18]key-in(DCO)'!AR210</f>
        <v>8535</v>
      </c>
      <c r="M212" s="10">
        <f>[18]생산!AV209</f>
        <v>0</v>
      </c>
      <c r="N212" s="10">
        <f>[18]생산!AW209</f>
        <v>0</v>
      </c>
      <c r="O212" s="10">
        <f>[18]생산!AX209</f>
        <v>0</v>
      </c>
      <c r="P212" s="10">
        <f>[18]생산!AY209</f>
        <v>0</v>
      </c>
      <c r="Q212" s="10">
        <f>[19]생산!BE209</f>
        <v>0</v>
      </c>
      <c r="R212" s="10">
        <f>[18]생산!BA209</f>
        <v>0</v>
      </c>
      <c r="S212" s="9">
        <f>[18]운전시간외!C209</f>
        <v>0</v>
      </c>
      <c r="T212" s="9">
        <f>[18]운전시간외!D209</f>
        <v>0</v>
      </c>
      <c r="U212" s="9">
        <f>[18]운전시간외!E209</f>
        <v>0</v>
      </c>
      <c r="V212" s="9">
        <f>[18]운전시간외!F209</f>
        <v>0</v>
      </c>
      <c r="W212" s="11">
        <f>[18]생산!E209</f>
        <v>0</v>
      </c>
      <c r="X212" s="11">
        <f>[18]생산!F209</f>
        <v>0</v>
      </c>
      <c r="Y212" s="11">
        <f>[18]생산!G209</f>
        <v>0</v>
      </c>
      <c r="Z212" s="11">
        <f>[18]생산!H209</f>
        <v>0</v>
      </c>
      <c r="AA212" s="11">
        <f>[18]생산!I209</f>
        <v>0</v>
      </c>
      <c r="AB212" s="11">
        <f>[18]생산!J209</f>
        <v>0</v>
      </c>
      <c r="AC212" s="48">
        <f>ROUNDDOWN('[20]2025년'!G208/1000,1)</f>
        <v>0</v>
      </c>
    </row>
    <row r="213" spans="1:29">
      <c r="A213" s="6">
        <f t="shared" si="3"/>
        <v>45865</v>
      </c>
      <c r="B213" s="9">
        <f>'[18]key-in(LO)'!Z211</f>
        <v>7259</v>
      </c>
      <c r="C213" s="9">
        <f>'[18]key-in(LO)'!AA211</f>
        <v>238791</v>
      </c>
      <c r="D213" s="9">
        <f>'[18]key-in(LO)'!AB211</f>
        <v>232659</v>
      </c>
      <c r="E213" s="9">
        <f>'[18]key-in(LO)'!AC211</f>
        <v>15308.04</v>
      </c>
      <c r="F213" s="9">
        <f>'[18]key-in(LO)'!AD211</f>
        <v>12916.65</v>
      </c>
      <c r="G213" s="9">
        <f>'[18]key-in(LO)'!AE211</f>
        <v>3894.3</v>
      </c>
      <c r="H213" s="9">
        <f>'[18]key-in(LO)'!AF211</f>
        <v>18352</v>
      </c>
      <c r="I213" s="9">
        <f>'[18]key-in(LO)'!AG211</f>
        <v>280251</v>
      </c>
      <c r="J213" s="10">
        <f>'[18]key-in(DCO)'!AN211</f>
        <v>33.6</v>
      </c>
      <c r="K213" s="10">
        <f>'[18]key-in(DCO)'!AO211</f>
        <v>33.200000000000003</v>
      </c>
      <c r="L213" s="9">
        <f>'[18]key-in(DCO)'!AR211</f>
        <v>8270</v>
      </c>
      <c r="M213" s="10">
        <f>[18]생산!AV210</f>
        <v>0</v>
      </c>
      <c r="N213" s="10">
        <f>[18]생산!AW210</f>
        <v>0</v>
      </c>
      <c r="O213" s="10">
        <f>[18]생산!AX210</f>
        <v>0</v>
      </c>
      <c r="P213" s="10">
        <f>[18]생산!AY210</f>
        <v>0</v>
      </c>
      <c r="Q213" s="10">
        <f>[19]생산!BE210</f>
        <v>0</v>
      </c>
      <c r="R213" s="10">
        <f>[18]생산!BA210</f>
        <v>0</v>
      </c>
      <c r="S213" s="9">
        <f>[18]운전시간외!C210</f>
        <v>0</v>
      </c>
      <c r="T213" s="9">
        <f>[18]운전시간외!D210</f>
        <v>0</v>
      </c>
      <c r="U213" s="9">
        <f>[18]운전시간외!E210</f>
        <v>0</v>
      </c>
      <c r="V213" s="9">
        <f>[18]운전시간외!F210</f>
        <v>0</v>
      </c>
      <c r="W213" s="11">
        <f>[18]생산!E210</f>
        <v>0</v>
      </c>
      <c r="X213" s="11">
        <f>[18]생산!F210</f>
        <v>0</v>
      </c>
      <c r="Y213" s="11">
        <f>[18]생산!G210</f>
        <v>0</v>
      </c>
      <c r="Z213" s="11">
        <f>[18]생산!H210</f>
        <v>0</v>
      </c>
      <c r="AA213" s="11">
        <f>[18]생산!I210</f>
        <v>0</v>
      </c>
      <c r="AB213" s="11">
        <f>[18]생산!J210</f>
        <v>0</v>
      </c>
      <c r="AC213" s="48">
        <f>ROUNDDOWN('[20]2025년'!G209/1000,1)</f>
        <v>0</v>
      </c>
    </row>
    <row r="214" spans="1:29">
      <c r="A214" s="6">
        <f t="shared" si="3"/>
        <v>45866</v>
      </c>
      <c r="B214" s="9">
        <f>'[18]key-in(LO)'!Z212</f>
        <v>7267</v>
      </c>
      <c r="C214" s="9">
        <f>'[18]key-in(LO)'!AA212</f>
        <v>238791</v>
      </c>
      <c r="D214" s="9">
        <f>'[18]key-in(LO)'!AB212</f>
        <v>232709</v>
      </c>
      <c r="E214" s="9">
        <f>'[18]key-in(LO)'!AC212</f>
        <v>15345.19</v>
      </c>
      <c r="F214" s="9">
        <f>'[18]key-in(LO)'!AD212</f>
        <v>12927</v>
      </c>
      <c r="G214" s="9">
        <f>'[18]key-in(LO)'!AE212</f>
        <v>3894.8</v>
      </c>
      <c r="H214" s="9">
        <f>'[18]key-in(LO)'!AF212</f>
        <v>18396</v>
      </c>
      <c r="I214" s="9">
        <f>'[18]key-in(LO)'!AG212</f>
        <v>280337</v>
      </c>
      <c r="J214" s="10">
        <f>'[18]key-in(DCO)'!AN212</f>
        <v>33.54</v>
      </c>
      <c r="K214" s="10">
        <f>'[18]key-in(DCO)'!AO212</f>
        <v>33.200000000000003</v>
      </c>
      <c r="L214" s="9">
        <f>'[18]key-in(DCO)'!AR212</f>
        <v>8321</v>
      </c>
      <c r="M214" s="10">
        <f>[18]생산!AV211</f>
        <v>18060.5</v>
      </c>
      <c r="N214" s="10">
        <f>[18]생산!AW211</f>
        <v>0</v>
      </c>
      <c r="O214" s="10">
        <f>[18]생산!AX211</f>
        <v>0</v>
      </c>
      <c r="P214" s="10">
        <f>[18]생산!AY211</f>
        <v>0</v>
      </c>
      <c r="Q214" s="10">
        <f>[19]생산!BE211</f>
        <v>0</v>
      </c>
      <c r="R214" s="10">
        <f>[18]생산!BA211</f>
        <v>0</v>
      </c>
      <c r="S214" s="9">
        <f>[18]운전시간외!C211</f>
        <v>10</v>
      </c>
      <c r="T214" s="9">
        <f>[18]운전시간외!D211</f>
        <v>0</v>
      </c>
      <c r="U214" s="9">
        <f>[18]운전시간외!E211</f>
        <v>0</v>
      </c>
      <c r="V214" s="9">
        <f>[18]운전시간외!F211</f>
        <v>0</v>
      </c>
      <c r="W214" s="11">
        <f>[18]생산!E211</f>
        <v>98</v>
      </c>
      <c r="X214" s="11">
        <f>[18]생산!F211</f>
        <v>0</v>
      </c>
      <c r="Y214" s="11">
        <f>[18]생산!G211</f>
        <v>0</v>
      </c>
      <c r="Z214" s="11">
        <f>[18]생산!H211</f>
        <v>0</v>
      </c>
      <c r="AA214" s="11">
        <f>[18]생산!I211</f>
        <v>0</v>
      </c>
      <c r="AB214" s="11">
        <f>[18]생산!J211</f>
        <v>98</v>
      </c>
      <c r="AC214" s="48">
        <f>ROUNDDOWN('[20]2025년'!G210/1000,1)</f>
        <v>4.0999999999999996</v>
      </c>
    </row>
    <row r="215" spans="1:29">
      <c r="A215" s="6">
        <f t="shared" si="3"/>
        <v>45867</v>
      </c>
      <c r="B215" s="9">
        <f>'[18]key-in(LO)'!Z213</f>
        <v>7267</v>
      </c>
      <c r="C215" s="9">
        <f>'[18]key-in(LO)'!AA213</f>
        <v>238813</v>
      </c>
      <c r="D215" s="9">
        <f>'[18]key-in(LO)'!AB213</f>
        <v>232756</v>
      </c>
      <c r="E215" s="9">
        <f>'[18]key-in(LO)'!AC213</f>
        <v>15373.05</v>
      </c>
      <c r="F215" s="9">
        <f>'[18]key-in(LO)'!AD213</f>
        <v>12946.66</v>
      </c>
      <c r="G215" s="9">
        <f>'[18]key-in(LO)'!AE213</f>
        <v>3895.4</v>
      </c>
      <c r="H215" s="9">
        <f>'[18]key-in(LO)'!AF213</f>
        <v>18472</v>
      </c>
      <c r="I215" s="9">
        <f>'[18]key-in(LO)'!AG213</f>
        <v>280504</v>
      </c>
      <c r="J215" s="10">
        <f>'[18]key-in(DCO)'!AN213</f>
        <v>33.71</v>
      </c>
      <c r="K215" s="10">
        <f>'[18]key-in(DCO)'!AO213</f>
        <v>33.29</v>
      </c>
      <c r="L215" s="9">
        <f>'[18]key-in(DCO)'!AR213</f>
        <v>8693</v>
      </c>
      <c r="M215" s="10">
        <f>[18]생산!AV212</f>
        <v>15691.7</v>
      </c>
      <c r="N215" s="10">
        <f>[18]생산!AW212</f>
        <v>0</v>
      </c>
      <c r="O215" s="10">
        <f>[18]생산!AX212</f>
        <v>0</v>
      </c>
      <c r="P215" s="10">
        <f>[18]생산!AY212</f>
        <v>0</v>
      </c>
      <c r="Q215" s="10">
        <f>[19]생산!BE212</f>
        <v>0</v>
      </c>
      <c r="R215" s="10">
        <f>[18]생산!BA212</f>
        <v>0</v>
      </c>
      <c r="S215" s="9">
        <f>[18]운전시간외!C212</f>
        <v>7</v>
      </c>
      <c r="T215" s="9">
        <f>[18]운전시간외!D212</f>
        <v>0</v>
      </c>
      <c r="U215" s="9">
        <f>[18]운전시간외!E212</f>
        <v>0</v>
      </c>
      <c r="V215" s="9">
        <f>[18]운전시간외!F212</f>
        <v>0</v>
      </c>
      <c r="W215" s="11">
        <f>[18]생산!E212</f>
        <v>101</v>
      </c>
      <c r="X215" s="11">
        <f>[18]생산!F212</f>
        <v>0</v>
      </c>
      <c r="Y215" s="11">
        <f>[18]생산!G212</f>
        <v>0</v>
      </c>
      <c r="Z215" s="11">
        <f>[18]생산!H212</f>
        <v>0</v>
      </c>
      <c r="AA215" s="11">
        <f>[18]생산!I212</f>
        <v>0</v>
      </c>
      <c r="AB215" s="11">
        <f>[18]생산!J212</f>
        <v>101</v>
      </c>
      <c r="AC215" s="48">
        <f>ROUNDDOWN('[20]2025년'!G211/1000,1)</f>
        <v>3.1</v>
      </c>
    </row>
    <row r="216" spans="1:29">
      <c r="A216" s="6">
        <f t="shared" si="3"/>
        <v>45868</v>
      </c>
      <c r="B216" s="9">
        <f>'[18]key-in(LO)'!Z214</f>
        <v>7267</v>
      </c>
      <c r="C216" s="9">
        <f>'[18]key-in(LO)'!AA214</f>
        <v>238862</v>
      </c>
      <c r="D216" s="9">
        <f>'[18]key-in(LO)'!AB214</f>
        <v>232756</v>
      </c>
      <c r="E216" s="9">
        <f>'[18]key-in(LO)'!AC214</f>
        <v>15399</v>
      </c>
      <c r="F216" s="9">
        <f>'[18]key-in(LO)'!AD214</f>
        <v>12955.19</v>
      </c>
      <c r="G216" s="9">
        <f>'[18]key-in(LO)'!AE214</f>
        <v>3896</v>
      </c>
      <c r="H216" s="9">
        <f>'[18]key-in(LO)'!AF214</f>
        <v>18524</v>
      </c>
      <c r="I216" s="9">
        <f>'[18]key-in(LO)'!AG214</f>
        <v>280624</v>
      </c>
      <c r="J216" s="10">
        <f>'[18]key-in(DCO)'!AN214</f>
        <v>33.57</v>
      </c>
      <c r="K216" s="10">
        <f>'[18]key-in(DCO)'!AO214</f>
        <v>33.270000000000003</v>
      </c>
      <c r="L216" s="9">
        <f>'[18]key-in(DCO)'!AR214</f>
        <v>8530</v>
      </c>
      <c r="M216" s="10">
        <f>[18]생산!AV213</f>
        <v>0</v>
      </c>
      <c r="N216" s="10">
        <f>[18]생산!AW213</f>
        <v>0</v>
      </c>
      <c r="O216" s="10">
        <f>[18]생산!AX213</f>
        <v>0</v>
      </c>
      <c r="P216" s="10">
        <f>[18]생산!AY213</f>
        <v>0</v>
      </c>
      <c r="Q216" s="10">
        <f>[19]생산!BE213</f>
        <v>0</v>
      </c>
      <c r="R216" s="10">
        <f>[18]생산!BA213</f>
        <v>0</v>
      </c>
      <c r="S216" s="9">
        <f>[18]운전시간외!C213</f>
        <v>0</v>
      </c>
      <c r="T216" s="9">
        <f>[18]운전시간외!D213</f>
        <v>0</v>
      </c>
      <c r="U216" s="9">
        <f>[18]운전시간외!E213</f>
        <v>0</v>
      </c>
      <c r="V216" s="9">
        <f>[18]운전시간외!F213</f>
        <v>0</v>
      </c>
      <c r="W216" s="11">
        <f>[18]생산!E213</f>
        <v>0</v>
      </c>
      <c r="X216" s="11">
        <f>[18]생산!F213</f>
        <v>0</v>
      </c>
      <c r="Y216" s="11">
        <f>[18]생산!G213</f>
        <v>0</v>
      </c>
      <c r="Z216" s="11">
        <f>[18]생산!H213</f>
        <v>0</v>
      </c>
      <c r="AA216" s="11">
        <f>[18]생산!I213</f>
        <v>0</v>
      </c>
      <c r="AB216" s="11">
        <f>[18]생산!J213</f>
        <v>0</v>
      </c>
      <c r="AC216" s="48">
        <f>ROUNDDOWN('[20]2025년'!G212/1000,1)</f>
        <v>0</v>
      </c>
    </row>
    <row r="217" spans="1:29">
      <c r="A217" s="6">
        <f t="shared" si="3"/>
        <v>45869</v>
      </c>
      <c r="B217" s="9">
        <f>'[18]key-in(LO)'!Z215</f>
        <v>7267</v>
      </c>
      <c r="C217" s="9">
        <f>'[18]key-in(LO)'!AA215</f>
        <v>238895</v>
      </c>
      <c r="D217" s="9">
        <f>'[18]key-in(LO)'!AB215</f>
        <v>232756</v>
      </c>
      <c r="E217" s="9">
        <f>'[18]key-in(LO)'!AC215</f>
        <v>15427</v>
      </c>
      <c r="F217" s="9">
        <f>'[18]key-in(LO)'!AD215</f>
        <v>12972.95</v>
      </c>
      <c r="G217" s="9">
        <f>'[18]key-in(LO)'!AE215</f>
        <v>3896.5</v>
      </c>
      <c r="H217" s="9">
        <f>'[18]key-in(LO)'!AF215</f>
        <v>18587</v>
      </c>
      <c r="I217" s="9">
        <f>'[18]key-in(LO)'!AG215</f>
        <v>280705</v>
      </c>
      <c r="J217" s="10">
        <f>'[18]key-in(DCO)'!AN215</f>
        <v>33.65</v>
      </c>
      <c r="K217" s="10">
        <f>'[18]key-in(DCO)'!AO215</f>
        <v>33.130000000000003</v>
      </c>
      <c r="L217" s="9">
        <f>'[18]key-in(DCO)'!AR215</f>
        <v>8497</v>
      </c>
      <c r="M217" s="10">
        <f>[18]생산!AV214</f>
        <v>0.5</v>
      </c>
      <c r="N217" s="10">
        <f>[18]생산!AW214</f>
        <v>0</v>
      </c>
      <c r="O217" s="10">
        <f>[18]생산!AX214</f>
        <v>0</v>
      </c>
      <c r="P217" s="10">
        <f>[18]생산!AY214</f>
        <v>0</v>
      </c>
      <c r="Q217" s="10">
        <f>[19]생산!BE214</f>
        <v>0</v>
      </c>
      <c r="R217" s="10">
        <f>[18]생산!BA214</f>
        <v>0</v>
      </c>
      <c r="S217" s="9">
        <f>[18]운전시간외!C214</f>
        <v>0</v>
      </c>
      <c r="T217" s="9">
        <f>[18]운전시간외!D214</f>
        <v>0</v>
      </c>
      <c r="U217" s="9">
        <f>[18]운전시간외!E214</f>
        <v>0</v>
      </c>
      <c r="V217" s="9">
        <f>[18]운전시간외!F214</f>
        <v>0</v>
      </c>
      <c r="W217" s="11">
        <f>[18]생산!E214</f>
        <v>0</v>
      </c>
      <c r="X217" s="11">
        <f>[18]생산!F214</f>
        <v>0</v>
      </c>
      <c r="Y217" s="11">
        <f>[18]생산!G214</f>
        <v>0</v>
      </c>
      <c r="Z217" s="11">
        <f>[18]생산!H214</f>
        <v>0</v>
      </c>
      <c r="AA217" s="11">
        <f>[18]생산!I214</f>
        <v>0</v>
      </c>
      <c r="AB217" s="11">
        <f>[18]생산!J214</f>
        <v>0</v>
      </c>
      <c r="AC217" s="48">
        <f>ROUNDDOWN('[20]2025년'!G213/1000,1)</f>
        <v>0</v>
      </c>
    </row>
    <row r="218" spans="1:29">
      <c r="A218" s="6">
        <f t="shared" si="3"/>
        <v>45870</v>
      </c>
      <c r="B218" s="9">
        <f>'[18]key-in(LO)'!Z216</f>
        <v>7267</v>
      </c>
      <c r="C218" s="9">
        <f>'[18]key-in(LO)'!AA216</f>
        <v>238895</v>
      </c>
      <c r="D218" s="9">
        <f>'[18]key-in(LO)'!AB216</f>
        <v>232756</v>
      </c>
      <c r="E218" s="9">
        <f>'[18]key-in(LO)'!AC216</f>
        <v>15459.81</v>
      </c>
      <c r="F218" s="9">
        <f>'[18]key-in(LO)'!AD216</f>
        <v>12987.09</v>
      </c>
      <c r="G218" s="9">
        <f>'[18]key-in(LO)'!AE216</f>
        <v>3896.8</v>
      </c>
      <c r="H218" s="9">
        <f>'[18]key-in(LO)'!AF216</f>
        <v>18587</v>
      </c>
      <c r="I218" s="9">
        <f>'[18]key-in(LO)'!AG216</f>
        <v>280750</v>
      </c>
      <c r="J218" s="10">
        <f>'[18]key-in(DCO)'!AN216</f>
        <v>33.74</v>
      </c>
      <c r="K218" s="10">
        <f>'[18]key-in(DCO)'!AO216</f>
        <v>33.08</v>
      </c>
      <c r="L218" s="9">
        <f>'[18]key-in(DCO)'!AR216</f>
        <v>8360</v>
      </c>
      <c r="M218" s="10">
        <f>[18]생산!AV215</f>
        <v>0</v>
      </c>
      <c r="N218" s="10">
        <f>[18]생산!AW215</f>
        <v>0</v>
      </c>
      <c r="O218" s="10">
        <f>[18]생산!AX215</f>
        <v>0</v>
      </c>
      <c r="P218" s="10">
        <f>[18]생산!AY215</f>
        <v>0</v>
      </c>
      <c r="Q218" s="10">
        <f>[19]생산!BE215</f>
        <v>0</v>
      </c>
      <c r="R218" s="10">
        <f>[18]생산!BA215</f>
        <v>0</v>
      </c>
      <c r="S218" s="9">
        <f>[18]운전시간외!C215</f>
        <v>0</v>
      </c>
      <c r="T218" s="9">
        <f>[18]운전시간외!D215</f>
        <v>0</v>
      </c>
      <c r="U218" s="9">
        <f>[18]운전시간외!E215</f>
        <v>0</v>
      </c>
      <c r="V218" s="9">
        <f>[18]운전시간외!F215</f>
        <v>0</v>
      </c>
      <c r="W218" s="11">
        <f>[18]생산!E215</f>
        <v>0</v>
      </c>
      <c r="X218" s="11">
        <f>[18]생산!F215</f>
        <v>0</v>
      </c>
      <c r="Y218" s="11">
        <f>[18]생산!G215</f>
        <v>0</v>
      </c>
      <c r="Z218" s="11">
        <f>[18]생산!H215</f>
        <v>0</v>
      </c>
      <c r="AA218" s="11">
        <f>[18]생산!I215</f>
        <v>0</v>
      </c>
      <c r="AB218" s="11">
        <f>[18]생산!J215</f>
        <v>0</v>
      </c>
      <c r="AC218" s="48">
        <f>ROUNDDOWN('[20]2025년'!G214/1000,1)</f>
        <v>0</v>
      </c>
    </row>
    <row r="219" spans="1:29">
      <c r="A219" s="6">
        <f t="shared" si="3"/>
        <v>45871</v>
      </c>
      <c r="B219" s="9">
        <f>'[18]key-in(LO)'!Z217</f>
        <v>7267</v>
      </c>
      <c r="C219" s="9">
        <f>'[18]key-in(LO)'!AA217</f>
        <v>238895</v>
      </c>
      <c r="D219" s="9">
        <f>'[18]key-in(LO)'!AB217</f>
        <v>232756</v>
      </c>
      <c r="E219" s="9">
        <f>'[18]key-in(LO)'!AC217</f>
        <v>15491.86</v>
      </c>
      <c r="F219" s="9">
        <f>'[18]key-in(LO)'!AD217</f>
        <v>12998.23</v>
      </c>
      <c r="G219" s="9">
        <f>'[18]key-in(LO)'!AE217</f>
        <v>3897.1</v>
      </c>
      <c r="H219" s="9">
        <f>'[18]key-in(LO)'!AF217</f>
        <v>18587</v>
      </c>
      <c r="I219" s="9">
        <f>'[18]key-in(LO)'!AG217</f>
        <v>280791</v>
      </c>
      <c r="J219" s="10">
        <f>'[18]key-in(DCO)'!AN217</f>
        <v>33.68</v>
      </c>
      <c r="K219" s="10">
        <f>'[18]key-in(DCO)'!AO217</f>
        <v>33.03</v>
      </c>
      <c r="L219" s="9">
        <f>'[18]key-in(DCO)'!AR217</f>
        <v>7928</v>
      </c>
      <c r="M219" s="10">
        <f>[18]생산!AV216</f>
        <v>0</v>
      </c>
      <c r="N219" s="10">
        <f>[18]생산!AW216</f>
        <v>0</v>
      </c>
      <c r="O219" s="10">
        <f>[18]생산!AX216</f>
        <v>0</v>
      </c>
      <c r="P219" s="10">
        <f>[18]생산!AY216</f>
        <v>0</v>
      </c>
      <c r="Q219" s="10">
        <f>[19]생산!BE216</f>
        <v>0</v>
      </c>
      <c r="R219" s="10">
        <f>[18]생산!BA216</f>
        <v>0</v>
      </c>
      <c r="S219" s="9">
        <f>[18]운전시간외!C216</f>
        <v>0</v>
      </c>
      <c r="T219" s="9">
        <f>[18]운전시간외!D216</f>
        <v>0</v>
      </c>
      <c r="U219" s="9">
        <f>[18]운전시간외!E216</f>
        <v>0</v>
      </c>
      <c r="V219" s="9">
        <f>[18]운전시간외!F216</f>
        <v>0</v>
      </c>
      <c r="W219" s="11">
        <f>[18]생산!E216</f>
        <v>0</v>
      </c>
      <c r="X219" s="11">
        <f>[18]생산!F216</f>
        <v>0</v>
      </c>
      <c r="Y219" s="11">
        <f>[18]생산!G216</f>
        <v>0</v>
      </c>
      <c r="Z219" s="11">
        <f>[18]생산!H216</f>
        <v>0</v>
      </c>
      <c r="AA219" s="11">
        <f>[18]생산!I216</f>
        <v>0</v>
      </c>
      <c r="AB219" s="11">
        <f>[18]생산!J216</f>
        <v>0</v>
      </c>
      <c r="AC219" s="48">
        <f>ROUNDDOWN('[20]2025년'!G215/1000,1)</f>
        <v>0</v>
      </c>
    </row>
    <row r="220" spans="1:29">
      <c r="A220" s="6">
        <f t="shared" si="3"/>
        <v>45872</v>
      </c>
      <c r="B220" s="9">
        <f>'[18]key-in(LO)'!Z218</f>
        <v>7298</v>
      </c>
      <c r="C220" s="9">
        <f>'[18]key-in(LO)'!AA218</f>
        <v>238944</v>
      </c>
      <c r="D220" s="9">
        <f>'[18]key-in(LO)'!AB218</f>
        <v>232802</v>
      </c>
      <c r="E220" s="9">
        <f>'[18]key-in(LO)'!AC218</f>
        <v>15504.46</v>
      </c>
      <c r="F220" s="9">
        <f>'[18]key-in(LO)'!AD218</f>
        <v>13004.53</v>
      </c>
      <c r="G220" s="9">
        <f>'[18]key-in(LO)'!AE218</f>
        <v>3897.5</v>
      </c>
      <c r="H220" s="9">
        <f>'[18]key-in(LO)'!AF218</f>
        <v>18587</v>
      </c>
      <c r="I220" s="9">
        <f>'[18]key-in(LO)'!AG218</f>
        <v>280901</v>
      </c>
      <c r="J220" s="10">
        <f>'[18]key-in(DCO)'!AN218</f>
        <v>33.479999999999997</v>
      </c>
      <c r="K220" s="10">
        <f>'[18]key-in(DCO)'!AO218</f>
        <v>33.11</v>
      </c>
      <c r="L220" s="9">
        <f>'[18]key-in(DCO)'!AR218</f>
        <v>8523</v>
      </c>
      <c r="M220" s="10">
        <f>[18]생산!AV217</f>
        <v>0</v>
      </c>
      <c r="N220" s="10">
        <f>[18]생산!AW217</f>
        <v>0</v>
      </c>
      <c r="O220" s="10">
        <f>[18]생산!AX217</f>
        <v>0</v>
      </c>
      <c r="P220" s="10">
        <f>[18]생산!AY217</f>
        <v>0</v>
      </c>
      <c r="Q220" s="10">
        <f>[19]생산!BE217</f>
        <v>0</v>
      </c>
      <c r="R220" s="10">
        <f>[18]생산!BA217</f>
        <v>0</v>
      </c>
      <c r="S220" s="9">
        <f>[18]운전시간외!C217</f>
        <v>0</v>
      </c>
      <c r="T220" s="9">
        <f>[18]운전시간외!D217</f>
        <v>0</v>
      </c>
      <c r="U220" s="9">
        <f>[18]운전시간외!E217</f>
        <v>0</v>
      </c>
      <c r="V220" s="9">
        <f>[18]운전시간외!F217</f>
        <v>0</v>
      </c>
      <c r="W220" s="11">
        <f>[18]생산!E217</f>
        <v>0</v>
      </c>
      <c r="X220" s="11">
        <f>[18]생산!F217</f>
        <v>0</v>
      </c>
      <c r="Y220" s="11">
        <f>[18]생산!G217</f>
        <v>0</v>
      </c>
      <c r="Z220" s="11">
        <f>[18]생산!H217</f>
        <v>0</v>
      </c>
      <c r="AA220" s="11">
        <f>[18]생산!I217</f>
        <v>0</v>
      </c>
      <c r="AB220" s="11">
        <f>[18]생산!J217</f>
        <v>0</v>
      </c>
      <c r="AC220" s="48">
        <f>ROUNDDOWN('[20]2025년'!G216/1000,1)</f>
        <v>0</v>
      </c>
    </row>
    <row r="221" spans="1:29">
      <c r="A221" s="6">
        <f t="shared" si="3"/>
        <v>45873</v>
      </c>
      <c r="B221" s="9">
        <f>'[18]key-in(LO)'!Z219</f>
        <v>7328</v>
      </c>
      <c r="C221" s="9">
        <f>'[18]key-in(LO)'!AA219</f>
        <v>238944</v>
      </c>
      <c r="D221" s="9">
        <f>'[18]key-in(LO)'!AB219</f>
        <v>232921</v>
      </c>
      <c r="E221" s="9">
        <f>'[18]key-in(LO)'!AC219</f>
        <v>15523.54</v>
      </c>
      <c r="F221" s="9">
        <f>'[18]key-in(LO)'!AD219</f>
        <v>13006.06</v>
      </c>
      <c r="G221" s="9">
        <f>'[18]key-in(LO)'!AE219</f>
        <v>3898.1</v>
      </c>
      <c r="H221" s="9">
        <f>'[18]key-in(LO)'!AF219</f>
        <v>18618</v>
      </c>
      <c r="I221" s="9">
        <f>'[18]key-in(LO)'!AG219</f>
        <v>281066</v>
      </c>
      <c r="J221" s="10">
        <f>'[18]key-in(DCO)'!AN219</f>
        <v>33.61</v>
      </c>
      <c r="K221" s="10">
        <f>'[18]key-in(DCO)'!AO219</f>
        <v>33.229999999999997</v>
      </c>
      <c r="L221" s="9">
        <f>'[18]key-in(DCO)'!AR219</f>
        <v>8471</v>
      </c>
      <c r="M221" s="10">
        <f>[18]생산!AV218</f>
        <v>0</v>
      </c>
      <c r="N221" s="10">
        <f>[18]생산!AW218</f>
        <v>0</v>
      </c>
      <c r="O221" s="10">
        <f>[18]생산!AX218</f>
        <v>0</v>
      </c>
      <c r="P221" s="10">
        <f>[18]생산!AY218</f>
        <v>0</v>
      </c>
      <c r="Q221" s="10">
        <f>[19]생산!BE218</f>
        <v>0</v>
      </c>
      <c r="R221" s="10">
        <f>[18]생산!BA218</f>
        <v>0</v>
      </c>
      <c r="S221" s="9">
        <f>[18]운전시간외!C218</f>
        <v>0</v>
      </c>
      <c r="T221" s="9">
        <f>[18]운전시간외!D218</f>
        <v>0</v>
      </c>
      <c r="U221" s="9">
        <f>[18]운전시간외!E218</f>
        <v>0</v>
      </c>
      <c r="V221" s="9">
        <f>[18]운전시간외!F218</f>
        <v>0</v>
      </c>
      <c r="W221" s="11">
        <f>[18]생산!E218</f>
        <v>0</v>
      </c>
      <c r="X221" s="11">
        <f>[18]생산!F218</f>
        <v>0</v>
      </c>
      <c r="Y221" s="11">
        <f>[18]생산!G218</f>
        <v>0</v>
      </c>
      <c r="Z221" s="11">
        <f>[18]생산!H218</f>
        <v>0</v>
      </c>
      <c r="AA221" s="11">
        <f>[18]생산!I218</f>
        <v>0</v>
      </c>
      <c r="AB221" s="11">
        <f>[18]생산!J218</f>
        <v>0</v>
      </c>
      <c r="AC221" s="48">
        <f>ROUNDDOWN('[20]2025년'!G217/1000,1)</f>
        <v>0</v>
      </c>
    </row>
    <row r="222" spans="1:29">
      <c r="A222" s="6">
        <f t="shared" si="3"/>
        <v>45874</v>
      </c>
      <c r="B222" s="9">
        <f>'[18]key-in(LO)'!Z220</f>
        <v>7359</v>
      </c>
      <c r="C222" s="9">
        <f>'[18]key-in(LO)'!AA220</f>
        <v>239036</v>
      </c>
      <c r="D222" s="9">
        <f>'[18]key-in(LO)'!AB220</f>
        <v>232931</v>
      </c>
      <c r="E222" s="9">
        <f>'[18]key-in(LO)'!AC220</f>
        <v>15540.82</v>
      </c>
      <c r="F222" s="9">
        <f>'[18]key-in(LO)'!AD220</f>
        <v>13010.3</v>
      </c>
      <c r="G222" s="9">
        <f>'[18]key-in(LO)'!AE220</f>
        <v>3898.8</v>
      </c>
      <c r="H222" s="9">
        <f>'[18]key-in(LO)'!AF220</f>
        <v>18697</v>
      </c>
      <c r="I222" s="9">
        <f>'[18]key-in(LO)'!AG220</f>
        <v>281227</v>
      </c>
      <c r="J222" s="10">
        <f>'[18]key-in(DCO)'!AN220</f>
        <v>33.74</v>
      </c>
      <c r="K222" s="10">
        <f>'[18]key-in(DCO)'!AO220</f>
        <v>33.32</v>
      </c>
      <c r="L222" s="9">
        <f>'[18]key-in(DCO)'!AR220</f>
        <v>8008</v>
      </c>
      <c r="M222" s="10">
        <f>[18]생산!AV219</f>
        <v>0</v>
      </c>
      <c r="N222" s="10">
        <f>[18]생산!AW219</f>
        <v>0</v>
      </c>
      <c r="O222" s="10">
        <f>[18]생산!AX219</f>
        <v>0</v>
      </c>
      <c r="P222" s="10">
        <f>[18]생산!AY219</f>
        <v>0</v>
      </c>
      <c r="Q222" s="10">
        <f>[19]생산!BE219</f>
        <v>0</v>
      </c>
      <c r="R222" s="10">
        <f>[18]생산!BA219</f>
        <v>0</v>
      </c>
      <c r="S222" s="9">
        <f>[18]운전시간외!C219</f>
        <v>0</v>
      </c>
      <c r="T222" s="9">
        <f>[18]운전시간외!D219</f>
        <v>0</v>
      </c>
      <c r="U222" s="9">
        <f>[18]운전시간외!E219</f>
        <v>0</v>
      </c>
      <c r="V222" s="9">
        <f>[18]운전시간외!F219</f>
        <v>0</v>
      </c>
      <c r="W222" s="11">
        <f>[18]생산!E219</f>
        <v>0</v>
      </c>
      <c r="X222" s="11">
        <f>[18]생산!F219</f>
        <v>0</v>
      </c>
      <c r="Y222" s="11">
        <f>[18]생산!G219</f>
        <v>0</v>
      </c>
      <c r="Z222" s="11">
        <f>[18]생산!H219</f>
        <v>0</v>
      </c>
      <c r="AA222" s="11">
        <f>[18]생산!I219</f>
        <v>0</v>
      </c>
      <c r="AB222" s="11">
        <f>[18]생산!J219</f>
        <v>0</v>
      </c>
      <c r="AC222" s="48">
        <f>ROUNDDOWN('[20]2025년'!G218/1000,1)</f>
        <v>0</v>
      </c>
    </row>
    <row r="223" spans="1:29">
      <c r="A223" s="6">
        <f t="shared" si="3"/>
        <v>45875</v>
      </c>
      <c r="B223" s="9">
        <f>'[18]key-in(LO)'!Z221</f>
        <v>7363</v>
      </c>
      <c r="C223" s="9">
        <f>'[18]key-in(LO)'!AA221</f>
        <v>239069</v>
      </c>
      <c r="D223" s="9">
        <f>'[18]key-in(LO)'!AB221</f>
        <v>232962</v>
      </c>
      <c r="E223" s="9">
        <f>'[18]key-in(LO)'!AC221</f>
        <v>15556.12</v>
      </c>
      <c r="F223" s="9">
        <f>'[18]key-in(LO)'!AD221</f>
        <v>13010.3</v>
      </c>
      <c r="G223" s="9">
        <f>'[18]key-in(LO)'!AE221</f>
        <v>3899.3</v>
      </c>
      <c r="H223" s="9">
        <f>'[18]key-in(LO)'!AF221</f>
        <v>18702</v>
      </c>
      <c r="I223" s="9">
        <f>'[18]key-in(LO)'!AG221</f>
        <v>281341</v>
      </c>
      <c r="J223" s="10">
        <f>'[18]key-in(DCO)'!AN221</f>
        <v>33.74</v>
      </c>
      <c r="K223" s="10">
        <f>'[18]key-in(DCO)'!AO221</f>
        <v>33.26</v>
      </c>
      <c r="L223" s="9">
        <f>'[18]key-in(DCO)'!AR221</f>
        <v>8659</v>
      </c>
      <c r="M223" s="10">
        <f>[18]생산!AV220</f>
        <v>0</v>
      </c>
      <c r="N223" s="10">
        <f>[18]생산!AW220</f>
        <v>0</v>
      </c>
      <c r="O223" s="10">
        <f>[18]생산!AX220</f>
        <v>0</v>
      </c>
      <c r="P223" s="10">
        <f>[18]생산!AY220</f>
        <v>0</v>
      </c>
      <c r="Q223" s="10">
        <f>[19]생산!BE220</f>
        <v>0</v>
      </c>
      <c r="R223" s="10">
        <f>[18]생산!BA220</f>
        <v>0</v>
      </c>
      <c r="S223" s="9">
        <f>[18]운전시간외!C220</f>
        <v>0</v>
      </c>
      <c r="T223" s="9">
        <f>[18]운전시간외!D220</f>
        <v>0</v>
      </c>
      <c r="U223" s="9">
        <f>[18]운전시간외!E220</f>
        <v>0</v>
      </c>
      <c r="V223" s="9">
        <f>[18]운전시간외!F220</f>
        <v>0</v>
      </c>
      <c r="W223" s="11">
        <f>[18]생산!E220</f>
        <v>0</v>
      </c>
      <c r="X223" s="11">
        <f>[18]생산!F220</f>
        <v>0</v>
      </c>
      <c r="Y223" s="11">
        <f>[18]생산!G220</f>
        <v>0</v>
      </c>
      <c r="Z223" s="11">
        <f>[18]생산!H220</f>
        <v>0</v>
      </c>
      <c r="AA223" s="11">
        <f>[18]생산!I220</f>
        <v>0</v>
      </c>
      <c r="AB223" s="11">
        <f>[18]생산!J220</f>
        <v>0</v>
      </c>
      <c r="AC223" s="48">
        <f>ROUNDDOWN('[20]2025년'!G219/1000,1)</f>
        <v>0</v>
      </c>
    </row>
    <row r="224" spans="1:29">
      <c r="A224" s="6">
        <f t="shared" si="3"/>
        <v>45876</v>
      </c>
      <c r="B224" s="9">
        <f>'[18]key-in(LO)'!Z222</f>
        <v>7364</v>
      </c>
      <c r="C224" s="9">
        <f>'[18]key-in(LO)'!AA222</f>
        <v>239069</v>
      </c>
      <c r="D224" s="9">
        <f>'[18]key-in(LO)'!AB222</f>
        <v>232962</v>
      </c>
      <c r="E224" s="9">
        <f>'[18]key-in(LO)'!AC222</f>
        <v>15574.54</v>
      </c>
      <c r="F224" s="9">
        <f>'[18]key-in(LO)'!AD222</f>
        <v>13010.3</v>
      </c>
      <c r="G224" s="9">
        <f>'[18]key-in(LO)'!AE222</f>
        <v>3900</v>
      </c>
      <c r="H224" s="9">
        <f>'[18]key-in(LO)'!AF222</f>
        <v>18768</v>
      </c>
      <c r="I224" s="9">
        <f>'[18]key-in(LO)'!AG222</f>
        <v>281368</v>
      </c>
      <c r="J224" s="10">
        <f>'[18]key-in(DCO)'!AN222</f>
        <v>33.78</v>
      </c>
      <c r="K224" s="10">
        <f>'[18]key-in(DCO)'!AO222</f>
        <v>33.32</v>
      </c>
      <c r="L224" s="9">
        <f>'[18]key-in(DCO)'!AR222</f>
        <v>7860</v>
      </c>
      <c r="M224" s="10">
        <f>[18]생산!AV221</f>
        <v>0</v>
      </c>
      <c r="N224" s="10">
        <f>[18]생산!AW221</f>
        <v>0</v>
      </c>
      <c r="O224" s="10">
        <f>[18]생산!AX221</f>
        <v>0</v>
      </c>
      <c r="P224" s="10">
        <f>[18]생산!AY221</f>
        <v>0</v>
      </c>
      <c r="Q224" s="10">
        <f>[19]생산!BE221</f>
        <v>0</v>
      </c>
      <c r="R224" s="10">
        <f>[18]생산!BA221</f>
        <v>0</v>
      </c>
      <c r="S224" s="9">
        <f>[18]운전시간외!C221</f>
        <v>0</v>
      </c>
      <c r="T224" s="9">
        <f>[18]운전시간외!D221</f>
        <v>0</v>
      </c>
      <c r="U224" s="9">
        <f>[18]운전시간외!E221</f>
        <v>0</v>
      </c>
      <c r="V224" s="9">
        <f>[18]운전시간외!F221</f>
        <v>0</v>
      </c>
      <c r="W224" s="11">
        <f>[18]생산!E221</f>
        <v>0</v>
      </c>
      <c r="X224" s="11">
        <f>[18]생산!F221</f>
        <v>0</v>
      </c>
      <c r="Y224" s="11">
        <f>[18]생산!G221</f>
        <v>0</v>
      </c>
      <c r="Z224" s="11">
        <f>[18]생산!H221</f>
        <v>0</v>
      </c>
      <c r="AA224" s="11">
        <f>[18]생산!I221</f>
        <v>0</v>
      </c>
      <c r="AB224" s="11">
        <f>[18]생산!J221</f>
        <v>0</v>
      </c>
      <c r="AC224" s="48">
        <f>ROUNDDOWN('[20]2025년'!G220/1000,1)</f>
        <v>0</v>
      </c>
    </row>
    <row r="225" spans="1:29">
      <c r="A225" s="6">
        <f t="shared" si="3"/>
        <v>45877</v>
      </c>
      <c r="B225" s="9">
        <f>'[18]key-in(LO)'!Z223</f>
        <v>7364</v>
      </c>
      <c r="C225" s="9">
        <f>'[18]key-in(LO)'!AA223</f>
        <v>239069</v>
      </c>
      <c r="D225" s="9">
        <f>'[18]key-in(LO)'!AB223</f>
        <v>232996</v>
      </c>
      <c r="E225" s="9">
        <f>'[18]key-in(LO)'!AC223</f>
        <v>15592.5</v>
      </c>
      <c r="F225" s="9">
        <f>'[18]key-in(LO)'!AD223</f>
        <v>13010.41</v>
      </c>
      <c r="G225" s="9">
        <f>'[18]key-in(LO)'!AE223</f>
        <v>3900.3</v>
      </c>
      <c r="H225" s="9">
        <f>'[18]key-in(LO)'!AF223</f>
        <v>18768</v>
      </c>
      <c r="I225" s="9">
        <f>'[18]key-in(LO)'!AG223</f>
        <v>281438</v>
      </c>
      <c r="J225" s="10">
        <f>'[18]key-in(DCO)'!AN223</f>
        <v>33.86</v>
      </c>
      <c r="K225" s="10">
        <f>'[18]key-in(DCO)'!AO223</f>
        <v>33.229999999999997</v>
      </c>
      <c r="L225" s="9">
        <f>'[18]key-in(DCO)'!AR223</f>
        <v>8392</v>
      </c>
      <c r="M225" s="10">
        <f>[18]생산!AV222</f>
        <v>0</v>
      </c>
      <c r="N225" s="10">
        <f>[18]생산!AW222</f>
        <v>0</v>
      </c>
      <c r="O225" s="10">
        <f>[18]생산!AX222</f>
        <v>0</v>
      </c>
      <c r="P225" s="10">
        <f>[18]생산!AY222</f>
        <v>0</v>
      </c>
      <c r="Q225" s="10">
        <f>[19]생산!BE222</f>
        <v>0</v>
      </c>
      <c r="R225" s="10">
        <f>[18]생산!BA222</f>
        <v>0</v>
      </c>
      <c r="S225" s="9">
        <f>[18]운전시간외!C222</f>
        <v>0</v>
      </c>
      <c r="T225" s="9">
        <f>[18]운전시간외!D222</f>
        <v>0</v>
      </c>
      <c r="U225" s="9">
        <f>[18]운전시간외!E222</f>
        <v>0</v>
      </c>
      <c r="V225" s="9">
        <f>[18]운전시간외!F222</f>
        <v>0</v>
      </c>
      <c r="W225" s="11">
        <f>[18]생산!E222</f>
        <v>0</v>
      </c>
      <c r="X225" s="11">
        <f>[18]생산!F222</f>
        <v>0</v>
      </c>
      <c r="Y225" s="11">
        <f>[18]생산!G222</f>
        <v>0</v>
      </c>
      <c r="Z225" s="11">
        <f>[18]생산!H222</f>
        <v>0</v>
      </c>
      <c r="AA225" s="11">
        <f>[18]생산!I222</f>
        <v>0</v>
      </c>
      <c r="AB225" s="11">
        <f>[18]생산!J222</f>
        <v>0</v>
      </c>
      <c r="AC225" s="48">
        <f>ROUNDDOWN('[20]2025년'!G221/1000,1)</f>
        <v>0</v>
      </c>
    </row>
    <row r="226" spans="1:29">
      <c r="A226" s="6">
        <f t="shared" si="3"/>
        <v>45878</v>
      </c>
      <c r="B226" s="9">
        <f>'[18]key-in(LO)'!Z224</f>
        <v>7364</v>
      </c>
      <c r="C226" s="9">
        <f>'[18]key-in(LO)'!AA224</f>
        <v>239069</v>
      </c>
      <c r="D226" s="9">
        <f>'[18]key-in(LO)'!AB224</f>
        <v>232996</v>
      </c>
      <c r="E226" s="9">
        <f>'[18]key-in(LO)'!AC224</f>
        <v>15606</v>
      </c>
      <c r="F226" s="9">
        <f>'[18]key-in(LO)'!AD224</f>
        <v>13010.67</v>
      </c>
      <c r="G226" s="9">
        <f>'[18]key-in(LO)'!AE224</f>
        <v>3900.6</v>
      </c>
      <c r="H226" s="9">
        <f>'[18]key-in(LO)'!AF224</f>
        <v>18768</v>
      </c>
      <c r="I226" s="9">
        <f>'[18]key-in(LO)'!AG224</f>
        <v>281463</v>
      </c>
      <c r="J226" s="10">
        <f>'[18]key-in(DCO)'!AN224</f>
        <v>33.56</v>
      </c>
      <c r="K226" s="10">
        <f>'[18]key-in(DCO)'!AO224</f>
        <v>33</v>
      </c>
      <c r="L226" s="9">
        <f>'[18]key-in(DCO)'!AR224</f>
        <v>8199</v>
      </c>
      <c r="M226" s="10">
        <f>[18]생산!AV223</f>
        <v>0</v>
      </c>
      <c r="N226" s="10">
        <f>[18]생산!AW223</f>
        <v>0</v>
      </c>
      <c r="O226" s="10">
        <f>[18]생산!AX223</f>
        <v>0</v>
      </c>
      <c r="P226" s="10">
        <f>[18]생산!AY223</f>
        <v>0</v>
      </c>
      <c r="Q226" s="10">
        <f>[19]생산!BE223</f>
        <v>0</v>
      </c>
      <c r="R226" s="10">
        <f>[18]생산!BA223</f>
        <v>0</v>
      </c>
      <c r="S226" s="9">
        <f>[18]운전시간외!C223</f>
        <v>0</v>
      </c>
      <c r="T226" s="9">
        <f>[18]운전시간외!D223</f>
        <v>0</v>
      </c>
      <c r="U226" s="9">
        <f>[18]운전시간외!E223</f>
        <v>0</v>
      </c>
      <c r="V226" s="9">
        <f>[18]운전시간외!F223</f>
        <v>0</v>
      </c>
      <c r="W226" s="11">
        <f>[18]생산!E223</f>
        <v>0</v>
      </c>
      <c r="X226" s="11">
        <f>[18]생산!F223</f>
        <v>0</v>
      </c>
      <c r="Y226" s="11">
        <f>[18]생산!G223</f>
        <v>0</v>
      </c>
      <c r="Z226" s="11">
        <f>[18]생산!H223</f>
        <v>0</v>
      </c>
      <c r="AA226" s="11">
        <f>[18]생산!I223</f>
        <v>0</v>
      </c>
      <c r="AB226" s="11">
        <f>[18]생산!J223</f>
        <v>0</v>
      </c>
      <c r="AC226" s="48">
        <f>ROUNDDOWN('[20]2025년'!G222/1000,1)</f>
        <v>0</v>
      </c>
    </row>
    <row r="227" spans="1:29">
      <c r="A227" s="6">
        <f t="shared" si="3"/>
        <v>45879</v>
      </c>
      <c r="B227" s="9">
        <f>'[18]key-in(LO)'!Z225</f>
        <v>7383</v>
      </c>
      <c r="C227" s="9">
        <f>'[18]key-in(LO)'!AA225</f>
        <v>239069</v>
      </c>
      <c r="D227" s="9">
        <f>'[18]key-in(LO)'!AB225</f>
        <v>233043</v>
      </c>
      <c r="E227" s="9">
        <f>'[18]key-in(LO)'!AC225</f>
        <v>15620.29</v>
      </c>
      <c r="F227" s="9">
        <f>'[18]key-in(LO)'!AD225</f>
        <v>13010.75</v>
      </c>
      <c r="G227" s="9">
        <f>'[18]key-in(LO)'!AE225</f>
        <v>3900.9</v>
      </c>
      <c r="H227" s="9">
        <f>'[18]key-in(LO)'!AF225</f>
        <v>18768</v>
      </c>
      <c r="I227" s="9">
        <f>'[18]key-in(LO)'!AG225</f>
        <v>281533</v>
      </c>
      <c r="J227" s="10">
        <f>'[18]key-in(DCO)'!AN225</f>
        <v>33.229999999999997</v>
      </c>
      <c r="K227" s="10">
        <f>'[18]key-in(DCO)'!AO225</f>
        <v>32.89</v>
      </c>
      <c r="L227" s="9">
        <f>'[18]key-in(DCO)'!AR225</f>
        <v>7687</v>
      </c>
      <c r="M227" s="10">
        <f>[18]생산!AV224</f>
        <v>0</v>
      </c>
      <c r="N227" s="10">
        <f>[18]생산!AW224</f>
        <v>0</v>
      </c>
      <c r="O227" s="10">
        <f>[18]생산!AX224</f>
        <v>0</v>
      </c>
      <c r="P227" s="10">
        <f>[18]생산!AY224</f>
        <v>0</v>
      </c>
      <c r="Q227" s="10">
        <f>[19]생산!BE224</f>
        <v>0</v>
      </c>
      <c r="R227" s="10">
        <f>[18]생산!BA224</f>
        <v>0</v>
      </c>
      <c r="S227" s="9">
        <f>[18]운전시간외!C224</f>
        <v>0</v>
      </c>
      <c r="T227" s="9">
        <f>[18]운전시간외!D224</f>
        <v>0</v>
      </c>
      <c r="U227" s="9">
        <f>[18]운전시간외!E224</f>
        <v>0</v>
      </c>
      <c r="V227" s="9">
        <f>[18]운전시간외!F224</f>
        <v>0</v>
      </c>
      <c r="W227" s="11">
        <f>[18]생산!E224</f>
        <v>0</v>
      </c>
      <c r="X227" s="11">
        <f>[18]생산!F224</f>
        <v>0</v>
      </c>
      <c r="Y227" s="11">
        <f>[18]생산!G224</f>
        <v>0</v>
      </c>
      <c r="Z227" s="11">
        <f>[18]생산!H224</f>
        <v>0</v>
      </c>
      <c r="AA227" s="11">
        <f>[18]생산!I224</f>
        <v>0</v>
      </c>
      <c r="AB227" s="11">
        <f>[18]생산!J224</f>
        <v>0</v>
      </c>
      <c r="AC227" s="48">
        <f>ROUNDDOWN('[20]2025년'!G223/1000,1)</f>
        <v>0</v>
      </c>
    </row>
    <row r="228" spans="1:29">
      <c r="A228" s="6">
        <f t="shared" si="3"/>
        <v>45880</v>
      </c>
      <c r="B228" s="9">
        <f>'[18]key-in(LO)'!Z226</f>
        <v>7417</v>
      </c>
      <c r="C228" s="9">
        <f>'[18]key-in(LO)'!AA226</f>
        <v>239069</v>
      </c>
      <c r="D228" s="9">
        <f>'[18]key-in(LO)'!AB226</f>
        <v>233138</v>
      </c>
      <c r="E228" s="9">
        <f>'[18]key-in(LO)'!AC226</f>
        <v>15637.21</v>
      </c>
      <c r="F228" s="9">
        <f>'[18]key-in(LO)'!AD226</f>
        <v>13010.76</v>
      </c>
      <c r="G228" s="9">
        <f>'[18]key-in(LO)'!AE226</f>
        <v>3901.4</v>
      </c>
      <c r="H228" s="9">
        <f>'[18]key-in(LO)'!AF226</f>
        <v>18812</v>
      </c>
      <c r="I228" s="9">
        <f>'[18]key-in(LO)'!AG226</f>
        <v>281650</v>
      </c>
      <c r="J228" s="10">
        <f>'[18]key-in(DCO)'!AN226</f>
        <v>33.119999999999997</v>
      </c>
      <c r="K228" s="10">
        <f>'[18]key-in(DCO)'!AO226</f>
        <v>32.78</v>
      </c>
      <c r="L228" s="9">
        <f>'[18]key-in(DCO)'!AR226</f>
        <v>8185</v>
      </c>
      <c r="M228" s="10">
        <f>[18]생산!AV225</f>
        <v>0</v>
      </c>
      <c r="N228" s="10">
        <f>[18]생산!AW225</f>
        <v>0</v>
      </c>
      <c r="O228" s="10">
        <f>[18]생산!AX225</f>
        <v>0</v>
      </c>
      <c r="P228" s="10">
        <f>[18]생산!AY225</f>
        <v>0</v>
      </c>
      <c r="Q228" s="10">
        <f>[19]생산!BE225</f>
        <v>0</v>
      </c>
      <c r="R228" s="10">
        <f>[18]생산!BA225</f>
        <v>0</v>
      </c>
      <c r="S228" s="9">
        <f>[18]운전시간외!C225</f>
        <v>0</v>
      </c>
      <c r="T228" s="9">
        <f>[18]운전시간외!D225</f>
        <v>0</v>
      </c>
      <c r="U228" s="9">
        <f>[18]운전시간외!E225</f>
        <v>0</v>
      </c>
      <c r="V228" s="9">
        <f>[18]운전시간외!F225</f>
        <v>0</v>
      </c>
      <c r="W228" s="11">
        <f>[18]생산!E225</f>
        <v>0</v>
      </c>
      <c r="X228" s="11">
        <f>[18]생산!F225</f>
        <v>0</v>
      </c>
      <c r="Y228" s="11">
        <f>[18]생산!G225</f>
        <v>0</v>
      </c>
      <c r="Z228" s="11">
        <f>[18]생산!H225</f>
        <v>0</v>
      </c>
      <c r="AA228" s="11">
        <f>[18]생산!I225</f>
        <v>0</v>
      </c>
      <c r="AB228" s="11">
        <f>[18]생산!J225</f>
        <v>0</v>
      </c>
      <c r="AC228" s="48">
        <f>ROUNDDOWN('[20]2025년'!G224/1000,1)</f>
        <v>0</v>
      </c>
    </row>
    <row r="229" spans="1:29">
      <c r="A229" s="6">
        <f t="shared" si="3"/>
        <v>45881</v>
      </c>
      <c r="B229" s="9">
        <f>'[18]key-in(LO)'!Z227</f>
        <v>7448</v>
      </c>
      <c r="C229" s="9">
        <f>'[18]key-in(LO)'!AA227</f>
        <v>239145</v>
      </c>
      <c r="D229" s="9">
        <f>'[18]key-in(LO)'!AB227</f>
        <v>233186</v>
      </c>
      <c r="E229" s="9">
        <f>'[18]key-in(LO)'!AC227</f>
        <v>15654.93</v>
      </c>
      <c r="F229" s="9">
        <f>'[18]key-in(LO)'!AD227</f>
        <v>13013.82</v>
      </c>
      <c r="G229" s="9">
        <f>'[18]key-in(LO)'!AE227</f>
        <v>3901.9</v>
      </c>
      <c r="H229" s="9">
        <f>'[18]key-in(LO)'!AF227</f>
        <v>18858</v>
      </c>
      <c r="I229" s="9">
        <f>'[18]key-in(LO)'!AG227</f>
        <v>281851</v>
      </c>
      <c r="J229" s="10">
        <f>'[18]key-in(DCO)'!AN227</f>
        <v>33.18</v>
      </c>
      <c r="K229" s="10">
        <f>'[18]key-in(DCO)'!AO227</f>
        <v>32.64</v>
      </c>
      <c r="L229" s="9">
        <f>'[18]key-in(DCO)'!AR227</f>
        <v>8511</v>
      </c>
      <c r="M229" s="10">
        <f>[18]생산!AV226</f>
        <v>0</v>
      </c>
      <c r="N229" s="10">
        <f>[18]생산!AW226</f>
        <v>0</v>
      </c>
      <c r="O229" s="10">
        <f>[18]생산!AX226</f>
        <v>0</v>
      </c>
      <c r="P229" s="10">
        <f>[18]생산!AY226</f>
        <v>0</v>
      </c>
      <c r="Q229" s="10">
        <f>[19]생산!BE226</f>
        <v>0</v>
      </c>
      <c r="R229" s="10">
        <f>[18]생산!BA226</f>
        <v>0</v>
      </c>
      <c r="S229" s="9">
        <f>[18]운전시간외!C226</f>
        <v>0</v>
      </c>
      <c r="T229" s="9">
        <f>[18]운전시간외!D226</f>
        <v>0</v>
      </c>
      <c r="U229" s="9">
        <f>[18]운전시간외!E226</f>
        <v>0</v>
      </c>
      <c r="V229" s="9">
        <f>[18]운전시간외!F226</f>
        <v>0</v>
      </c>
      <c r="W229" s="11">
        <f>[18]생산!E226</f>
        <v>0</v>
      </c>
      <c r="X229" s="11">
        <f>[18]생산!F226</f>
        <v>0</v>
      </c>
      <c r="Y229" s="11">
        <f>[18]생산!G226</f>
        <v>0</v>
      </c>
      <c r="Z229" s="11">
        <f>[18]생산!H226</f>
        <v>0</v>
      </c>
      <c r="AA229" s="11">
        <f>[18]생산!I226</f>
        <v>0</v>
      </c>
      <c r="AB229" s="11">
        <f>[18]생산!J226</f>
        <v>0</v>
      </c>
      <c r="AC229" s="48">
        <f>ROUNDDOWN('[20]2025년'!G225/1000,1)</f>
        <v>0</v>
      </c>
    </row>
    <row r="230" spans="1:29">
      <c r="A230" s="6">
        <f t="shared" si="3"/>
        <v>45882</v>
      </c>
      <c r="B230" s="9">
        <f>'[18]key-in(LO)'!Z228</f>
        <v>7480</v>
      </c>
      <c r="C230" s="9">
        <f>'[18]key-in(LO)'!AA228</f>
        <v>239212</v>
      </c>
      <c r="D230" s="9">
        <f>'[18]key-in(LO)'!AB228</f>
        <v>233186</v>
      </c>
      <c r="E230" s="9">
        <f>'[18]key-in(LO)'!AC228</f>
        <v>15668.35</v>
      </c>
      <c r="F230" s="9">
        <f>'[18]key-in(LO)'!AD228</f>
        <v>13013.82</v>
      </c>
      <c r="G230" s="9">
        <f>'[18]key-in(LO)'!AE228</f>
        <v>3902.3</v>
      </c>
      <c r="H230" s="9">
        <f>'[18]key-in(LO)'!AF228</f>
        <v>18858</v>
      </c>
      <c r="I230" s="9">
        <f>'[18]key-in(LO)'!AG228</f>
        <v>281922</v>
      </c>
      <c r="J230" s="10">
        <f>'[18]key-in(DCO)'!AN228</f>
        <v>33.18</v>
      </c>
      <c r="K230" s="10">
        <f>'[18]key-in(DCO)'!AO228</f>
        <v>32.53</v>
      </c>
      <c r="L230" s="9">
        <f>'[18]key-in(DCO)'!AR228</f>
        <v>7752</v>
      </c>
      <c r="M230" s="10">
        <f>[18]생산!AV227</f>
        <v>0</v>
      </c>
      <c r="N230" s="10">
        <f>[18]생산!AW227</f>
        <v>0</v>
      </c>
      <c r="O230" s="10">
        <f>[18]생산!AX227</f>
        <v>0</v>
      </c>
      <c r="P230" s="10">
        <f>[18]생산!AY227</f>
        <v>0</v>
      </c>
      <c r="Q230" s="10">
        <f>[19]생산!BE227</f>
        <v>0</v>
      </c>
      <c r="R230" s="10">
        <f>[18]생산!BA227</f>
        <v>0</v>
      </c>
      <c r="S230" s="9">
        <f>[18]운전시간외!C227</f>
        <v>0</v>
      </c>
      <c r="T230" s="9">
        <f>[18]운전시간외!D227</f>
        <v>0</v>
      </c>
      <c r="U230" s="9">
        <f>[18]운전시간외!E227</f>
        <v>0</v>
      </c>
      <c r="V230" s="9">
        <f>[18]운전시간외!F227</f>
        <v>0</v>
      </c>
      <c r="W230" s="11">
        <f>[18]생산!E227</f>
        <v>0</v>
      </c>
      <c r="X230" s="11">
        <f>[18]생산!F227</f>
        <v>0</v>
      </c>
      <c r="Y230" s="11">
        <f>[18]생산!G227</f>
        <v>0</v>
      </c>
      <c r="Z230" s="11">
        <f>[18]생산!H227</f>
        <v>0</v>
      </c>
      <c r="AA230" s="11">
        <f>[18]생산!I227</f>
        <v>0</v>
      </c>
      <c r="AB230" s="11">
        <f>[18]생산!J227</f>
        <v>0</v>
      </c>
      <c r="AC230" s="48">
        <f>ROUNDDOWN('[20]2025년'!G226/1000,1)</f>
        <v>0</v>
      </c>
    </row>
    <row r="231" spans="1:29">
      <c r="A231" s="6">
        <f t="shared" si="3"/>
        <v>45883</v>
      </c>
      <c r="B231" s="9">
        <f>'[18]key-in(LO)'!Z229</f>
        <v>7511</v>
      </c>
      <c r="C231" s="9">
        <f>'[18]key-in(LO)'!AA229</f>
        <v>239249</v>
      </c>
      <c r="D231" s="9">
        <f>'[18]key-in(LO)'!AB229</f>
        <v>233273</v>
      </c>
      <c r="E231" s="9">
        <f>'[18]key-in(LO)'!AC229</f>
        <v>15682.62</v>
      </c>
      <c r="F231" s="9">
        <f>'[18]key-in(LO)'!AD229</f>
        <v>13013.82</v>
      </c>
      <c r="G231" s="9">
        <f>'[18]key-in(LO)'!AE229</f>
        <v>3902.9</v>
      </c>
      <c r="H231" s="9">
        <f>'[18]key-in(LO)'!AF229</f>
        <v>18932</v>
      </c>
      <c r="I231" s="9">
        <f>'[18]key-in(LO)'!AG229</f>
        <v>282085</v>
      </c>
      <c r="J231" s="10">
        <f>'[18]key-in(DCO)'!AN229</f>
        <v>33.06</v>
      </c>
      <c r="K231" s="10">
        <f>'[18]key-in(DCO)'!AO229</f>
        <v>32.39</v>
      </c>
      <c r="L231" s="9">
        <f>'[18]key-in(DCO)'!AR229</f>
        <v>8230</v>
      </c>
      <c r="M231" s="10">
        <f>[18]생산!AV228</f>
        <v>0</v>
      </c>
      <c r="N231" s="10">
        <f>[18]생산!AW228</f>
        <v>0</v>
      </c>
      <c r="O231" s="10">
        <f>[18]생산!AX228</f>
        <v>0</v>
      </c>
      <c r="P231" s="10">
        <f>[18]생산!AY228</f>
        <v>0</v>
      </c>
      <c r="Q231" s="10">
        <f>[19]생산!BE228</f>
        <v>0</v>
      </c>
      <c r="R231" s="10">
        <f>[18]생산!BA228</f>
        <v>0</v>
      </c>
      <c r="S231" s="9">
        <f>[18]운전시간외!C228</f>
        <v>0</v>
      </c>
      <c r="T231" s="9">
        <f>[18]운전시간외!D228</f>
        <v>0</v>
      </c>
      <c r="U231" s="9">
        <f>[18]운전시간외!E228</f>
        <v>0</v>
      </c>
      <c r="V231" s="9">
        <f>[18]운전시간외!F228</f>
        <v>0</v>
      </c>
      <c r="W231" s="11">
        <f>[18]생산!E228</f>
        <v>0</v>
      </c>
      <c r="X231" s="11">
        <f>[18]생산!F228</f>
        <v>0</v>
      </c>
      <c r="Y231" s="11">
        <f>[18]생산!G228</f>
        <v>0</v>
      </c>
      <c r="Z231" s="11">
        <f>[18]생산!H228</f>
        <v>0</v>
      </c>
      <c r="AA231" s="11">
        <f>[18]생산!I228</f>
        <v>0</v>
      </c>
      <c r="AB231" s="11">
        <f>[18]생산!J228</f>
        <v>0</v>
      </c>
      <c r="AC231" s="48">
        <f>ROUNDDOWN('[20]2025년'!G227/1000,1)</f>
        <v>0</v>
      </c>
    </row>
    <row r="232" spans="1:29">
      <c r="A232" s="6">
        <f t="shared" si="3"/>
        <v>45884</v>
      </c>
      <c r="B232" s="9">
        <f>'[18]key-in(LO)'!Z230</f>
        <v>7542</v>
      </c>
      <c r="C232" s="9">
        <f>'[18]key-in(LO)'!AA230</f>
        <v>239275</v>
      </c>
      <c r="D232" s="9">
        <f>'[18]key-in(LO)'!AB230</f>
        <v>233338</v>
      </c>
      <c r="E232" s="9">
        <f>'[18]key-in(LO)'!AC230</f>
        <v>15694.77</v>
      </c>
      <c r="F232" s="9">
        <f>'[18]key-in(LO)'!AD230</f>
        <v>13013.82</v>
      </c>
      <c r="G232" s="9">
        <f>'[18]key-in(LO)'!AE230</f>
        <v>3903.2</v>
      </c>
      <c r="H232" s="9">
        <f>'[18]key-in(LO)'!AF230</f>
        <v>18935</v>
      </c>
      <c r="I232" s="9">
        <f>'[18]key-in(LO)'!AG230</f>
        <v>282182</v>
      </c>
      <c r="J232" s="10">
        <f>'[18]key-in(DCO)'!AN230</f>
        <v>32.909999999999997</v>
      </c>
      <c r="K232" s="10">
        <f>'[18]key-in(DCO)'!AO230</f>
        <v>32.31</v>
      </c>
      <c r="L232" s="9">
        <f>'[18]key-in(DCO)'!AR230</f>
        <v>8524</v>
      </c>
      <c r="M232" s="10">
        <f>[18]생산!AV229</f>
        <v>0</v>
      </c>
      <c r="N232" s="10">
        <f>[18]생산!AW229</f>
        <v>0</v>
      </c>
      <c r="O232" s="10">
        <f>[18]생산!AX229</f>
        <v>0</v>
      </c>
      <c r="P232" s="10">
        <f>[18]생산!AY229</f>
        <v>0</v>
      </c>
      <c r="Q232" s="10">
        <f>[19]생산!BE229</f>
        <v>0</v>
      </c>
      <c r="R232" s="10">
        <f>[18]생산!BA229</f>
        <v>0</v>
      </c>
      <c r="S232" s="9">
        <f>[18]운전시간외!C229</f>
        <v>0</v>
      </c>
      <c r="T232" s="9">
        <f>[18]운전시간외!D229</f>
        <v>0</v>
      </c>
      <c r="U232" s="9">
        <f>[18]운전시간외!E229</f>
        <v>0</v>
      </c>
      <c r="V232" s="9">
        <f>[18]운전시간외!F229</f>
        <v>0</v>
      </c>
      <c r="W232" s="11">
        <f>[18]생산!E229</f>
        <v>0</v>
      </c>
      <c r="X232" s="11">
        <f>[18]생산!F229</f>
        <v>0</v>
      </c>
      <c r="Y232" s="11">
        <f>[18]생산!G229</f>
        <v>0</v>
      </c>
      <c r="Z232" s="11">
        <f>[18]생산!H229</f>
        <v>0</v>
      </c>
      <c r="AA232" s="11">
        <f>[18]생산!I229</f>
        <v>0</v>
      </c>
      <c r="AB232" s="11">
        <f>[18]생산!J229</f>
        <v>0</v>
      </c>
      <c r="AC232" s="48">
        <f>ROUNDDOWN('[20]2025년'!G228/1000,1)</f>
        <v>0</v>
      </c>
    </row>
    <row r="233" spans="1:29">
      <c r="A233" s="6">
        <f t="shared" si="3"/>
        <v>45885</v>
      </c>
      <c r="B233" s="9">
        <f>'[18]key-in(LO)'!Z231</f>
        <v>7573</v>
      </c>
      <c r="C233" s="9">
        <f>'[18]key-in(LO)'!AA231</f>
        <v>239342</v>
      </c>
      <c r="D233" s="9">
        <f>'[18]key-in(LO)'!AB231</f>
        <v>233338</v>
      </c>
      <c r="E233" s="9">
        <f>'[18]key-in(LO)'!AC231</f>
        <v>15708.17</v>
      </c>
      <c r="F233" s="9">
        <f>'[18]key-in(LO)'!AD231</f>
        <v>13014.57</v>
      </c>
      <c r="G233" s="9">
        <f>'[18]key-in(LO)'!AE231</f>
        <v>3903.5</v>
      </c>
      <c r="H233" s="9">
        <f>'[18]key-in(LO)'!AF231</f>
        <v>18935</v>
      </c>
      <c r="I233" s="9">
        <f>'[18]key-in(LO)'!AG231</f>
        <v>282265</v>
      </c>
      <c r="J233" s="10">
        <f>'[18]key-in(DCO)'!AN231</f>
        <v>32.57</v>
      </c>
      <c r="K233" s="10">
        <f>'[18]key-in(DCO)'!AO231</f>
        <v>32.159999999999997</v>
      </c>
      <c r="L233" s="9">
        <f>'[18]key-in(DCO)'!AR231</f>
        <v>7698</v>
      </c>
      <c r="M233" s="10">
        <f>[18]생산!AV230</f>
        <v>0</v>
      </c>
      <c r="N233" s="10">
        <f>[18]생산!AW230</f>
        <v>0</v>
      </c>
      <c r="O233" s="10">
        <f>[18]생산!AX230</f>
        <v>0</v>
      </c>
      <c r="P233" s="10">
        <f>[18]생산!AY230</f>
        <v>0</v>
      </c>
      <c r="Q233" s="10">
        <f>[19]생산!BE230</f>
        <v>0</v>
      </c>
      <c r="R233" s="10">
        <f>[18]생산!BA230</f>
        <v>0</v>
      </c>
      <c r="S233" s="9">
        <f>[18]운전시간외!C230</f>
        <v>0</v>
      </c>
      <c r="T233" s="9">
        <f>[18]운전시간외!D230</f>
        <v>0</v>
      </c>
      <c r="U233" s="9">
        <f>[18]운전시간외!E230</f>
        <v>0</v>
      </c>
      <c r="V233" s="9">
        <f>[18]운전시간외!F230</f>
        <v>0</v>
      </c>
      <c r="W233" s="11">
        <f>[18]생산!E230</f>
        <v>0</v>
      </c>
      <c r="X233" s="11">
        <f>[18]생산!F230</f>
        <v>0</v>
      </c>
      <c r="Y233" s="11">
        <f>[18]생산!G230</f>
        <v>0</v>
      </c>
      <c r="Z233" s="11">
        <f>[18]생산!H230</f>
        <v>0</v>
      </c>
      <c r="AA233" s="11">
        <f>[18]생산!I230</f>
        <v>0</v>
      </c>
      <c r="AB233" s="11">
        <f>[18]생산!J230</f>
        <v>0</v>
      </c>
      <c r="AC233" s="48">
        <f>ROUNDDOWN('[20]2025년'!G229/1000,1)</f>
        <v>0</v>
      </c>
    </row>
    <row r="234" spans="1:29">
      <c r="A234" s="6">
        <f t="shared" si="3"/>
        <v>45886</v>
      </c>
      <c r="B234" s="9">
        <f>'[18]key-in(LO)'!Z232</f>
        <v>7573</v>
      </c>
      <c r="C234" s="9">
        <f>'[18]key-in(LO)'!AA232</f>
        <v>239388</v>
      </c>
      <c r="D234" s="9">
        <f>'[18]key-in(LO)'!AB232</f>
        <v>233338</v>
      </c>
      <c r="E234" s="9">
        <f>'[18]key-in(LO)'!AC232</f>
        <v>15720.72</v>
      </c>
      <c r="F234" s="9">
        <f>'[18]key-in(LO)'!AD232</f>
        <v>13015.62</v>
      </c>
      <c r="G234" s="9">
        <f>'[18]key-in(LO)'!AE232</f>
        <v>3903.9</v>
      </c>
      <c r="H234" s="9">
        <f>'[18]key-in(LO)'!AF232</f>
        <v>18966</v>
      </c>
      <c r="I234" s="9">
        <f>'[18]key-in(LO)'!AG232</f>
        <v>282333</v>
      </c>
      <c r="J234" s="10">
        <f>'[18]key-in(DCO)'!AN232</f>
        <v>32.29</v>
      </c>
      <c r="K234" s="10">
        <f>'[18]key-in(DCO)'!AO232</f>
        <v>32.03</v>
      </c>
      <c r="L234" s="9">
        <f>'[18]key-in(DCO)'!AR232</f>
        <v>6959</v>
      </c>
      <c r="M234" s="10">
        <f>[18]생산!AV231</f>
        <v>0</v>
      </c>
      <c r="N234" s="10">
        <f>[18]생산!AW231</f>
        <v>0</v>
      </c>
      <c r="O234" s="10">
        <f>[18]생산!AX231</f>
        <v>0</v>
      </c>
      <c r="P234" s="10">
        <f>[18]생산!AY231</f>
        <v>0</v>
      </c>
      <c r="Q234" s="10">
        <f>[19]생산!BE231</f>
        <v>0</v>
      </c>
      <c r="R234" s="10">
        <f>[18]생산!BA231</f>
        <v>0</v>
      </c>
      <c r="S234" s="9">
        <f>[18]운전시간외!C231</f>
        <v>0</v>
      </c>
      <c r="T234" s="9">
        <f>[18]운전시간외!D231</f>
        <v>0</v>
      </c>
      <c r="U234" s="9">
        <f>[18]운전시간외!E231</f>
        <v>0</v>
      </c>
      <c r="V234" s="9">
        <f>[18]운전시간외!F231</f>
        <v>0</v>
      </c>
      <c r="W234" s="11">
        <f>[18]생산!E231</f>
        <v>0</v>
      </c>
      <c r="X234" s="11">
        <f>[18]생산!F231</f>
        <v>0</v>
      </c>
      <c r="Y234" s="11">
        <f>[18]생산!G231</f>
        <v>0</v>
      </c>
      <c r="Z234" s="11">
        <f>[18]생산!H231</f>
        <v>0</v>
      </c>
      <c r="AA234" s="11">
        <f>[18]생산!I231</f>
        <v>0</v>
      </c>
      <c r="AB234" s="11">
        <f>[18]생산!J231</f>
        <v>0</v>
      </c>
      <c r="AC234" s="48">
        <f>ROUNDDOWN('[20]2025년'!G230/1000,1)</f>
        <v>0</v>
      </c>
    </row>
    <row r="235" spans="1:29">
      <c r="A235" s="6">
        <f t="shared" si="3"/>
        <v>45887</v>
      </c>
      <c r="B235" s="9">
        <f>'[18]key-in(LO)'!Z233</f>
        <v>7595</v>
      </c>
      <c r="C235" s="9">
        <f>'[18]key-in(LO)'!AA233</f>
        <v>239405</v>
      </c>
      <c r="D235" s="9">
        <f>'[18]key-in(LO)'!AB233</f>
        <v>233338</v>
      </c>
      <c r="E235" s="9">
        <f>'[18]key-in(LO)'!AC233</f>
        <v>15736.74</v>
      </c>
      <c r="F235" s="9">
        <f>'[18]key-in(LO)'!AD233</f>
        <v>13024.53</v>
      </c>
      <c r="G235" s="9">
        <f>'[18]key-in(LO)'!AE233</f>
        <v>3904.5</v>
      </c>
      <c r="H235" s="9">
        <f>'[18]key-in(LO)'!AF233</f>
        <v>19003</v>
      </c>
      <c r="I235" s="9">
        <f>'[18]key-in(LO)'!AG233</f>
        <v>282406</v>
      </c>
      <c r="J235" s="10">
        <f>'[18]key-in(DCO)'!AN233</f>
        <v>32.1</v>
      </c>
      <c r="K235" s="10">
        <f>'[18]key-in(DCO)'!AO233</f>
        <v>31.79</v>
      </c>
      <c r="L235" s="9">
        <f>'[18]key-in(DCO)'!AR233</f>
        <v>5055</v>
      </c>
      <c r="M235" s="10">
        <f>[18]생산!AV232</f>
        <v>18765.69999999553</v>
      </c>
      <c r="N235" s="10">
        <f>[18]생산!AW232</f>
        <v>0</v>
      </c>
      <c r="O235" s="10">
        <f>[18]생산!AX232</f>
        <v>0</v>
      </c>
      <c r="P235" s="10">
        <f>[18]생산!AY232</f>
        <v>0</v>
      </c>
      <c r="Q235" s="10">
        <f>[19]생산!BE232</f>
        <v>0</v>
      </c>
      <c r="R235" s="10">
        <f>[18]생산!BA232</f>
        <v>0</v>
      </c>
      <c r="S235" s="9">
        <f>[18]운전시간외!C232</f>
        <v>10</v>
      </c>
      <c r="T235" s="9">
        <f>[18]운전시간외!D232</f>
        <v>0</v>
      </c>
      <c r="U235" s="9">
        <f>[18]운전시간외!E232</f>
        <v>0</v>
      </c>
      <c r="V235" s="9">
        <f>[18]운전시간외!F232</f>
        <v>0</v>
      </c>
      <c r="W235" s="11">
        <f>[18]생산!E232</f>
        <v>99</v>
      </c>
      <c r="X235" s="11">
        <f>[18]생산!F232</f>
        <v>0</v>
      </c>
      <c r="Y235" s="11">
        <f>[18]생산!G232</f>
        <v>0</v>
      </c>
      <c r="Z235" s="11">
        <f>[18]생산!H232</f>
        <v>0</v>
      </c>
      <c r="AA235" s="11">
        <f>[18]생산!I232</f>
        <v>0</v>
      </c>
      <c r="AB235" s="11">
        <f>[18]생산!J232</f>
        <v>99</v>
      </c>
      <c r="AC235" s="48">
        <f>ROUNDDOWN('[20]2025년'!G231/1000,1)</f>
        <v>3.1</v>
      </c>
    </row>
    <row r="236" spans="1:29">
      <c r="A236" s="6">
        <f t="shared" si="3"/>
        <v>45888</v>
      </c>
      <c r="B236" s="9">
        <f>'[18]key-in(LO)'!Z234</f>
        <v>7600</v>
      </c>
      <c r="C236" s="9">
        <f>'[18]key-in(LO)'!AA234</f>
        <v>239537</v>
      </c>
      <c r="D236" s="9">
        <f>'[18]key-in(LO)'!AB234</f>
        <v>233338</v>
      </c>
      <c r="E236" s="9">
        <f>'[18]key-in(LO)'!AC234</f>
        <v>15753.13</v>
      </c>
      <c r="F236" s="9">
        <f>'[18]key-in(LO)'!AD234</f>
        <v>13034.89</v>
      </c>
      <c r="G236" s="9">
        <f>'[18]key-in(LO)'!AE234</f>
        <v>3905.3</v>
      </c>
      <c r="H236" s="9">
        <f>'[18]key-in(LO)'!AF234</f>
        <v>19129</v>
      </c>
      <c r="I236" s="9">
        <f>'[18]key-in(LO)'!AG234</f>
        <v>282611</v>
      </c>
      <c r="J236" s="10">
        <f>'[18]key-in(DCO)'!AN234</f>
        <v>31.92</v>
      </c>
      <c r="K236" s="10">
        <f>'[18]key-in(DCO)'!AO234</f>
        <v>31.59</v>
      </c>
      <c r="L236" s="9">
        <f>'[18]key-in(DCO)'!AR234</f>
        <v>8232</v>
      </c>
      <c r="M236" s="10">
        <f>[18]생산!AV233</f>
        <v>15166.10000000149</v>
      </c>
      <c r="N236" s="10">
        <f>[18]생산!AW233</f>
        <v>0</v>
      </c>
      <c r="O236" s="10">
        <f>[18]생산!AX233</f>
        <v>0</v>
      </c>
      <c r="P236" s="10">
        <f>[18]생산!AY233</f>
        <v>0</v>
      </c>
      <c r="Q236" s="10">
        <f>[19]생산!BE233</f>
        <v>0</v>
      </c>
      <c r="R236" s="10">
        <f>[18]생산!BA233</f>
        <v>0</v>
      </c>
      <c r="S236" s="9">
        <f>[18]운전시간외!C233</f>
        <v>6</v>
      </c>
      <c r="T236" s="9">
        <f>[18]운전시간외!D233</f>
        <v>0</v>
      </c>
      <c r="U236" s="9">
        <f>[18]운전시간외!E233</f>
        <v>0</v>
      </c>
      <c r="V236" s="9">
        <f>[18]운전시간외!F233</f>
        <v>0</v>
      </c>
      <c r="W236" s="11">
        <f>[18]생산!E233</f>
        <v>97</v>
      </c>
      <c r="X236" s="11">
        <f>[18]생산!F233</f>
        <v>0</v>
      </c>
      <c r="Y236" s="11">
        <f>[18]생산!G233</f>
        <v>0</v>
      </c>
      <c r="Z236" s="11">
        <f>[18]생산!H233</f>
        <v>0</v>
      </c>
      <c r="AA236" s="11">
        <f>[18]생산!I233</f>
        <v>0</v>
      </c>
      <c r="AB236" s="11">
        <f>[18]생산!J233</f>
        <v>97</v>
      </c>
      <c r="AC236" s="48">
        <f>ROUNDDOWN('[20]2025년'!G232/1000,1)</f>
        <v>1.5</v>
      </c>
    </row>
    <row r="237" spans="1:29">
      <c r="A237" s="6">
        <f t="shared" si="3"/>
        <v>45889</v>
      </c>
      <c r="B237" s="9">
        <f>'[18]key-in(LO)'!Z235</f>
        <v>7618</v>
      </c>
      <c r="C237" s="9">
        <f>'[18]key-in(LO)'!AA235</f>
        <v>239637</v>
      </c>
      <c r="D237" s="9">
        <f>'[18]key-in(LO)'!AB235</f>
        <v>233338</v>
      </c>
      <c r="E237" s="9">
        <f>'[18]key-in(LO)'!AC235</f>
        <v>15771.89</v>
      </c>
      <c r="F237" s="9">
        <f>'[18]key-in(LO)'!AD235</f>
        <v>13039.14</v>
      </c>
      <c r="G237" s="9">
        <f>'[18]key-in(LO)'!AE235</f>
        <v>3905.8</v>
      </c>
      <c r="H237" s="9">
        <f>'[18]key-in(LO)'!AF235</f>
        <v>19129</v>
      </c>
      <c r="I237" s="9">
        <f>'[18]key-in(LO)'!AG235</f>
        <v>282731</v>
      </c>
      <c r="J237" s="10">
        <f>'[18]key-in(DCO)'!AN235</f>
        <v>31.72</v>
      </c>
      <c r="K237" s="10">
        <f>'[18]key-in(DCO)'!AO235</f>
        <v>31.43</v>
      </c>
      <c r="L237" s="9">
        <f>'[18]key-in(DCO)'!AR235</f>
        <v>8536</v>
      </c>
      <c r="M237" s="10">
        <f>[18]생산!AV234</f>
        <v>0</v>
      </c>
      <c r="N237" s="10">
        <f>[18]생산!AW234</f>
        <v>0</v>
      </c>
      <c r="O237" s="10">
        <f>[18]생산!AX234</f>
        <v>0</v>
      </c>
      <c r="P237" s="10">
        <f>[18]생산!AY234</f>
        <v>0</v>
      </c>
      <c r="Q237" s="10">
        <f>[19]생산!BE234</f>
        <v>0</v>
      </c>
      <c r="R237" s="10">
        <f>[18]생산!BA234</f>
        <v>0</v>
      </c>
      <c r="S237" s="9">
        <f>[18]운전시간외!C234</f>
        <v>0</v>
      </c>
      <c r="T237" s="9">
        <f>[18]운전시간외!D234</f>
        <v>0</v>
      </c>
      <c r="U237" s="9">
        <f>[18]운전시간외!E234</f>
        <v>0</v>
      </c>
      <c r="V237" s="9">
        <f>[18]운전시간외!F234</f>
        <v>0</v>
      </c>
      <c r="W237" s="11">
        <f>[18]생산!E234</f>
        <v>0</v>
      </c>
      <c r="X237" s="11">
        <f>[18]생산!F234</f>
        <v>0</v>
      </c>
      <c r="Y237" s="11">
        <f>[18]생산!G234</f>
        <v>0</v>
      </c>
      <c r="Z237" s="11">
        <f>[18]생산!H234</f>
        <v>0</v>
      </c>
      <c r="AA237" s="11">
        <f>[18]생산!I234</f>
        <v>0</v>
      </c>
      <c r="AB237" s="11">
        <f>[18]생산!J234</f>
        <v>0</v>
      </c>
      <c r="AC237" s="48">
        <f>ROUNDDOWN('[20]2025년'!G233/1000,1)</f>
        <v>0</v>
      </c>
    </row>
    <row r="238" spans="1:29">
      <c r="A238" s="6">
        <f t="shared" si="3"/>
        <v>45890</v>
      </c>
      <c r="B238" s="9">
        <f>'[18]key-in(LO)'!Z236</f>
        <v>7636</v>
      </c>
      <c r="C238" s="9">
        <f>'[18]key-in(LO)'!AA236</f>
        <v>239637</v>
      </c>
      <c r="D238" s="9">
        <f>'[18]key-in(LO)'!AB236</f>
        <v>233501</v>
      </c>
      <c r="E238" s="9">
        <f>'[18]key-in(LO)'!AC236</f>
        <v>15806.58</v>
      </c>
      <c r="F238" s="9">
        <f>'[18]key-in(LO)'!AD236</f>
        <v>13043.34</v>
      </c>
      <c r="G238" s="9">
        <f>'[18]key-in(LO)'!AE236</f>
        <v>3906.9</v>
      </c>
      <c r="H238" s="9">
        <f>'[18]key-in(LO)'!AF236</f>
        <v>19129</v>
      </c>
      <c r="I238" s="9">
        <f>'[18]key-in(LO)'!AG236</f>
        <v>283004</v>
      </c>
      <c r="J238" s="10">
        <f>'[18]key-in(DCO)'!AN236</f>
        <v>31.91</v>
      </c>
      <c r="K238" s="10">
        <f>'[18]key-in(DCO)'!AO236</f>
        <v>31.42</v>
      </c>
      <c r="L238" s="9">
        <f>'[18]key-in(DCO)'!AR236</f>
        <v>8442</v>
      </c>
      <c r="M238" s="10">
        <f>[18]생산!AV235</f>
        <v>23492.880000002682</v>
      </c>
      <c r="N238" s="10">
        <f>[18]생산!AW235</f>
        <v>0</v>
      </c>
      <c r="O238" s="10">
        <f>[18]생산!AX235</f>
        <v>0</v>
      </c>
      <c r="P238" s="10">
        <f>[18]생산!AY235</f>
        <v>0</v>
      </c>
      <c r="Q238" s="10">
        <f>[19]생산!BE235</f>
        <v>0</v>
      </c>
      <c r="R238" s="10">
        <f>[18]생산!BA235</f>
        <v>0</v>
      </c>
      <c r="S238" s="9">
        <f>[18]운전시간외!C235</f>
        <v>11</v>
      </c>
      <c r="T238" s="9">
        <f>[18]운전시간외!D235</f>
        <v>0</v>
      </c>
      <c r="U238" s="9">
        <f>[18]운전시간외!E235</f>
        <v>0</v>
      </c>
      <c r="V238" s="9">
        <f>[18]운전시간외!F235</f>
        <v>0</v>
      </c>
      <c r="W238" s="11">
        <f>[18]생산!E235</f>
        <v>149</v>
      </c>
      <c r="X238" s="11">
        <f>[18]생산!F235</f>
        <v>0</v>
      </c>
      <c r="Y238" s="11">
        <f>[18]생산!G235</f>
        <v>0</v>
      </c>
      <c r="Z238" s="11">
        <f>[18]생산!H235</f>
        <v>0</v>
      </c>
      <c r="AA238" s="11">
        <f>[18]생산!I235</f>
        <v>0</v>
      </c>
      <c r="AB238" s="11">
        <f>[18]생산!J235</f>
        <v>149</v>
      </c>
      <c r="AC238" s="48">
        <f>ROUNDDOWN('[20]2025년'!G234/1000,1)</f>
        <v>4.9000000000000004</v>
      </c>
    </row>
    <row r="239" spans="1:29">
      <c r="A239" s="6">
        <f t="shared" si="3"/>
        <v>45891</v>
      </c>
      <c r="B239" s="9">
        <f>'[18]key-in(LO)'!Z237</f>
        <v>7663</v>
      </c>
      <c r="C239" s="9">
        <f>'[18]key-in(LO)'!AA237</f>
        <v>239807</v>
      </c>
      <c r="D239" s="9">
        <f>'[18]key-in(LO)'!AB237</f>
        <v>233501</v>
      </c>
      <c r="E239" s="9">
        <f>'[18]key-in(LO)'!AC237</f>
        <v>15828.91</v>
      </c>
      <c r="F239" s="9">
        <f>'[18]key-in(LO)'!AD237</f>
        <v>13056.19</v>
      </c>
      <c r="G239" s="9">
        <f>'[18]key-in(LO)'!AE237</f>
        <v>3907.4</v>
      </c>
      <c r="H239" s="9">
        <f>'[18]key-in(LO)'!AF237</f>
        <v>19178</v>
      </c>
      <c r="I239" s="9">
        <f>'[18]key-in(LO)'!AG237</f>
        <v>283221</v>
      </c>
      <c r="J239" s="10">
        <f>'[18]key-in(DCO)'!AN237</f>
        <v>31.97</v>
      </c>
      <c r="K239" s="10">
        <f>'[18]key-in(DCO)'!AO237</f>
        <v>31.41</v>
      </c>
      <c r="L239" s="9">
        <f>'[18]key-in(DCO)'!AR237</f>
        <v>8309</v>
      </c>
      <c r="M239" s="10">
        <f>[18]생산!AV236</f>
        <v>21211.789999999106</v>
      </c>
      <c r="N239" s="10">
        <f>[18]생산!AW236</f>
        <v>0</v>
      </c>
      <c r="O239" s="10">
        <f>[18]생산!AX236</f>
        <v>0</v>
      </c>
      <c r="P239" s="10">
        <f>[18]생산!AY236</f>
        <v>0</v>
      </c>
      <c r="Q239" s="10">
        <f>[19]생산!BE236</f>
        <v>0</v>
      </c>
      <c r="R239" s="10">
        <f>[18]생산!BA236</f>
        <v>0</v>
      </c>
      <c r="S239" s="9">
        <f>[18]운전시간외!C236</f>
        <v>8</v>
      </c>
      <c r="T239" s="9">
        <f>[18]운전시간외!D236</f>
        <v>0</v>
      </c>
      <c r="U239" s="9">
        <f>[18]운전시간외!E236</f>
        <v>0</v>
      </c>
      <c r="V239" s="9">
        <f>[18]운전시간외!F236</f>
        <v>0</v>
      </c>
      <c r="W239" s="11">
        <f>[18]생산!E236</f>
        <v>137</v>
      </c>
      <c r="X239" s="11">
        <f>[18]생산!F236</f>
        <v>0</v>
      </c>
      <c r="Y239" s="11">
        <f>[18]생산!G236</f>
        <v>0</v>
      </c>
      <c r="Z239" s="11">
        <f>[18]생산!H236</f>
        <v>0</v>
      </c>
      <c r="AA239" s="11">
        <f>[18]생산!I236</f>
        <v>0</v>
      </c>
      <c r="AB239" s="11">
        <f>[18]생산!J236</f>
        <v>137</v>
      </c>
      <c r="AC239" s="48">
        <f>ROUNDDOWN('[20]2025년'!G235/1000,1)</f>
        <v>3.3</v>
      </c>
    </row>
    <row r="240" spans="1:29">
      <c r="A240" s="6">
        <f t="shared" si="3"/>
        <v>45892</v>
      </c>
      <c r="B240" s="9">
        <f>'[18]key-in(LO)'!Z238</f>
        <v>7692</v>
      </c>
      <c r="C240" s="9">
        <f>'[18]key-in(LO)'!AA238</f>
        <v>239897</v>
      </c>
      <c r="D240" s="9">
        <f>'[18]key-in(LO)'!AB238</f>
        <v>233587</v>
      </c>
      <c r="E240" s="9">
        <f>'[18]key-in(LO)'!AC238</f>
        <v>15848.31</v>
      </c>
      <c r="F240" s="9">
        <f>'[18]key-in(LO)'!AD238</f>
        <v>13059.28</v>
      </c>
      <c r="G240" s="9">
        <f>'[18]key-in(LO)'!AE238</f>
        <v>3908.3</v>
      </c>
      <c r="H240" s="9">
        <f>'[18]key-in(LO)'!AF238</f>
        <v>19330</v>
      </c>
      <c r="I240" s="9">
        <f>'[18]key-in(LO)'!AG238</f>
        <v>283479</v>
      </c>
      <c r="J240" s="10">
        <f>'[18]key-in(DCO)'!AN238</f>
        <v>31.72</v>
      </c>
      <c r="K240" s="10">
        <f>'[18]key-in(DCO)'!AO238</f>
        <v>31.31</v>
      </c>
      <c r="L240" s="9">
        <f>'[18]key-in(DCO)'!AR238</f>
        <v>8000</v>
      </c>
      <c r="M240" s="10">
        <f>[18]생산!AV237</f>
        <v>0</v>
      </c>
      <c r="N240" s="10">
        <f>[18]생산!AW237</f>
        <v>0</v>
      </c>
      <c r="O240" s="10">
        <f>[18]생산!AX237</f>
        <v>0</v>
      </c>
      <c r="P240" s="10">
        <f>[18]생산!AY237</f>
        <v>0</v>
      </c>
      <c r="Q240" s="10">
        <f>[19]생산!BE237</f>
        <v>0</v>
      </c>
      <c r="R240" s="10">
        <f>[18]생산!BA237</f>
        <v>0</v>
      </c>
      <c r="S240" s="9">
        <f>[18]운전시간외!C237</f>
        <v>0</v>
      </c>
      <c r="T240" s="9">
        <f>[18]운전시간외!D237</f>
        <v>0</v>
      </c>
      <c r="U240" s="9">
        <f>[18]운전시간외!E237</f>
        <v>0</v>
      </c>
      <c r="V240" s="9">
        <f>[18]운전시간외!F237</f>
        <v>0</v>
      </c>
      <c r="W240" s="11">
        <f>[18]생산!E237</f>
        <v>0</v>
      </c>
      <c r="X240" s="11">
        <f>[18]생산!F237</f>
        <v>0</v>
      </c>
      <c r="Y240" s="11">
        <f>[18]생산!G237</f>
        <v>0</v>
      </c>
      <c r="Z240" s="11">
        <f>[18]생산!H237</f>
        <v>0</v>
      </c>
      <c r="AA240" s="11">
        <f>[18]생산!I237</f>
        <v>0</v>
      </c>
      <c r="AB240" s="11">
        <f>[18]생산!J237</f>
        <v>0</v>
      </c>
      <c r="AC240" s="48">
        <f>ROUNDDOWN('[20]2025년'!G236/1000,1)</f>
        <v>0</v>
      </c>
    </row>
    <row r="241" spans="1:29">
      <c r="A241" s="6">
        <f t="shared" si="3"/>
        <v>45893</v>
      </c>
      <c r="B241" s="9">
        <f>'[18]key-in(LO)'!Z239</f>
        <v>7717</v>
      </c>
      <c r="C241" s="9">
        <f>'[18]key-in(LO)'!AA239</f>
        <v>239979</v>
      </c>
      <c r="D241" s="9">
        <f>'[18]key-in(LO)'!AB239</f>
        <v>233676</v>
      </c>
      <c r="E241" s="9">
        <f>'[18]key-in(LO)'!AC239</f>
        <v>15873.21</v>
      </c>
      <c r="F241" s="9">
        <f>'[18]key-in(LO)'!AD239</f>
        <v>13063.03</v>
      </c>
      <c r="G241" s="9">
        <f>'[18]key-in(LO)'!AE239</f>
        <v>3908.9</v>
      </c>
      <c r="H241" s="9">
        <f>'[18]key-in(LO)'!AF239</f>
        <v>19418</v>
      </c>
      <c r="I241" s="9">
        <f>'[18]key-in(LO)'!AG239</f>
        <v>283688</v>
      </c>
      <c r="J241" s="10">
        <f>'[18]key-in(DCO)'!AN239</f>
        <v>31.7</v>
      </c>
      <c r="K241" s="10">
        <f>'[18]key-in(DCO)'!AO239</f>
        <v>31.36</v>
      </c>
      <c r="L241" s="9">
        <f>'[18]key-in(DCO)'!AR239</f>
        <v>7470</v>
      </c>
      <c r="M241" s="10">
        <f>[18]생산!AV238</f>
        <v>0</v>
      </c>
      <c r="N241" s="10">
        <f>[18]생산!AW238</f>
        <v>0</v>
      </c>
      <c r="O241" s="10">
        <f>[18]생산!AX238</f>
        <v>0</v>
      </c>
      <c r="P241" s="10">
        <f>[18]생산!AY238</f>
        <v>0</v>
      </c>
      <c r="Q241" s="10">
        <f>[19]생산!BE238</f>
        <v>0</v>
      </c>
      <c r="R241" s="10">
        <f>[18]생산!BA238</f>
        <v>0</v>
      </c>
      <c r="S241" s="9">
        <f>[18]운전시간외!C238</f>
        <v>0</v>
      </c>
      <c r="T241" s="9">
        <f>[18]운전시간외!D238</f>
        <v>0</v>
      </c>
      <c r="U241" s="9">
        <f>[18]운전시간외!E238</f>
        <v>0</v>
      </c>
      <c r="V241" s="9">
        <f>[18]운전시간외!F238</f>
        <v>0</v>
      </c>
      <c r="W241" s="11">
        <f>[18]생산!E238</f>
        <v>0</v>
      </c>
      <c r="X241" s="11">
        <f>[18]생산!F238</f>
        <v>0</v>
      </c>
      <c r="Y241" s="11">
        <f>[18]생산!G238</f>
        <v>0</v>
      </c>
      <c r="Z241" s="11">
        <f>[18]생산!H238</f>
        <v>0</v>
      </c>
      <c r="AA241" s="11">
        <f>[18]생산!I238</f>
        <v>0</v>
      </c>
      <c r="AB241" s="11">
        <f>[18]생산!J238</f>
        <v>0</v>
      </c>
      <c r="AC241" s="48">
        <f>ROUNDDOWN('[20]2025년'!G237/1000,1)</f>
        <v>0</v>
      </c>
    </row>
    <row r="242" spans="1:29">
      <c r="A242" s="6">
        <f t="shared" si="3"/>
        <v>45894</v>
      </c>
      <c r="B242" s="9">
        <f>'[18]key-in(LO)'!Z240</f>
        <v>7721</v>
      </c>
      <c r="C242" s="9">
        <f>'[18]key-in(LO)'!AA240</f>
        <v>240036</v>
      </c>
      <c r="D242" s="9">
        <f>'[18]key-in(LO)'!AB240</f>
        <v>233676</v>
      </c>
      <c r="E242" s="9">
        <f>'[18]key-in(LO)'!AC240</f>
        <v>15897.79</v>
      </c>
      <c r="F242" s="9">
        <f>'[18]key-in(LO)'!AD240</f>
        <v>13073.4</v>
      </c>
      <c r="G242" s="9">
        <f>'[18]key-in(LO)'!AE240</f>
        <v>3909.5</v>
      </c>
      <c r="H242" s="9">
        <f>'[18]key-in(LO)'!AF240</f>
        <v>19489</v>
      </c>
      <c r="I242" s="9">
        <f>'[18]key-in(LO)'!AG240</f>
        <v>283813</v>
      </c>
      <c r="J242" s="10">
        <f>'[18]key-in(DCO)'!AN240</f>
        <v>31.69</v>
      </c>
      <c r="K242" s="10">
        <f>'[18]key-in(DCO)'!AO240</f>
        <v>31.21</v>
      </c>
      <c r="L242" s="9">
        <f>'[18]key-in(DCO)'!AR240</f>
        <v>6672</v>
      </c>
      <c r="M242" s="10">
        <f>[18]생산!AV239</f>
        <v>22622.929999999702</v>
      </c>
      <c r="N242" s="10">
        <f>[18]생산!AW239</f>
        <v>0</v>
      </c>
      <c r="O242" s="10">
        <f>[18]생산!AX239</f>
        <v>0</v>
      </c>
      <c r="P242" s="10">
        <f>[18]생산!AY239</f>
        <v>0</v>
      </c>
      <c r="Q242" s="10">
        <f>[19]생산!BE239</f>
        <v>0</v>
      </c>
      <c r="R242" s="10">
        <f>[18]생산!BA239</f>
        <v>0</v>
      </c>
      <c r="S242" s="9">
        <f>[18]운전시간외!C239</f>
        <v>10</v>
      </c>
      <c r="T242" s="9">
        <f>[18]운전시간외!D239</f>
        <v>0</v>
      </c>
      <c r="U242" s="9">
        <f>[18]운전시간외!E239</f>
        <v>0</v>
      </c>
      <c r="V242" s="9">
        <f>[18]운전시간외!F239</f>
        <v>0</v>
      </c>
      <c r="W242" s="11">
        <f>[18]생산!E239</f>
        <v>139</v>
      </c>
      <c r="X242" s="11">
        <f>[18]생산!F239</f>
        <v>0</v>
      </c>
      <c r="Y242" s="11">
        <f>[18]생산!G239</f>
        <v>0</v>
      </c>
      <c r="Z242" s="11">
        <f>[18]생산!H239</f>
        <v>0</v>
      </c>
      <c r="AA242" s="11">
        <f>[18]생산!I239</f>
        <v>0</v>
      </c>
      <c r="AB242" s="11">
        <f>[18]생산!J239</f>
        <v>139</v>
      </c>
      <c r="AC242" s="48">
        <f>ROUNDDOWN('[20]2025년'!G238/1000,1)</f>
        <v>4.4000000000000004</v>
      </c>
    </row>
    <row r="243" spans="1:29">
      <c r="A243" s="6">
        <f t="shared" si="3"/>
        <v>45895</v>
      </c>
      <c r="B243" s="9">
        <f>'[18]key-in(LO)'!Z241</f>
        <v>7751</v>
      </c>
      <c r="C243" s="9">
        <f>'[18]key-in(LO)'!AA241</f>
        <v>240162</v>
      </c>
      <c r="D243" s="9">
        <f>'[18]key-in(LO)'!AB241</f>
        <v>233690</v>
      </c>
      <c r="E243" s="9">
        <f>'[18]key-in(LO)'!AC241</f>
        <v>15925.45</v>
      </c>
      <c r="F243" s="9">
        <f>'[18]key-in(LO)'!AD241</f>
        <v>13084.91</v>
      </c>
      <c r="G243" s="9">
        <f>'[18]key-in(LO)'!AE241</f>
        <v>3910.2</v>
      </c>
      <c r="H243" s="9">
        <f>'[18]key-in(LO)'!AF241</f>
        <v>19563</v>
      </c>
      <c r="I243" s="9">
        <f>'[18]key-in(LO)'!AG241</f>
        <v>284028</v>
      </c>
      <c r="J243" s="10">
        <f>'[18]key-in(DCO)'!AN241</f>
        <v>31.66</v>
      </c>
      <c r="K243" s="10">
        <f>'[18]key-in(DCO)'!AO241</f>
        <v>31.1</v>
      </c>
      <c r="L243" s="9">
        <f>'[18]key-in(DCO)'!AR241</f>
        <v>6156</v>
      </c>
      <c r="M243" s="10">
        <f>[18]생산!AV240</f>
        <v>33332.19999999553</v>
      </c>
      <c r="N243" s="10">
        <f>[18]생산!AW240</f>
        <v>0</v>
      </c>
      <c r="O243" s="10">
        <f>[18]생산!AX240</f>
        <v>0</v>
      </c>
      <c r="P243" s="10">
        <f>[18]생산!AY240</f>
        <v>0</v>
      </c>
      <c r="Q243" s="10">
        <f>[19]생산!BE240</f>
        <v>0</v>
      </c>
      <c r="R243" s="10">
        <f>[18]생산!BA240</f>
        <v>0</v>
      </c>
      <c r="S243" s="9">
        <f>[18]운전시간외!C240</f>
        <v>12</v>
      </c>
      <c r="T243" s="9">
        <f>[18]운전시간외!D240</f>
        <v>0</v>
      </c>
      <c r="U243" s="9">
        <f>[18]운전시간외!E240</f>
        <v>0</v>
      </c>
      <c r="V243" s="9">
        <f>[18]운전시간외!F240</f>
        <v>0</v>
      </c>
      <c r="W243" s="11">
        <f>[18]생산!E240</f>
        <v>219</v>
      </c>
      <c r="X243" s="11">
        <f>[18]생산!F240</f>
        <v>0</v>
      </c>
      <c r="Y243" s="11">
        <f>[18]생산!G240</f>
        <v>0</v>
      </c>
      <c r="Z243" s="11">
        <f>[18]생산!H240</f>
        <v>0</v>
      </c>
      <c r="AA243" s="11">
        <f>[18]생산!I240</f>
        <v>0</v>
      </c>
      <c r="AB243" s="11">
        <f>[18]생산!J240</f>
        <v>219</v>
      </c>
      <c r="AC243" s="48">
        <f>ROUNDDOWN('[20]2025년'!G239/1000,1)</f>
        <v>10.1</v>
      </c>
    </row>
    <row r="244" spans="1:29">
      <c r="A244" s="6">
        <f t="shared" si="3"/>
        <v>45896</v>
      </c>
      <c r="B244" s="9">
        <f>'[18]key-in(LO)'!Z242</f>
        <v>7776</v>
      </c>
      <c r="C244" s="9">
        <f>'[18]key-in(LO)'!AA242</f>
        <v>240237</v>
      </c>
      <c r="D244" s="9">
        <f>'[18]key-in(LO)'!AB242</f>
        <v>233810</v>
      </c>
      <c r="E244" s="9">
        <f>'[18]key-in(LO)'!AC242</f>
        <v>15947.95</v>
      </c>
      <c r="F244" s="9">
        <f>'[18]key-in(LO)'!AD242</f>
        <v>13089.35</v>
      </c>
      <c r="G244" s="9">
        <f>'[18]key-in(LO)'!AE242</f>
        <v>3910.9</v>
      </c>
      <c r="H244" s="9">
        <f>'[18]key-in(LO)'!AF242</f>
        <v>19687</v>
      </c>
      <c r="I244" s="9">
        <f>'[18]key-in(LO)'!AG242</f>
        <v>284284</v>
      </c>
      <c r="J244" s="10">
        <f>'[18]key-in(DCO)'!AN242</f>
        <v>31.44</v>
      </c>
      <c r="K244" s="10">
        <f>'[18]key-in(DCO)'!AO242</f>
        <v>31.08</v>
      </c>
      <c r="L244" s="9">
        <f>'[18]key-in(DCO)'!AR242</f>
        <v>6410</v>
      </c>
      <c r="M244" s="10">
        <f>[18]생산!AV241</f>
        <v>0</v>
      </c>
      <c r="N244" s="10">
        <f>[18]생산!AW241</f>
        <v>0</v>
      </c>
      <c r="O244" s="10">
        <f>[18]생산!AX241</f>
        <v>0</v>
      </c>
      <c r="P244" s="10">
        <f>[18]생산!AY241</f>
        <v>0</v>
      </c>
      <c r="Q244" s="10">
        <f>[19]생산!BE241</f>
        <v>0</v>
      </c>
      <c r="R244" s="10">
        <f>[18]생산!BA241</f>
        <v>0</v>
      </c>
      <c r="S244" s="9">
        <f>[18]운전시간외!C241</f>
        <v>0</v>
      </c>
      <c r="T244" s="9">
        <f>[18]운전시간외!D241</f>
        <v>0</v>
      </c>
      <c r="U244" s="9">
        <f>[18]운전시간외!E241</f>
        <v>0</v>
      </c>
      <c r="V244" s="9">
        <f>[18]운전시간외!F241</f>
        <v>0</v>
      </c>
      <c r="W244" s="11">
        <f>[18]생산!E241</f>
        <v>0</v>
      </c>
      <c r="X244" s="11">
        <f>[18]생산!F241</f>
        <v>0</v>
      </c>
      <c r="Y244" s="11">
        <f>[18]생산!G241</f>
        <v>0</v>
      </c>
      <c r="Z244" s="11">
        <f>[18]생산!H241</f>
        <v>0</v>
      </c>
      <c r="AA244" s="11">
        <f>[18]생산!I241</f>
        <v>0</v>
      </c>
      <c r="AB244" s="11">
        <f>[18]생산!J241</f>
        <v>0</v>
      </c>
      <c r="AC244" s="48">
        <f>ROUNDDOWN('[20]2025년'!G240/1000,1)</f>
        <v>0</v>
      </c>
    </row>
    <row r="245" spans="1:29">
      <c r="A245" s="6">
        <f t="shared" si="3"/>
        <v>45897</v>
      </c>
      <c r="B245" s="9">
        <f>'[18]key-in(LO)'!Z243</f>
        <v>7804</v>
      </c>
      <c r="C245" s="9">
        <f>'[18]key-in(LO)'!AA243</f>
        <v>240409</v>
      </c>
      <c r="D245" s="9">
        <f>'[18]key-in(LO)'!AB243</f>
        <v>233839</v>
      </c>
      <c r="E245" s="9">
        <f>'[18]key-in(LO)'!AC243</f>
        <v>15971.54</v>
      </c>
      <c r="F245" s="9">
        <f>'[18]key-in(LO)'!AD243</f>
        <v>13095.04</v>
      </c>
      <c r="G245" s="9">
        <f>'[18]key-in(LO)'!AE243</f>
        <v>3911.5</v>
      </c>
      <c r="H245" s="9">
        <f>'[18]key-in(LO)'!AF243</f>
        <v>19745</v>
      </c>
      <c r="I245" s="9">
        <f>'[18]key-in(LO)'!AG243</f>
        <v>284537</v>
      </c>
      <c r="J245" s="10">
        <f>'[18]key-in(DCO)'!AN243</f>
        <v>31.36</v>
      </c>
      <c r="K245" s="10">
        <f>'[18]key-in(DCO)'!AO243</f>
        <v>31.06</v>
      </c>
      <c r="L245" s="9">
        <f>'[18]key-in(DCO)'!AR243</f>
        <v>6947</v>
      </c>
      <c r="M245" s="10">
        <f>[18]생산!AV242</f>
        <v>0</v>
      </c>
      <c r="N245" s="10">
        <f>[18]생산!AW242</f>
        <v>0</v>
      </c>
      <c r="O245" s="10">
        <f>[18]생산!AX242</f>
        <v>0</v>
      </c>
      <c r="P245" s="10">
        <f>[18]생산!AY242</f>
        <v>0</v>
      </c>
      <c r="Q245" s="10">
        <f>[19]생산!BE242</f>
        <v>0</v>
      </c>
      <c r="R245" s="10">
        <f>[18]생산!BA242</f>
        <v>0</v>
      </c>
      <c r="S245" s="9">
        <f>[18]운전시간외!C242</f>
        <v>0</v>
      </c>
      <c r="T245" s="9">
        <f>[18]운전시간외!D242</f>
        <v>0</v>
      </c>
      <c r="U245" s="9">
        <f>[18]운전시간외!E242</f>
        <v>0</v>
      </c>
      <c r="V245" s="9">
        <f>[18]운전시간외!F242</f>
        <v>0</v>
      </c>
      <c r="W245" s="11">
        <f>[18]생산!E242</f>
        <v>0</v>
      </c>
      <c r="X245" s="11">
        <f>[18]생산!F242</f>
        <v>0</v>
      </c>
      <c r="Y245" s="11">
        <f>[18]생산!G242</f>
        <v>0</v>
      </c>
      <c r="Z245" s="11">
        <f>[18]생산!H242</f>
        <v>0</v>
      </c>
      <c r="AA245" s="11">
        <f>[18]생산!I242</f>
        <v>0</v>
      </c>
      <c r="AB245" s="11">
        <f>[18]생산!J242</f>
        <v>0</v>
      </c>
      <c r="AC245" s="48">
        <f>ROUNDDOWN('[20]2025년'!G241/1000,1)</f>
        <v>0</v>
      </c>
    </row>
    <row r="246" spans="1:29">
      <c r="A246" s="6">
        <f t="shared" si="3"/>
        <v>45898</v>
      </c>
      <c r="B246" s="9">
        <f>'[18]key-in(LO)'!Z244</f>
        <v>7836</v>
      </c>
      <c r="C246" s="9">
        <f>'[18]key-in(LO)'!AA244</f>
        <v>240574</v>
      </c>
      <c r="D246" s="9">
        <f>'[18]key-in(LO)'!AB244</f>
        <v>233969</v>
      </c>
      <c r="E246" s="9">
        <f>'[18]key-in(LO)'!AC244</f>
        <v>15993.91</v>
      </c>
      <c r="F246" s="9">
        <f>'[18]key-in(LO)'!AD244</f>
        <v>13096.12</v>
      </c>
      <c r="G246" s="9">
        <f>'[18]key-in(LO)'!AE244</f>
        <v>3912.4</v>
      </c>
      <c r="H246" s="9">
        <f>'[18]key-in(LO)'!AF244</f>
        <v>19849</v>
      </c>
      <c r="I246" s="9">
        <f>'[18]key-in(LO)'!AG244</f>
        <v>284896</v>
      </c>
      <c r="J246" s="10">
        <f>'[18]key-in(DCO)'!AN244</f>
        <v>31.24</v>
      </c>
      <c r="K246" s="10">
        <f>'[18]key-in(DCO)'!AO244</f>
        <v>31.02</v>
      </c>
      <c r="L246" s="9">
        <f>'[18]key-in(DCO)'!AR244</f>
        <v>6805</v>
      </c>
      <c r="M246" s="10">
        <f>[18]생산!AV243</f>
        <v>0</v>
      </c>
      <c r="N246" s="10">
        <f>[18]생산!AW243</f>
        <v>0</v>
      </c>
      <c r="O246" s="10">
        <f>[18]생산!AX243</f>
        <v>0</v>
      </c>
      <c r="P246" s="10">
        <f>[18]생산!AY243</f>
        <v>0</v>
      </c>
      <c r="Q246" s="10">
        <f>[19]생산!BE243</f>
        <v>0</v>
      </c>
      <c r="R246" s="10">
        <f>[18]생산!BA243</f>
        <v>0</v>
      </c>
      <c r="S246" s="9">
        <f>[18]운전시간외!C243</f>
        <v>0</v>
      </c>
      <c r="T246" s="9">
        <f>[18]운전시간외!D243</f>
        <v>0</v>
      </c>
      <c r="U246" s="9">
        <f>[18]운전시간외!E243</f>
        <v>0</v>
      </c>
      <c r="V246" s="9">
        <f>[18]운전시간외!F243</f>
        <v>0</v>
      </c>
      <c r="W246" s="11">
        <f>[18]생산!E243</f>
        <v>0</v>
      </c>
      <c r="X246" s="11">
        <f>[18]생산!F243</f>
        <v>0</v>
      </c>
      <c r="Y246" s="11">
        <f>[18]생산!G243</f>
        <v>0</v>
      </c>
      <c r="Z246" s="11">
        <f>[18]생산!H243</f>
        <v>0</v>
      </c>
      <c r="AA246" s="11">
        <f>[18]생산!I243</f>
        <v>0</v>
      </c>
      <c r="AB246" s="11">
        <f>[18]생산!J243</f>
        <v>0</v>
      </c>
      <c r="AC246" s="48">
        <f>ROUNDDOWN('[20]2025년'!G242/1000,1)</f>
        <v>0</v>
      </c>
    </row>
    <row r="247" spans="1:29">
      <c r="A247" s="6">
        <f t="shared" si="3"/>
        <v>45899</v>
      </c>
      <c r="B247" s="9">
        <f>'[18]key-in(LO)'!Z245</f>
        <v>7859</v>
      </c>
      <c r="C247" s="9">
        <f>'[18]key-in(LO)'!AA245</f>
        <v>240683</v>
      </c>
      <c r="D247" s="9">
        <f>'[18]key-in(LO)'!AB245</f>
        <v>234069</v>
      </c>
      <c r="E247" s="9">
        <f>'[18]key-in(LO)'!AC245</f>
        <v>16010.97</v>
      </c>
      <c r="F247" s="9">
        <f>'[18]key-in(LO)'!AD245</f>
        <v>13108.24</v>
      </c>
      <c r="G247" s="9">
        <f>'[18]key-in(LO)'!AE245</f>
        <v>3913.7</v>
      </c>
      <c r="H247" s="9">
        <f>'[18]key-in(LO)'!AF245</f>
        <v>20040</v>
      </c>
      <c r="I247" s="9">
        <f>'[18]key-in(LO)'!AG245</f>
        <v>285206</v>
      </c>
      <c r="J247" s="10">
        <f>'[18]key-in(DCO)'!AN245</f>
        <v>31.33</v>
      </c>
      <c r="K247" s="10">
        <f>'[18]key-in(DCO)'!AO245</f>
        <v>30.97</v>
      </c>
      <c r="L247" s="9">
        <f>'[18]key-in(DCO)'!AR245</f>
        <v>4754</v>
      </c>
      <c r="M247" s="10">
        <f>[18]생산!AV244</f>
        <v>0</v>
      </c>
      <c r="N247" s="10">
        <f>[18]생산!AW244</f>
        <v>0</v>
      </c>
      <c r="O247" s="10">
        <f>[18]생산!AX244</f>
        <v>0</v>
      </c>
      <c r="P247" s="10">
        <f>[18]생산!AY244</f>
        <v>0</v>
      </c>
      <c r="Q247" s="10">
        <f>[19]생산!BE244</f>
        <v>0</v>
      </c>
      <c r="R247" s="10">
        <f>[18]생산!BA244</f>
        <v>0</v>
      </c>
      <c r="S247" s="9">
        <f>[18]운전시간외!C244</f>
        <v>0</v>
      </c>
      <c r="T247" s="9">
        <f>[18]운전시간외!D244</f>
        <v>0</v>
      </c>
      <c r="U247" s="9">
        <f>[18]운전시간외!E244</f>
        <v>0</v>
      </c>
      <c r="V247" s="9">
        <f>[18]운전시간외!F244</f>
        <v>0</v>
      </c>
      <c r="W247" s="11">
        <f>[18]생산!E244</f>
        <v>0</v>
      </c>
      <c r="X247" s="11">
        <f>[18]생산!F244</f>
        <v>0</v>
      </c>
      <c r="Y247" s="11">
        <f>[18]생산!G244</f>
        <v>0</v>
      </c>
      <c r="Z247" s="11">
        <f>[18]생산!H244</f>
        <v>0</v>
      </c>
      <c r="AA247" s="11">
        <f>[18]생산!I244</f>
        <v>0</v>
      </c>
      <c r="AB247" s="11">
        <f>[18]생산!J244</f>
        <v>0</v>
      </c>
      <c r="AC247" s="48">
        <f>ROUNDDOWN('[20]2025년'!G243/1000,1)</f>
        <v>0</v>
      </c>
    </row>
    <row r="248" spans="1:29">
      <c r="A248" s="6">
        <f t="shared" si="3"/>
        <v>45900</v>
      </c>
      <c r="B248" s="9">
        <f>'[18]key-in(LO)'!Z246</f>
        <v>7881</v>
      </c>
      <c r="C248" s="9">
        <f>'[18]key-in(LO)'!AA246</f>
        <v>240791</v>
      </c>
      <c r="D248" s="9">
        <f>'[18]key-in(LO)'!AB246</f>
        <v>234236</v>
      </c>
      <c r="E248" s="9">
        <f>'[18]key-in(LO)'!AC246</f>
        <v>16037.92</v>
      </c>
      <c r="F248" s="9">
        <f>'[18]key-in(LO)'!AD246</f>
        <v>13113.13</v>
      </c>
      <c r="G248" s="9">
        <f>'[18]key-in(LO)'!AE246</f>
        <v>3915</v>
      </c>
      <c r="H248" s="9">
        <f>'[18]key-in(LO)'!AF246</f>
        <v>20114</v>
      </c>
      <c r="I248" s="9">
        <f>'[18]key-in(LO)'!AG246</f>
        <v>285524</v>
      </c>
      <c r="J248" s="10">
        <f>'[18]key-in(DCO)'!AN246</f>
        <v>31.28</v>
      </c>
      <c r="K248" s="10">
        <f>'[18]key-in(DCO)'!AO246</f>
        <v>30.94</v>
      </c>
      <c r="L248" s="9">
        <f>'[18]key-in(DCO)'!AR246</f>
        <v>8065</v>
      </c>
      <c r="M248" s="10">
        <f>[18]생산!AV245</f>
        <v>0</v>
      </c>
      <c r="N248" s="10">
        <f>[18]생산!AW245</f>
        <v>0</v>
      </c>
      <c r="O248" s="10">
        <f>[18]생산!AX245</f>
        <v>0</v>
      </c>
      <c r="P248" s="10">
        <f>[18]생산!AY245</f>
        <v>0</v>
      </c>
      <c r="Q248" s="10">
        <f>[19]생산!BE245</f>
        <v>0</v>
      </c>
      <c r="R248" s="10">
        <f>[18]생산!BA245</f>
        <v>0</v>
      </c>
      <c r="S248" s="9">
        <f>[18]운전시간외!C245</f>
        <v>0</v>
      </c>
      <c r="T248" s="9">
        <f>[18]운전시간외!D245</f>
        <v>0</v>
      </c>
      <c r="U248" s="9">
        <f>[18]운전시간외!E245</f>
        <v>0</v>
      </c>
      <c r="V248" s="9">
        <f>[18]운전시간외!F245</f>
        <v>0</v>
      </c>
      <c r="W248" s="11">
        <f>[18]생산!E245</f>
        <v>0</v>
      </c>
      <c r="X248" s="11">
        <f>[18]생산!F245</f>
        <v>0</v>
      </c>
      <c r="Y248" s="11">
        <f>[18]생산!G245</f>
        <v>0</v>
      </c>
      <c r="Z248" s="11">
        <f>[18]생산!H245</f>
        <v>0</v>
      </c>
      <c r="AA248" s="11">
        <f>[18]생산!I245</f>
        <v>0</v>
      </c>
      <c r="AB248" s="11">
        <f>[18]생산!J245</f>
        <v>0</v>
      </c>
      <c r="AC248" s="48">
        <f>ROUNDDOWN('[20]2025년'!G244/1000,1)</f>
        <v>0</v>
      </c>
    </row>
    <row r="249" spans="1:29">
      <c r="A249" s="6">
        <f t="shared" si="3"/>
        <v>45901</v>
      </c>
      <c r="B249" s="9">
        <f>'[18]key-in(LO)'!Z247</f>
        <v>7908</v>
      </c>
      <c r="C249" s="9">
        <f>'[18]key-in(LO)'!AA247</f>
        <v>240895</v>
      </c>
      <c r="D249" s="9">
        <f>'[18]key-in(LO)'!AB247</f>
        <v>234333</v>
      </c>
      <c r="E249" s="9">
        <f>'[18]key-in(LO)'!AC247</f>
        <v>16061.78</v>
      </c>
      <c r="F249" s="9">
        <f>'[18]key-in(LO)'!AD247</f>
        <v>13117.09</v>
      </c>
      <c r="G249" s="9">
        <f>'[18]key-in(LO)'!AE247</f>
        <v>3916.3</v>
      </c>
      <c r="H249" s="9">
        <f>'[18]key-in(LO)'!AF247</f>
        <v>20263</v>
      </c>
      <c r="I249" s="9">
        <f>'[18]key-in(LO)'!AG247</f>
        <v>285827</v>
      </c>
      <c r="J249" s="10">
        <f>'[18]key-in(DCO)'!AN247</f>
        <v>31.5</v>
      </c>
      <c r="K249" s="10">
        <f>'[18]key-in(DCO)'!AO247</f>
        <v>30.99</v>
      </c>
      <c r="L249" s="9">
        <f>'[18]key-in(DCO)'!AR247</f>
        <v>7212</v>
      </c>
      <c r="M249" s="10">
        <f>[18]생산!AV246</f>
        <v>20142.370000004768</v>
      </c>
      <c r="N249" s="10">
        <f>[18]생산!AW246</f>
        <v>0</v>
      </c>
      <c r="O249" s="10">
        <f>[18]생산!AX246</f>
        <v>0</v>
      </c>
      <c r="P249" s="10">
        <f>[18]생산!AY246</f>
        <v>0</v>
      </c>
      <c r="Q249" s="10">
        <f>[19]생산!BE246</f>
        <v>0</v>
      </c>
      <c r="R249" s="10">
        <f>[18]생산!BA246</f>
        <v>0</v>
      </c>
      <c r="S249" s="9">
        <f>[18]운전시간외!C246</f>
        <v>11</v>
      </c>
      <c r="T249" s="9">
        <f>[18]운전시간외!D246</f>
        <v>0</v>
      </c>
      <c r="U249" s="9">
        <f>[18]운전시간외!E246</f>
        <v>0</v>
      </c>
      <c r="V249" s="9">
        <f>[18]운전시간외!F246</f>
        <v>0</v>
      </c>
      <c r="W249" s="11">
        <f>[18]생산!E246</f>
        <v>115</v>
      </c>
      <c r="X249" s="11">
        <f>[18]생산!F246</f>
        <v>0</v>
      </c>
      <c r="Y249" s="11">
        <f>[18]생산!G246</f>
        <v>0</v>
      </c>
      <c r="Z249" s="11">
        <f>[18]생산!H246</f>
        <v>0</v>
      </c>
      <c r="AA249" s="11">
        <f>[18]생산!I246</f>
        <v>0</v>
      </c>
      <c r="AB249" s="11">
        <f>[18]생산!J246</f>
        <v>115</v>
      </c>
      <c r="AC249" s="48">
        <f>ROUNDDOWN('[20]2025년'!G245/1000,1)</f>
        <v>4.0999999999999996</v>
      </c>
    </row>
    <row r="250" spans="1:29">
      <c r="A250" s="6">
        <f t="shared" si="3"/>
        <v>45902</v>
      </c>
      <c r="B250" s="9">
        <f>'[18]key-in(LO)'!Z248</f>
        <v>7938</v>
      </c>
      <c r="C250" s="9">
        <f>'[18]key-in(LO)'!AA248</f>
        <v>240994</v>
      </c>
      <c r="D250" s="9">
        <f>'[18]key-in(LO)'!AB248</f>
        <v>234455</v>
      </c>
      <c r="E250" s="9">
        <f>'[18]key-in(LO)'!AC248</f>
        <v>16081.16</v>
      </c>
      <c r="F250" s="9">
        <f>'[18]key-in(LO)'!AD248</f>
        <v>13119.8</v>
      </c>
      <c r="G250" s="9">
        <f>'[18]key-in(LO)'!AE248</f>
        <v>3917.7</v>
      </c>
      <c r="H250" s="9">
        <f>'[18]key-in(LO)'!AF248</f>
        <v>20356</v>
      </c>
      <c r="I250" s="9">
        <f>'[18]key-in(LO)'!AG248</f>
        <v>286134</v>
      </c>
      <c r="J250" s="10">
        <f>'[18]key-in(DCO)'!AN248</f>
        <v>31.46</v>
      </c>
      <c r="K250" s="10">
        <f>'[18]key-in(DCO)'!AO248</f>
        <v>31.04</v>
      </c>
      <c r="L250" s="9">
        <f>'[18]key-in(DCO)'!AR248</f>
        <v>6124</v>
      </c>
      <c r="M250" s="10">
        <f>[18]생산!AV247</f>
        <v>0</v>
      </c>
      <c r="N250" s="10">
        <f>[18]생산!AW247</f>
        <v>0</v>
      </c>
      <c r="O250" s="10">
        <f>[18]생산!AX247</f>
        <v>0</v>
      </c>
      <c r="P250" s="10">
        <f>[18]생산!AY247</f>
        <v>0</v>
      </c>
      <c r="Q250" s="10">
        <f>[19]생산!BE247</f>
        <v>0</v>
      </c>
      <c r="R250" s="10">
        <f>[18]생산!BA247</f>
        <v>0</v>
      </c>
      <c r="S250" s="9">
        <f>[18]운전시간외!C247</f>
        <v>0</v>
      </c>
      <c r="T250" s="9">
        <f>[18]운전시간외!D247</f>
        <v>0</v>
      </c>
      <c r="U250" s="9">
        <f>[18]운전시간외!E247</f>
        <v>0</v>
      </c>
      <c r="V250" s="9">
        <f>[18]운전시간외!F247</f>
        <v>0</v>
      </c>
      <c r="W250" s="11">
        <f>[18]생산!E247</f>
        <v>0</v>
      </c>
      <c r="X250" s="11">
        <f>[18]생산!F247</f>
        <v>0</v>
      </c>
      <c r="Y250" s="11">
        <f>[18]생산!G247</f>
        <v>0</v>
      </c>
      <c r="Z250" s="11">
        <f>[18]생산!H247</f>
        <v>0</v>
      </c>
      <c r="AA250" s="11">
        <f>[18]생산!I247</f>
        <v>0</v>
      </c>
      <c r="AB250" s="11">
        <f>[18]생산!J247</f>
        <v>0</v>
      </c>
      <c r="AC250" s="48">
        <f>ROUNDDOWN('[20]2025년'!G246/1000,1)</f>
        <v>0</v>
      </c>
    </row>
    <row r="251" spans="1:29">
      <c r="A251" s="6">
        <f t="shared" si="3"/>
        <v>45903</v>
      </c>
      <c r="B251" s="9">
        <f>'[18]key-in(LO)'!Z249</f>
        <v>7961</v>
      </c>
      <c r="C251" s="9">
        <f>'[18]key-in(LO)'!AA249</f>
        <v>241116</v>
      </c>
      <c r="D251" s="9">
        <f>'[18]key-in(LO)'!AB249</f>
        <v>234552</v>
      </c>
      <c r="E251" s="9">
        <f>'[18]key-in(LO)'!AC249</f>
        <v>16106.58</v>
      </c>
      <c r="F251" s="9">
        <f>'[18]key-in(LO)'!AD249</f>
        <v>13129.22</v>
      </c>
      <c r="G251" s="9">
        <f>'[18]key-in(LO)'!AE249</f>
        <v>3919</v>
      </c>
      <c r="H251" s="9">
        <f>'[18]key-in(LO)'!AF249</f>
        <v>20473</v>
      </c>
      <c r="I251" s="9">
        <f>'[18]key-in(LO)'!AG249</f>
        <v>286402</v>
      </c>
      <c r="J251" s="10">
        <f>'[18]key-in(DCO)'!AN249</f>
        <v>31.37</v>
      </c>
      <c r="K251" s="10">
        <f>'[18]key-in(DCO)'!AO249</f>
        <v>30.95</v>
      </c>
      <c r="L251" s="9">
        <f>'[18]key-in(DCO)'!AR249</f>
        <v>7693</v>
      </c>
      <c r="M251" s="10">
        <f>[18]생산!AV248</f>
        <v>0</v>
      </c>
      <c r="N251" s="10">
        <f>[18]생산!AW248</f>
        <v>0</v>
      </c>
      <c r="O251" s="10">
        <f>[18]생산!AX248</f>
        <v>0</v>
      </c>
      <c r="P251" s="10">
        <f>[18]생산!AY248</f>
        <v>0</v>
      </c>
      <c r="Q251" s="10">
        <f>[19]생산!BE248</f>
        <v>0</v>
      </c>
      <c r="R251" s="10">
        <f>[18]생산!BA248</f>
        <v>0</v>
      </c>
      <c r="S251" s="9">
        <f>[18]운전시간외!C248</f>
        <v>0</v>
      </c>
      <c r="T251" s="9">
        <f>[18]운전시간외!D248</f>
        <v>0</v>
      </c>
      <c r="U251" s="9">
        <f>[18]운전시간외!E248</f>
        <v>0</v>
      </c>
      <c r="V251" s="9">
        <f>[18]운전시간외!F248</f>
        <v>0</v>
      </c>
      <c r="W251" s="11">
        <f>[18]생산!E248</f>
        <v>0</v>
      </c>
      <c r="X251" s="11">
        <f>[18]생산!F248</f>
        <v>0</v>
      </c>
      <c r="Y251" s="11">
        <f>[18]생산!G248</f>
        <v>0</v>
      </c>
      <c r="Z251" s="11">
        <f>[18]생산!H248</f>
        <v>0</v>
      </c>
      <c r="AA251" s="11">
        <f>[18]생산!I248</f>
        <v>0</v>
      </c>
      <c r="AB251" s="11">
        <f>[18]생산!J248</f>
        <v>0</v>
      </c>
      <c r="AC251" s="48">
        <f>ROUNDDOWN('[20]2025년'!G247/1000,1)</f>
        <v>0</v>
      </c>
    </row>
    <row r="252" spans="1:29">
      <c r="A252" s="6">
        <f t="shared" si="3"/>
        <v>45904</v>
      </c>
      <c r="B252" s="9">
        <f>'[18]key-in(LO)'!Z250</f>
        <v>7993</v>
      </c>
      <c r="C252" s="9">
        <f>'[18]key-in(LO)'!AA250</f>
        <v>241166</v>
      </c>
      <c r="D252" s="9">
        <f>'[18]key-in(LO)'!AB250</f>
        <v>234699</v>
      </c>
      <c r="E252" s="9">
        <f>'[18]key-in(LO)'!AC250</f>
        <v>16126.67</v>
      </c>
      <c r="F252" s="9">
        <f>'[18]key-in(LO)'!AD250</f>
        <v>13136.75</v>
      </c>
      <c r="G252" s="9">
        <f>'[18]key-in(LO)'!AE250</f>
        <v>3920.4</v>
      </c>
      <c r="H252" s="9">
        <f>'[18]key-in(LO)'!AF250</f>
        <v>20656</v>
      </c>
      <c r="I252" s="9">
        <f>'[18]key-in(LO)'!AG250</f>
        <v>286707</v>
      </c>
      <c r="J252" s="10">
        <f>'[18]key-in(DCO)'!AN250</f>
        <v>31.49</v>
      </c>
      <c r="K252" s="10">
        <f>'[18]key-in(DCO)'!AO250</f>
        <v>31.03</v>
      </c>
      <c r="L252" s="9">
        <f>'[18]key-in(DCO)'!AR250</f>
        <v>7993</v>
      </c>
      <c r="M252" s="10">
        <f>[18]생산!AV249</f>
        <v>0</v>
      </c>
      <c r="N252" s="10">
        <f>[18]생산!AW249</f>
        <v>0</v>
      </c>
      <c r="O252" s="10">
        <f>[18]생산!AX249</f>
        <v>0</v>
      </c>
      <c r="P252" s="10">
        <f>[18]생산!AY249</f>
        <v>0</v>
      </c>
      <c r="Q252" s="10">
        <f>[19]생산!BE249</f>
        <v>0</v>
      </c>
      <c r="R252" s="10">
        <f>[18]생산!BA249</f>
        <v>0</v>
      </c>
      <c r="S252" s="9">
        <f>[18]운전시간외!C249</f>
        <v>0</v>
      </c>
      <c r="T252" s="9">
        <f>[18]운전시간외!D249</f>
        <v>0</v>
      </c>
      <c r="U252" s="9">
        <f>[18]운전시간외!E249</f>
        <v>0</v>
      </c>
      <c r="V252" s="9">
        <f>[18]운전시간외!F249</f>
        <v>0</v>
      </c>
      <c r="W252" s="11">
        <f>[18]생산!E249</f>
        <v>0</v>
      </c>
      <c r="X252" s="11">
        <f>[18]생산!F249</f>
        <v>0</v>
      </c>
      <c r="Y252" s="11">
        <f>[18]생산!G249</f>
        <v>0</v>
      </c>
      <c r="Z252" s="11">
        <f>[18]생산!H249</f>
        <v>0</v>
      </c>
      <c r="AA252" s="11">
        <f>[18]생산!I249</f>
        <v>0</v>
      </c>
      <c r="AB252" s="11">
        <f>[18]생산!J249</f>
        <v>0</v>
      </c>
      <c r="AC252" s="48">
        <f>ROUNDDOWN('[20]2025년'!G248/1000,1)</f>
        <v>0</v>
      </c>
    </row>
    <row r="253" spans="1:29">
      <c r="A253" s="6">
        <f t="shared" si="3"/>
        <v>45905</v>
      </c>
      <c r="B253" s="9">
        <f>'[18]key-in(LO)'!Z251</f>
        <v>8021</v>
      </c>
      <c r="C253" s="9">
        <f>'[18]key-in(LO)'!AA251</f>
        <v>241293</v>
      </c>
      <c r="D253" s="9">
        <f>'[18]key-in(LO)'!AB251</f>
        <v>234759</v>
      </c>
      <c r="E253" s="9">
        <f>'[18]key-in(LO)'!AC251</f>
        <v>16148.86</v>
      </c>
      <c r="F253" s="9">
        <f>'[18]key-in(LO)'!AD251</f>
        <v>13144.67</v>
      </c>
      <c r="G253" s="9">
        <f>'[18]key-in(LO)'!AE251</f>
        <v>3921.3</v>
      </c>
      <c r="H253" s="9">
        <f>'[18]key-in(LO)'!AF251</f>
        <v>20825</v>
      </c>
      <c r="I253" s="9">
        <f>'[18]key-in(LO)'!AG251</f>
        <v>286936</v>
      </c>
      <c r="J253" s="10">
        <f>'[18]key-in(DCO)'!AN251</f>
        <v>31.61</v>
      </c>
      <c r="K253" s="10">
        <f>'[18]key-in(DCO)'!AO251</f>
        <v>31.04</v>
      </c>
      <c r="L253" s="9">
        <f>'[18]key-in(DCO)'!AR251</f>
        <v>4537</v>
      </c>
      <c r="M253" s="10">
        <f>[18]생산!AV250</f>
        <v>0</v>
      </c>
      <c r="N253" s="10">
        <f>[18]생산!AW250</f>
        <v>0</v>
      </c>
      <c r="O253" s="10">
        <f>[18]생산!AX250</f>
        <v>0</v>
      </c>
      <c r="P253" s="10">
        <f>[18]생산!AY250</f>
        <v>0</v>
      </c>
      <c r="Q253" s="10">
        <f>[19]생산!BE250</f>
        <v>0</v>
      </c>
      <c r="R253" s="10">
        <f>[18]생산!BA250</f>
        <v>0</v>
      </c>
      <c r="S253" s="9">
        <f>[18]운전시간외!C250</f>
        <v>0</v>
      </c>
      <c r="T253" s="9">
        <f>[18]운전시간외!D250</f>
        <v>0</v>
      </c>
      <c r="U253" s="9">
        <f>[18]운전시간외!E250</f>
        <v>0</v>
      </c>
      <c r="V253" s="9">
        <f>[18]운전시간외!F250</f>
        <v>0</v>
      </c>
      <c r="W253" s="11">
        <f>[18]생산!E250</f>
        <v>0</v>
      </c>
      <c r="X253" s="11">
        <f>[18]생산!F250</f>
        <v>0</v>
      </c>
      <c r="Y253" s="11">
        <f>[18]생산!G250</f>
        <v>0</v>
      </c>
      <c r="Z253" s="11">
        <f>[18]생산!H250</f>
        <v>0</v>
      </c>
      <c r="AA253" s="11">
        <f>[18]생산!I250</f>
        <v>0</v>
      </c>
      <c r="AB253" s="11">
        <f>[18]생산!J250</f>
        <v>0</v>
      </c>
      <c r="AC253" s="48">
        <f>ROUNDDOWN('[20]2025년'!G249/1000,1)</f>
        <v>0</v>
      </c>
    </row>
    <row r="254" spans="1:29">
      <c r="A254" s="6">
        <f t="shared" si="3"/>
        <v>45906</v>
      </c>
      <c r="B254" s="9">
        <f>'[18]key-in(LO)'!Z252</f>
        <v>8054</v>
      </c>
      <c r="C254" s="9">
        <f>'[18]key-in(LO)'!AA252</f>
        <v>241401</v>
      </c>
      <c r="D254" s="9">
        <f>'[18]key-in(LO)'!AB252</f>
        <v>234862</v>
      </c>
      <c r="E254" s="9">
        <f>'[18]key-in(LO)'!AC252</f>
        <v>16160.14</v>
      </c>
      <c r="F254" s="9">
        <f>'[18]key-in(LO)'!AD252</f>
        <v>13156.04</v>
      </c>
      <c r="G254" s="9">
        <f>'[18]key-in(LO)'!AE252</f>
        <v>3922.3</v>
      </c>
      <c r="H254" s="9">
        <f>'[18]key-in(LO)'!AF252</f>
        <v>20954</v>
      </c>
      <c r="I254" s="9">
        <f>'[18]key-in(LO)'!AG252</f>
        <v>287201</v>
      </c>
      <c r="J254" s="10">
        <f>'[18]key-in(DCO)'!AN252</f>
        <v>31.28</v>
      </c>
      <c r="K254" s="10">
        <f>'[18]key-in(DCO)'!AO252</f>
        <v>30.98</v>
      </c>
      <c r="L254" s="9">
        <f>'[18]key-in(DCO)'!AR252</f>
        <v>6340</v>
      </c>
      <c r="M254" s="10">
        <f>[18]생산!AV251</f>
        <v>0</v>
      </c>
      <c r="N254" s="10">
        <f>[18]생산!AW251</f>
        <v>0</v>
      </c>
      <c r="O254" s="10">
        <f>[18]생산!AX251</f>
        <v>0</v>
      </c>
      <c r="P254" s="10">
        <f>[18]생산!AY251</f>
        <v>0</v>
      </c>
      <c r="Q254" s="10">
        <f>[19]생산!BE251</f>
        <v>0</v>
      </c>
      <c r="R254" s="10">
        <f>[18]생산!BA251</f>
        <v>0</v>
      </c>
      <c r="S254" s="9">
        <f>[18]운전시간외!C251</f>
        <v>0</v>
      </c>
      <c r="T254" s="9">
        <f>[18]운전시간외!D251</f>
        <v>0</v>
      </c>
      <c r="U254" s="9">
        <f>[18]운전시간외!E251</f>
        <v>0</v>
      </c>
      <c r="V254" s="9">
        <f>[18]운전시간외!F251</f>
        <v>0</v>
      </c>
      <c r="W254" s="11">
        <f>[18]생산!E251</f>
        <v>0</v>
      </c>
      <c r="X254" s="11">
        <f>[18]생산!F251</f>
        <v>0</v>
      </c>
      <c r="Y254" s="11">
        <f>[18]생산!G251</f>
        <v>0</v>
      </c>
      <c r="Z254" s="11">
        <f>[18]생산!H251</f>
        <v>0</v>
      </c>
      <c r="AA254" s="11">
        <f>[18]생산!I251</f>
        <v>0</v>
      </c>
      <c r="AB254" s="11">
        <f>[18]생산!J251</f>
        <v>0</v>
      </c>
      <c r="AC254" s="48">
        <f>ROUNDDOWN('[20]2025년'!G250/1000,1)</f>
        <v>0</v>
      </c>
    </row>
    <row r="255" spans="1:29">
      <c r="A255" s="6">
        <f t="shared" si="3"/>
        <v>45907</v>
      </c>
      <c r="B255" s="9">
        <f>'[18]key-in(LO)'!Z253</f>
        <v>8089</v>
      </c>
      <c r="C255" s="9">
        <f>'[18]key-in(LO)'!AA253</f>
        <v>241490</v>
      </c>
      <c r="D255" s="9">
        <f>'[18]key-in(LO)'!AB253</f>
        <v>234978</v>
      </c>
      <c r="E255" s="9">
        <f>'[18]key-in(LO)'!AC253</f>
        <v>16170.31</v>
      </c>
      <c r="F255" s="9">
        <f>'[18]key-in(LO)'!AD253</f>
        <v>13161.81</v>
      </c>
      <c r="G255" s="9">
        <f>'[18]key-in(LO)'!AE253</f>
        <v>3923.6</v>
      </c>
      <c r="H255" s="9">
        <f>'[18]key-in(LO)'!AF253</f>
        <v>21028</v>
      </c>
      <c r="I255" s="9">
        <f>'[18]key-in(LO)'!AG253</f>
        <v>287477</v>
      </c>
      <c r="J255" s="10">
        <f>'[18]key-in(DCO)'!AN253</f>
        <v>31.31</v>
      </c>
      <c r="K255" s="10">
        <f>'[18]key-in(DCO)'!AO253</f>
        <v>31.05</v>
      </c>
      <c r="L255" s="9">
        <f>'[18]key-in(DCO)'!AR253</f>
        <v>6515</v>
      </c>
      <c r="M255" s="10">
        <f>[18]생산!AV252</f>
        <v>0</v>
      </c>
      <c r="N255" s="10">
        <f>[18]생산!AW252</f>
        <v>0</v>
      </c>
      <c r="O255" s="10">
        <f>[18]생산!AX252</f>
        <v>0</v>
      </c>
      <c r="P255" s="10">
        <f>[18]생산!AY252</f>
        <v>0</v>
      </c>
      <c r="Q255" s="10">
        <f>[19]생산!BE252</f>
        <v>0</v>
      </c>
      <c r="R255" s="10">
        <f>[18]생산!BA252</f>
        <v>0</v>
      </c>
      <c r="S255" s="9">
        <f>[18]운전시간외!C252</f>
        <v>0</v>
      </c>
      <c r="T255" s="9">
        <f>[18]운전시간외!D252</f>
        <v>0</v>
      </c>
      <c r="U255" s="9">
        <f>[18]운전시간외!E252</f>
        <v>0</v>
      </c>
      <c r="V255" s="9">
        <f>[18]운전시간외!F252</f>
        <v>0</v>
      </c>
      <c r="W255" s="11">
        <f>[18]생산!E252</f>
        <v>0</v>
      </c>
      <c r="X255" s="11">
        <f>[18]생산!F252</f>
        <v>0</v>
      </c>
      <c r="Y255" s="11">
        <f>[18]생산!G252</f>
        <v>0</v>
      </c>
      <c r="Z255" s="11">
        <f>[18]생산!H252</f>
        <v>0</v>
      </c>
      <c r="AA255" s="11">
        <f>[18]생산!I252</f>
        <v>0</v>
      </c>
      <c r="AB255" s="11">
        <f>[18]생산!J252</f>
        <v>0</v>
      </c>
      <c r="AC255" s="48">
        <f>ROUNDDOWN('[20]2025년'!G251/1000,1)</f>
        <v>0</v>
      </c>
    </row>
    <row r="256" spans="1:29">
      <c r="A256" s="6">
        <f t="shared" si="3"/>
        <v>45908</v>
      </c>
      <c r="B256" s="9">
        <f>'[18]key-in(LO)'!Z254</f>
        <v>8159</v>
      </c>
      <c r="C256" s="9">
        <f>'[18]key-in(LO)'!AA254</f>
        <v>241644</v>
      </c>
      <c r="D256" s="9">
        <f>'[18]key-in(LO)'!AB254</f>
        <v>235132</v>
      </c>
      <c r="E256" s="9">
        <f>'[18]key-in(LO)'!AC254</f>
        <v>16197.89</v>
      </c>
      <c r="F256" s="9">
        <f>'[18]key-in(LO)'!AD254</f>
        <v>13162.52</v>
      </c>
      <c r="G256" s="9">
        <f>'[18]key-in(LO)'!AE254</f>
        <v>3924.5</v>
      </c>
      <c r="H256" s="9">
        <f>'[18]key-in(LO)'!AF254</f>
        <v>21159</v>
      </c>
      <c r="I256" s="9">
        <f>'[18]key-in(LO)'!AG254</f>
        <v>287861</v>
      </c>
      <c r="J256" s="10">
        <f>'[18]key-in(DCO)'!AN254</f>
        <v>32</v>
      </c>
      <c r="K256" s="10">
        <f>'[18]key-in(DCO)'!AO254</f>
        <v>31.55</v>
      </c>
      <c r="L256" s="9">
        <f>'[18]key-in(DCO)'!AR254</f>
        <v>6225</v>
      </c>
      <c r="M256" s="10">
        <f>[18]생산!AV253</f>
        <v>0</v>
      </c>
      <c r="N256" s="10">
        <f>[18]생산!AW253</f>
        <v>0</v>
      </c>
      <c r="O256" s="10">
        <f>[18]생산!AX253</f>
        <v>0</v>
      </c>
      <c r="P256" s="10">
        <f>[18]생산!AY253</f>
        <v>0</v>
      </c>
      <c r="Q256" s="10">
        <f>[19]생산!BE253</f>
        <v>0</v>
      </c>
      <c r="R256" s="10">
        <f>[18]생산!BA253</f>
        <v>0</v>
      </c>
      <c r="S256" s="9">
        <f>[18]운전시간외!C253</f>
        <v>0</v>
      </c>
      <c r="T256" s="9">
        <f>[18]운전시간외!D253</f>
        <v>0</v>
      </c>
      <c r="U256" s="9">
        <f>[18]운전시간외!E253</f>
        <v>0</v>
      </c>
      <c r="V256" s="9">
        <f>[18]운전시간외!F253</f>
        <v>0</v>
      </c>
      <c r="W256" s="11">
        <f>[18]생산!E253</f>
        <v>0</v>
      </c>
      <c r="X256" s="11">
        <f>[18]생산!F253</f>
        <v>0</v>
      </c>
      <c r="Y256" s="11">
        <f>[18]생산!G253</f>
        <v>0</v>
      </c>
      <c r="Z256" s="11">
        <f>[18]생산!H253</f>
        <v>0</v>
      </c>
      <c r="AA256" s="11">
        <f>[18]생산!I253</f>
        <v>0</v>
      </c>
      <c r="AB256" s="11">
        <f>[18]생산!J253</f>
        <v>0</v>
      </c>
      <c r="AC256" s="48">
        <f>ROUNDDOWN('[20]2025년'!G252/1000,1)</f>
        <v>0</v>
      </c>
    </row>
    <row r="257" spans="1:29">
      <c r="A257" s="6">
        <f t="shared" si="3"/>
        <v>45909</v>
      </c>
      <c r="B257" s="9">
        <f>'[18]key-in(LO)'!Z255</f>
        <v>8211</v>
      </c>
      <c r="C257" s="9">
        <f>'[18]key-in(LO)'!AA255</f>
        <v>241739</v>
      </c>
      <c r="D257" s="9">
        <f>'[18]key-in(LO)'!AB255</f>
        <v>235274</v>
      </c>
      <c r="E257" s="9">
        <f>'[18]key-in(LO)'!AC255</f>
        <v>16223.75</v>
      </c>
      <c r="F257" s="9">
        <f>'[18]key-in(LO)'!AD255</f>
        <v>13162.52</v>
      </c>
      <c r="G257" s="9">
        <f>'[18]key-in(LO)'!AE255</f>
        <v>3925.4</v>
      </c>
      <c r="H257" s="9">
        <f>'[18]key-in(LO)'!AF255</f>
        <v>21204</v>
      </c>
      <c r="I257" s="9">
        <f>'[18]key-in(LO)'!AG255</f>
        <v>288174</v>
      </c>
      <c r="J257" s="10">
        <f>'[18]key-in(DCO)'!AN255</f>
        <v>32.200000000000003</v>
      </c>
      <c r="K257" s="10">
        <f>'[18]key-in(DCO)'!AO255</f>
        <v>31.76</v>
      </c>
      <c r="L257" s="9">
        <f>'[18]key-in(DCO)'!AR255</f>
        <v>4278</v>
      </c>
      <c r="M257" s="10">
        <f>[18]생산!AV254</f>
        <v>0</v>
      </c>
      <c r="N257" s="10">
        <f>[18]생산!AW254</f>
        <v>0</v>
      </c>
      <c r="O257" s="10">
        <f>[18]생산!AX254</f>
        <v>0</v>
      </c>
      <c r="P257" s="10">
        <f>[18]생산!AY254</f>
        <v>0</v>
      </c>
      <c r="Q257" s="10">
        <f>[19]생산!BE254</f>
        <v>0</v>
      </c>
      <c r="R257" s="10">
        <f>[18]생산!BA254</f>
        <v>0</v>
      </c>
      <c r="S257" s="9">
        <f>[18]운전시간외!C254</f>
        <v>0</v>
      </c>
      <c r="T257" s="9">
        <f>[18]운전시간외!D254</f>
        <v>0</v>
      </c>
      <c r="U257" s="9">
        <f>[18]운전시간외!E254</f>
        <v>0</v>
      </c>
      <c r="V257" s="9">
        <f>[18]운전시간외!F254</f>
        <v>0</v>
      </c>
      <c r="W257" s="11">
        <f>[18]생산!E254</f>
        <v>0</v>
      </c>
      <c r="X257" s="11">
        <f>[18]생산!F254</f>
        <v>0</v>
      </c>
      <c r="Y257" s="11">
        <f>[18]생산!G254</f>
        <v>0</v>
      </c>
      <c r="Z257" s="11">
        <f>[18]생산!H254</f>
        <v>0</v>
      </c>
      <c r="AA257" s="11">
        <f>[18]생산!I254</f>
        <v>0</v>
      </c>
      <c r="AB257" s="11">
        <f>[18]생산!J254</f>
        <v>0</v>
      </c>
      <c r="AC257" s="48">
        <f>ROUNDDOWN('[20]2025년'!G253/1000,1)</f>
        <v>0</v>
      </c>
    </row>
    <row r="258" spans="1:29">
      <c r="A258" s="6">
        <f t="shared" si="3"/>
        <v>45910</v>
      </c>
      <c r="B258" s="9">
        <f>'[18]key-in(LO)'!Z256</f>
        <v>8226</v>
      </c>
      <c r="C258" s="9">
        <f>'[18]key-in(LO)'!AA256</f>
        <v>241875</v>
      </c>
      <c r="D258" s="9">
        <f>'[18]key-in(LO)'!AB256</f>
        <v>235427</v>
      </c>
      <c r="E258" s="9">
        <f>'[18]key-in(LO)'!AC256</f>
        <v>16249.85</v>
      </c>
      <c r="F258" s="9">
        <f>'[18]key-in(LO)'!AD256</f>
        <v>13169.38</v>
      </c>
      <c r="G258" s="9">
        <f>'[18]key-in(LO)'!AE256</f>
        <v>3926.8</v>
      </c>
      <c r="H258" s="9">
        <f>'[18]key-in(LO)'!AF256</f>
        <v>21325</v>
      </c>
      <c r="I258" s="9">
        <f>'[18]key-in(LO)'!AG256</f>
        <v>288500</v>
      </c>
      <c r="J258" s="10">
        <f>'[18]key-in(DCO)'!AN256</f>
        <v>32.020000000000003</v>
      </c>
      <c r="K258" s="10">
        <f>'[18]key-in(DCO)'!AO256</f>
        <v>31.84</v>
      </c>
      <c r="L258" s="9">
        <f>'[18]key-in(DCO)'!AR256</f>
        <v>7599</v>
      </c>
      <c r="M258" s="10">
        <f>[18]생산!AV255</f>
        <v>0</v>
      </c>
      <c r="N258" s="10">
        <f>[18]생산!AW255</f>
        <v>0</v>
      </c>
      <c r="O258" s="10">
        <f>[18]생산!AX255</f>
        <v>0</v>
      </c>
      <c r="P258" s="10">
        <f>[18]생산!AY255</f>
        <v>0</v>
      </c>
      <c r="Q258" s="10">
        <f>[19]생산!BE255</f>
        <v>0</v>
      </c>
      <c r="R258" s="10">
        <f>[18]생산!BA255</f>
        <v>0</v>
      </c>
      <c r="S258" s="9">
        <f>[18]운전시간외!C255</f>
        <v>0</v>
      </c>
      <c r="T258" s="9">
        <f>[18]운전시간외!D255</f>
        <v>0</v>
      </c>
      <c r="U258" s="9">
        <f>[18]운전시간외!E255</f>
        <v>0</v>
      </c>
      <c r="V258" s="9">
        <f>[18]운전시간외!F255</f>
        <v>0</v>
      </c>
      <c r="W258" s="11">
        <f>[18]생산!E255</f>
        <v>0</v>
      </c>
      <c r="X258" s="11">
        <f>[18]생산!F255</f>
        <v>0</v>
      </c>
      <c r="Y258" s="11">
        <f>[18]생산!G255</f>
        <v>0</v>
      </c>
      <c r="Z258" s="11">
        <f>[18]생산!H255</f>
        <v>0</v>
      </c>
      <c r="AA258" s="11">
        <f>[18]생산!I255</f>
        <v>0</v>
      </c>
      <c r="AB258" s="11">
        <f>[18]생산!J255</f>
        <v>0</v>
      </c>
      <c r="AC258" s="48">
        <f>ROUNDDOWN('[20]2025년'!G254/1000,1)</f>
        <v>0</v>
      </c>
    </row>
    <row r="259" spans="1:29">
      <c r="A259" s="6">
        <f t="shared" si="3"/>
        <v>45911</v>
      </c>
      <c r="B259" s="9">
        <f>'[18]key-in(LO)'!Z257</f>
        <v>8239</v>
      </c>
      <c r="C259" s="9">
        <f>'[18]key-in(LO)'!AA257</f>
        <v>241952</v>
      </c>
      <c r="D259" s="9">
        <f>'[18]key-in(LO)'!AB257</f>
        <v>235512</v>
      </c>
      <c r="E259" s="9">
        <f>'[18]key-in(LO)'!AC257</f>
        <v>16277.18</v>
      </c>
      <c r="F259" s="9">
        <f>'[18]key-in(LO)'!AD257</f>
        <v>13171.64</v>
      </c>
      <c r="G259" s="9">
        <f>'[18]key-in(LO)'!AE257</f>
        <v>3928</v>
      </c>
      <c r="H259" s="9">
        <f>'[18]key-in(LO)'!AF257</f>
        <v>21487</v>
      </c>
      <c r="I259" s="9">
        <f>'[18]key-in(LO)'!AG257</f>
        <v>288743</v>
      </c>
      <c r="J259" s="10">
        <f>'[18]key-in(DCO)'!AN257</f>
        <v>32.299999999999997</v>
      </c>
      <c r="K259" s="10">
        <f>'[18]key-in(DCO)'!AO257</f>
        <v>32</v>
      </c>
      <c r="L259" s="9">
        <f>'[18]key-in(DCO)'!AR257</f>
        <v>7087</v>
      </c>
      <c r="M259" s="10">
        <f>[18]생산!AV256</f>
        <v>0</v>
      </c>
      <c r="N259" s="10">
        <f>[18]생산!AW256</f>
        <v>0</v>
      </c>
      <c r="O259" s="10">
        <f>[18]생산!AX256</f>
        <v>0</v>
      </c>
      <c r="P259" s="10">
        <f>[18]생산!AY256</f>
        <v>0</v>
      </c>
      <c r="Q259" s="10">
        <f>[19]생산!BE256</f>
        <v>0</v>
      </c>
      <c r="R259" s="10">
        <f>[18]생산!BA256</f>
        <v>0</v>
      </c>
      <c r="S259" s="9">
        <f>[18]운전시간외!C256</f>
        <v>0</v>
      </c>
      <c r="T259" s="9">
        <f>[18]운전시간외!D256</f>
        <v>0</v>
      </c>
      <c r="U259" s="9">
        <f>[18]운전시간외!E256</f>
        <v>0</v>
      </c>
      <c r="V259" s="9">
        <f>[18]운전시간외!F256</f>
        <v>0</v>
      </c>
      <c r="W259" s="11">
        <f>[18]생산!E256</f>
        <v>0</v>
      </c>
      <c r="X259" s="11">
        <f>[18]생산!F256</f>
        <v>0</v>
      </c>
      <c r="Y259" s="11">
        <f>[18]생산!G256</f>
        <v>0</v>
      </c>
      <c r="Z259" s="11">
        <f>[18]생산!H256</f>
        <v>0</v>
      </c>
      <c r="AA259" s="11">
        <f>[18]생산!I256</f>
        <v>0</v>
      </c>
      <c r="AB259" s="11">
        <f>[18]생산!J256</f>
        <v>0</v>
      </c>
      <c r="AC259" s="48">
        <f>ROUNDDOWN('[20]2025년'!G255/1000,1)</f>
        <v>0</v>
      </c>
    </row>
    <row r="260" spans="1:29">
      <c r="A260" s="6">
        <f t="shared" si="3"/>
        <v>45912</v>
      </c>
      <c r="B260" s="9">
        <f>'[18]key-in(LO)'!Z258</f>
        <v>8239</v>
      </c>
      <c r="C260" s="9">
        <f>'[18]key-in(LO)'!AA258</f>
        <v>242047</v>
      </c>
      <c r="D260" s="9">
        <f>'[18]key-in(LO)'!AB258</f>
        <v>235573</v>
      </c>
      <c r="E260" s="9">
        <f>'[18]key-in(LO)'!AC258</f>
        <v>16304.29</v>
      </c>
      <c r="F260" s="9">
        <f>'[18]key-in(LO)'!AD258</f>
        <v>13176.32</v>
      </c>
      <c r="G260" s="9">
        <f>'[18]key-in(LO)'!AE258</f>
        <v>3929.4</v>
      </c>
      <c r="H260" s="9">
        <f>'[18]key-in(LO)'!AF258</f>
        <v>21588</v>
      </c>
      <c r="I260" s="9">
        <f>'[18]key-in(LO)'!AG258</f>
        <v>288931</v>
      </c>
      <c r="J260" s="10">
        <f>'[18]key-in(DCO)'!AN258</f>
        <v>32.32</v>
      </c>
      <c r="K260" s="10">
        <f>'[18]key-in(DCO)'!AO258</f>
        <v>31.99</v>
      </c>
      <c r="L260" s="9">
        <f>'[18]key-in(DCO)'!AR258</f>
        <v>8747</v>
      </c>
      <c r="M260" s="10">
        <f>[18]생산!AV257</f>
        <v>0</v>
      </c>
      <c r="N260" s="10">
        <f>[18]생산!AW257</f>
        <v>0</v>
      </c>
      <c r="O260" s="10">
        <f>[18]생산!AX257</f>
        <v>0</v>
      </c>
      <c r="P260" s="10">
        <f>[18]생산!AY257</f>
        <v>0</v>
      </c>
      <c r="Q260" s="10">
        <f>[19]생산!BE257</f>
        <v>0</v>
      </c>
      <c r="R260" s="10">
        <f>[18]생산!BA257</f>
        <v>0</v>
      </c>
      <c r="S260" s="9">
        <f>[18]운전시간외!C257</f>
        <v>0</v>
      </c>
      <c r="T260" s="9">
        <f>[18]운전시간외!D257</f>
        <v>0</v>
      </c>
      <c r="U260" s="9">
        <f>[18]운전시간외!E257</f>
        <v>0</v>
      </c>
      <c r="V260" s="9">
        <f>[18]운전시간외!F257</f>
        <v>0</v>
      </c>
      <c r="W260" s="11">
        <f>[18]생산!E257</f>
        <v>0</v>
      </c>
      <c r="X260" s="11">
        <f>[18]생산!F257</f>
        <v>0</v>
      </c>
      <c r="Y260" s="11">
        <f>[18]생산!G257</f>
        <v>0</v>
      </c>
      <c r="Z260" s="11">
        <f>[18]생산!H257</f>
        <v>0</v>
      </c>
      <c r="AA260" s="11">
        <f>[18]생산!I257</f>
        <v>0</v>
      </c>
      <c r="AB260" s="11">
        <f>[18]생산!J257</f>
        <v>0</v>
      </c>
      <c r="AC260" s="48">
        <f>ROUNDDOWN('[20]2025년'!G256/1000,1)</f>
        <v>0</v>
      </c>
    </row>
    <row r="261" spans="1:29">
      <c r="A261" s="6">
        <f t="shared" si="3"/>
        <v>45913</v>
      </c>
      <c r="B261" s="9">
        <f>'[18]key-in(LO)'!Z259</f>
        <v>8239</v>
      </c>
      <c r="C261" s="9">
        <f>'[18]key-in(LO)'!AA259</f>
        <v>242124</v>
      </c>
      <c r="D261" s="9">
        <f>'[18]key-in(LO)'!AB259</f>
        <v>235597</v>
      </c>
      <c r="E261" s="9">
        <f>'[18]key-in(LO)'!AC259</f>
        <v>16324.87</v>
      </c>
      <c r="F261" s="9">
        <f>'[18]key-in(LO)'!AD259</f>
        <v>13180.46</v>
      </c>
      <c r="G261" s="9">
        <f>'[18]key-in(LO)'!AE259</f>
        <v>3930.7</v>
      </c>
      <c r="H261" s="9">
        <f>'[18]key-in(LO)'!AF259</f>
        <v>21731</v>
      </c>
      <c r="I261" s="9">
        <f>'[18]key-in(LO)'!AG259</f>
        <v>289094</v>
      </c>
      <c r="J261" s="10">
        <f>'[18]key-in(DCO)'!AN259</f>
        <v>32.39</v>
      </c>
      <c r="K261" s="10">
        <f>'[18]key-in(DCO)'!AO259</f>
        <v>31.94</v>
      </c>
      <c r="L261" s="9">
        <f>'[18]key-in(DCO)'!AR259</f>
        <v>8669</v>
      </c>
      <c r="M261" s="10">
        <f>[18]생산!AV258</f>
        <v>0</v>
      </c>
      <c r="N261" s="10">
        <f>[18]생산!AW258</f>
        <v>0</v>
      </c>
      <c r="O261" s="10">
        <f>[18]생산!AX258</f>
        <v>0</v>
      </c>
      <c r="P261" s="10">
        <f>[18]생산!AY258</f>
        <v>0</v>
      </c>
      <c r="Q261" s="10">
        <f>[19]생산!BE258</f>
        <v>0</v>
      </c>
      <c r="R261" s="10">
        <f>[18]생산!BA258</f>
        <v>0</v>
      </c>
      <c r="S261" s="9">
        <f>[18]운전시간외!C258</f>
        <v>0</v>
      </c>
      <c r="T261" s="9">
        <f>[18]운전시간외!D258</f>
        <v>0</v>
      </c>
      <c r="U261" s="9">
        <f>[18]운전시간외!E258</f>
        <v>0</v>
      </c>
      <c r="V261" s="9">
        <f>[18]운전시간외!F258</f>
        <v>0</v>
      </c>
      <c r="W261" s="11">
        <f>[18]생산!E258</f>
        <v>0</v>
      </c>
      <c r="X261" s="11">
        <f>[18]생산!F258</f>
        <v>0</v>
      </c>
      <c r="Y261" s="11">
        <f>[18]생산!G258</f>
        <v>0</v>
      </c>
      <c r="Z261" s="11">
        <f>[18]생산!H258</f>
        <v>0</v>
      </c>
      <c r="AA261" s="11">
        <f>[18]생산!I258</f>
        <v>0</v>
      </c>
      <c r="AB261" s="11">
        <f>[18]생산!J258</f>
        <v>0</v>
      </c>
      <c r="AC261" s="48">
        <f>ROUNDDOWN('[20]2025년'!G257/1000,1)</f>
        <v>0</v>
      </c>
    </row>
    <row r="262" spans="1:29">
      <c r="A262" s="6">
        <f t="shared" si="3"/>
        <v>45914</v>
      </c>
      <c r="B262" s="9">
        <f>'[18]key-in(LO)'!Z260</f>
        <v>8239</v>
      </c>
      <c r="C262" s="9">
        <f>'[18]key-in(LO)'!AA260</f>
        <v>242124</v>
      </c>
      <c r="D262" s="9">
        <f>'[18]key-in(LO)'!AB260</f>
        <v>235597</v>
      </c>
      <c r="E262" s="9">
        <f>'[18]key-in(LO)'!AC260</f>
        <v>16348.94</v>
      </c>
      <c r="F262" s="9">
        <f>'[18]key-in(LO)'!AD260</f>
        <v>13180.46</v>
      </c>
      <c r="G262" s="9">
        <f>'[18]key-in(LO)'!AE260</f>
        <v>3931.9</v>
      </c>
      <c r="H262" s="9">
        <f>'[18]key-in(LO)'!AF260</f>
        <v>21777</v>
      </c>
      <c r="I262" s="9">
        <f>'[18]key-in(LO)'!AG260</f>
        <v>108</v>
      </c>
      <c r="J262" s="10">
        <f>'[18]key-in(DCO)'!AN260</f>
        <v>32.33</v>
      </c>
      <c r="K262" s="10">
        <f>'[18]key-in(DCO)'!AO260</f>
        <v>31.89</v>
      </c>
      <c r="L262" s="9">
        <f>'[18]key-in(DCO)'!AR260</f>
        <v>8310</v>
      </c>
      <c r="M262" s="10">
        <f>[18]생산!AV259</f>
        <v>0</v>
      </c>
      <c r="N262" s="10">
        <f>[18]생산!AW259</f>
        <v>0</v>
      </c>
      <c r="O262" s="10">
        <f>[18]생산!AX259</f>
        <v>0</v>
      </c>
      <c r="P262" s="10">
        <f>[18]생산!AY259</f>
        <v>0</v>
      </c>
      <c r="Q262" s="10">
        <f>[19]생산!BE259</f>
        <v>0</v>
      </c>
      <c r="R262" s="10">
        <f>[18]생산!BA259</f>
        <v>0</v>
      </c>
      <c r="S262" s="9">
        <f>[18]운전시간외!C259</f>
        <v>0</v>
      </c>
      <c r="T262" s="9">
        <f>[18]운전시간외!D259</f>
        <v>0</v>
      </c>
      <c r="U262" s="9">
        <f>[18]운전시간외!E259</f>
        <v>0</v>
      </c>
      <c r="V262" s="9">
        <f>[18]운전시간외!F259</f>
        <v>0</v>
      </c>
      <c r="W262" s="11">
        <f>[18]생산!E259</f>
        <v>0</v>
      </c>
      <c r="X262" s="11">
        <f>[18]생산!F259</f>
        <v>0</v>
      </c>
      <c r="Y262" s="11">
        <f>[18]생산!G259</f>
        <v>0</v>
      </c>
      <c r="Z262" s="11">
        <f>[18]생산!H259</f>
        <v>0</v>
      </c>
      <c r="AA262" s="11">
        <f>[18]생산!I259</f>
        <v>0</v>
      </c>
      <c r="AB262" s="11">
        <f>[18]생산!J259</f>
        <v>0</v>
      </c>
      <c r="AC262" s="48">
        <f>ROUNDDOWN('[20]2025년'!G258/1000,1)</f>
        <v>0</v>
      </c>
    </row>
    <row r="263" spans="1:29">
      <c r="A263" s="6">
        <f t="shared" si="3"/>
        <v>45915</v>
      </c>
      <c r="B263" s="9">
        <f>'[18]key-in(LO)'!Z261</f>
        <v>8258</v>
      </c>
      <c r="C263" s="9">
        <f>'[18]key-in(LO)'!AA261</f>
        <v>242218</v>
      </c>
      <c r="D263" s="9">
        <f>'[18]key-in(LO)'!AB261</f>
        <v>235664</v>
      </c>
      <c r="E263" s="9">
        <f>'[18]key-in(LO)'!AC261</f>
        <v>16391.439999999999</v>
      </c>
      <c r="F263" s="9">
        <f>'[18]key-in(LO)'!AD261</f>
        <v>13182.75</v>
      </c>
      <c r="G263" s="9">
        <f>'[18]key-in(LO)'!AE261</f>
        <v>3932.9</v>
      </c>
      <c r="H263" s="9">
        <f>'[18]key-in(LO)'!AF261</f>
        <v>21923</v>
      </c>
      <c r="I263" s="9">
        <f>'[18]key-in(LO)'!AG261</f>
        <v>302</v>
      </c>
      <c r="J263" s="10">
        <f>'[18]key-in(DCO)'!AN261</f>
        <v>32.54</v>
      </c>
      <c r="K263" s="10">
        <f>'[18]key-in(DCO)'!AO261</f>
        <v>32.14</v>
      </c>
      <c r="L263" s="9">
        <f>'[18]key-in(DCO)'!AR261</f>
        <v>7871</v>
      </c>
      <c r="M263" s="10">
        <f>[18]생산!AV260</f>
        <v>0</v>
      </c>
      <c r="N263" s="10">
        <f>[18]생산!AW260</f>
        <v>0</v>
      </c>
      <c r="O263" s="10">
        <f>[18]생산!AX260</f>
        <v>0</v>
      </c>
      <c r="P263" s="10">
        <f>[18]생산!AY260</f>
        <v>0</v>
      </c>
      <c r="Q263" s="10">
        <f>[19]생산!BE260</f>
        <v>0</v>
      </c>
      <c r="R263" s="10">
        <f>[18]생산!BA260</f>
        <v>0</v>
      </c>
      <c r="S263" s="9">
        <f>[18]운전시간외!C260</f>
        <v>0</v>
      </c>
      <c r="T263" s="9">
        <f>[18]운전시간외!D260</f>
        <v>0</v>
      </c>
      <c r="U263" s="9">
        <f>[18]운전시간외!E260</f>
        <v>0</v>
      </c>
      <c r="V263" s="9">
        <f>[18]운전시간외!F260</f>
        <v>0</v>
      </c>
      <c r="W263" s="11">
        <f>[18]생산!E260</f>
        <v>0</v>
      </c>
      <c r="X263" s="11">
        <f>[18]생산!F260</f>
        <v>0</v>
      </c>
      <c r="Y263" s="11">
        <f>[18]생산!G260</f>
        <v>0</v>
      </c>
      <c r="Z263" s="11">
        <f>[18]생산!H260</f>
        <v>0</v>
      </c>
      <c r="AA263" s="11">
        <f>[18]생산!I260</f>
        <v>0</v>
      </c>
      <c r="AB263" s="11">
        <f>[18]생산!J260</f>
        <v>0</v>
      </c>
      <c r="AC263" s="48">
        <f>ROUNDDOWN('[20]2025년'!G259/1000,1)</f>
        <v>0</v>
      </c>
    </row>
    <row r="264" spans="1:29">
      <c r="A264" s="6">
        <f t="shared" ref="A264:A327" si="4">A263+1</f>
        <v>45916</v>
      </c>
      <c r="B264" s="9">
        <f>'[18]key-in(LO)'!Z262</f>
        <v>8293</v>
      </c>
      <c r="C264" s="9">
        <f>'[18]key-in(LO)'!AA262</f>
        <v>242287</v>
      </c>
      <c r="D264" s="9">
        <f>'[18]key-in(LO)'!AB262</f>
        <v>235764</v>
      </c>
      <c r="E264" s="9">
        <f>'[18]key-in(LO)'!AC262</f>
        <v>16426.25</v>
      </c>
      <c r="F264" s="9">
        <f>'[18]key-in(LO)'!AD262</f>
        <v>13200.12</v>
      </c>
      <c r="G264" s="9">
        <f>'[18]key-in(LO)'!AE262</f>
        <v>3933.7</v>
      </c>
      <c r="H264" s="9">
        <f>'[18]key-in(LO)'!AF262</f>
        <v>22039</v>
      </c>
      <c r="I264" s="9">
        <f>'[18]key-in(LO)'!AG262</f>
        <v>562</v>
      </c>
      <c r="J264" s="10">
        <f>'[18]key-in(DCO)'!AN262</f>
        <v>32.83</v>
      </c>
      <c r="K264" s="10">
        <f>'[18]key-in(DCO)'!AO262</f>
        <v>32.32</v>
      </c>
      <c r="L264" s="9">
        <f>'[18]key-in(DCO)'!AR262</f>
        <v>6852</v>
      </c>
      <c r="M264" s="10">
        <f>[18]생산!AV261</f>
        <v>0</v>
      </c>
      <c r="N264" s="10">
        <f>[18]생산!AW261</f>
        <v>0</v>
      </c>
      <c r="O264" s="10">
        <f>[18]생산!AX261</f>
        <v>0</v>
      </c>
      <c r="P264" s="10">
        <f>[18]생산!AY261</f>
        <v>0</v>
      </c>
      <c r="Q264" s="10">
        <f>[19]생산!BE261</f>
        <v>0</v>
      </c>
      <c r="R264" s="10">
        <f>[18]생산!BA261</f>
        <v>0</v>
      </c>
      <c r="S264" s="9">
        <f>[18]운전시간외!C261</f>
        <v>0</v>
      </c>
      <c r="T264" s="9">
        <f>[18]운전시간외!D261</f>
        <v>0</v>
      </c>
      <c r="U264" s="9">
        <f>[18]운전시간외!E261</f>
        <v>0</v>
      </c>
      <c r="V264" s="9">
        <f>[18]운전시간외!F261</f>
        <v>0</v>
      </c>
      <c r="W264" s="11">
        <f>[18]생산!E261</f>
        <v>0</v>
      </c>
      <c r="X264" s="11">
        <f>[18]생산!F261</f>
        <v>0</v>
      </c>
      <c r="Y264" s="11">
        <f>[18]생산!G261</f>
        <v>0</v>
      </c>
      <c r="Z264" s="11">
        <f>[18]생산!H261</f>
        <v>0</v>
      </c>
      <c r="AA264" s="11">
        <f>[18]생산!I261</f>
        <v>0</v>
      </c>
      <c r="AB264" s="11">
        <f>[18]생산!J261</f>
        <v>0</v>
      </c>
      <c r="AC264" s="48">
        <f>ROUNDDOWN('[20]2025년'!G260/1000,1)</f>
        <v>0</v>
      </c>
    </row>
    <row r="265" spans="1:29">
      <c r="A265" s="6">
        <f t="shared" si="4"/>
        <v>45917</v>
      </c>
      <c r="B265" s="9">
        <f>'[18]key-in(LO)'!Z263</f>
        <v>8328</v>
      </c>
      <c r="C265" s="9">
        <f>'[18]key-in(LO)'!AA263</f>
        <v>242430</v>
      </c>
      <c r="D265" s="9">
        <f>'[18]key-in(LO)'!AB263</f>
        <v>235846</v>
      </c>
      <c r="E265" s="9">
        <f>'[18]key-in(LO)'!AC263</f>
        <v>16441.599999999999</v>
      </c>
      <c r="F265" s="9">
        <f>'[18]key-in(LO)'!AD263</f>
        <v>13217.29</v>
      </c>
      <c r="G265" s="9">
        <f>'[18]key-in(LO)'!AE263</f>
        <v>3934.6</v>
      </c>
      <c r="H265" s="9">
        <f>'[18]key-in(LO)'!AF263</f>
        <v>22084</v>
      </c>
      <c r="I265" s="9">
        <f>'[18]key-in(LO)'!AG263</f>
        <v>814</v>
      </c>
      <c r="J265" s="10">
        <f>'[18]key-in(DCO)'!AN263</f>
        <v>32.82</v>
      </c>
      <c r="K265" s="10">
        <f>'[18]key-in(DCO)'!AO263</f>
        <v>32.479999999999997</v>
      </c>
      <c r="L265" s="9">
        <f>'[18]key-in(DCO)'!AR263</f>
        <v>5057</v>
      </c>
      <c r="M265" s="10">
        <f>[18]생산!AV262</f>
        <v>0</v>
      </c>
      <c r="N265" s="10">
        <f>[18]생산!AW262</f>
        <v>0</v>
      </c>
      <c r="O265" s="10">
        <f>[18]생산!AX262</f>
        <v>0</v>
      </c>
      <c r="P265" s="10">
        <f>[18]생산!AY262</f>
        <v>0</v>
      </c>
      <c r="Q265" s="10">
        <f>[19]생산!BE262</f>
        <v>0</v>
      </c>
      <c r="R265" s="10">
        <f>[18]생산!BA262</f>
        <v>0</v>
      </c>
      <c r="S265" s="9">
        <f>[18]운전시간외!C262</f>
        <v>0</v>
      </c>
      <c r="T265" s="9">
        <f>[18]운전시간외!D262</f>
        <v>0</v>
      </c>
      <c r="U265" s="9">
        <f>[18]운전시간외!E262</f>
        <v>0</v>
      </c>
      <c r="V265" s="9">
        <f>[18]운전시간외!F262</f>
        <v>0</v>
      </c>
      <c r="W265" s="11">
        <f>[18]생산!E262</f>
        <v>0</v>
      </c>
      <c r="X265" s="11">
        <f>[18]생산!F262</f>
        <v>0</v>
      </c>
      <c r="Y265" s="11">
        <f>[18]생산!G262</f>
        <v>0</v>
      </c>
      <c r="Z265" s="11">
        <f>[18]생산!H262</f>
        <v>0</v>
      </c>
      <c r="AA265" s="11">
        <f>[18]생산!I262</f>
        <v>0</v>
      </c>
      <c r="AB265" s="11">
        <f>[18]생산!J262</f>
        <v>0</v>
      </c>
      <c r="AC265" s="48">
        <f>ROUNDDOWN('[20]2025년'!G261/1000,1)</f>
        <v>0</v>
      </c>
    </row>
    <row r="266" spans="1:29">
      <c r="A266" s="6">
        <f t="shared" si="4"/>
        <v>45918</v>
      </c>
      <c r="B266" s="9">
        <f>'[18]key-in(LO)'!Z264</f>
        <v>8362</v>
      </c>
      <c r="C266" s="9">
        <f>'[18]key-in(LO)'!AA264</f>
        <v>242480</v>
      </c>
      <c r="D266" s="9">
        <f>'[18]key-in(LO)'!AB264</f>
        <v>236008</v>
      </c>
      <c r="E266" s="9">
        <f>'[18]key-in(LO)'!AC264</f>
        <v>16458.07</v>
      </c>
      <c r="F266" s="9">
        <f>'[18]key-in(LO)'!AD264</f>
        <v>13243.2</v>
      </c>
      <c r="G266" s="9">
        <f>'[18]key-in(LO)'!AE264</f>
        <v>3935.8</v>
      </c>
      <c r="H266" s="9">
        <f>'[18]key-in(LO)'!AF264</f>
        <v>22304</v>
      </c>
      <c r="I266" s="9">
        <f>'[18]key-in(LO)'!AG264</f>
        <v>1081</v>
      </c>
      <c r="J266" s="10">
        <f>'[18]key-in(DCO)'!AN264</f>
        <v>33.090000000000003</v>
      </c>
      <c r="K266" s="10">
        <f>'[18]key-in(DCO)'!AO264</f>
        <v>32.67</v>
      </c>
      <c r="L266" s="9">
        <f>'[18]key-in(DCO)'!AR264</f>
        <v>5321</v>
      </c>
      <c r="M266" s="10">
        <f>[18]생산!AV263</f>
        <v>0</v>
      </c>
      <c r="N266" s="10">
        <f>[18]생산!AW263</f>
        <v>0</v>
      </c>
      <c r="O266" s="10">
        <f>[18]생산!AX263</f>
        <v>0</v>
      </c>
      <c r="P266" s="10">
        <f>[18]생산!AY263</f>
        <v>0</v>
      </c>
      <c r="Q266" s="10">
        <f>[19]생산!BE263</f>
        <v>0</v>
      </c>
      <c r="R266" s="10">
        <f>[18]생산!BA263</f>
        <v>0</v>
      </c>
      <c r="S266" s="9">
        <f>[18]운전시간외!C263</f>
        <v>0</v>
      </c>
      <c r="T266" s="9">
        <f>[18]운전시간외!D263</f>
        <v>0</v>
      </c>
      <c r="U266" s="9">
        <f>[18]운전시간외!E263</f>
        <v>0</v>
      </c>
      <c r="V266" s="9">
        <f>[18]운전시간외!F263</f>
        <v>0</v>
      </c>
      <c r="W266" s="11">
        <f>[18]생산!E263</f>
        <v>0</v>
      </c>
      <c r="X266" s="11">
        <f>[18]생산!F263</f>
        <v>0</v>
      </c>
      <c r="Y266" s="11">
        <f>[18]생산!G263</f>
        <v>0</v>
      </c>
      <c r="Z266" s="11">
        <f>[18]생산!H263</f>
        <v>0</v>
      </c>
      <c r="AA266" s="11">
        <f>[18]생산!I263</f>
        <v>0</v>
      </c>
      <c r="AB266" s="11">
        <f>[18]생산!J263</f>
        <v>0</v>
      </c>
      <c r="AC266" s="48">
        <f>ROUNDDOWN('[20]2025년'!G262/1000,1)</f>
        <v>0</v>
      </c>
    </row>
    <row r="267" spans="1:29">
      <c r="A267" s="6">
        <f t="shared" si="4"/>
        <v>45919</v>
      </c>
      <c r="B267" s="9">
        <f>'[18]key-in(LO)'!Z265</f>
        <v>8398</v>
      </c>
      <c r="C267" s="9">
        <f>'[18]key-in(LO)'!AA265</f>
        <v>242674</v>
      </c>
      <c r="D267" s="9">
        <f>'[18]key-in(LO)'!AB265</f>
        <v>236008</v>
      </c>
      <c r="E267" s="9">
        <f>'[18]key-in(LO)'!AC265</f>
        <v>16472.099999999999</v>
      </c>
      <c r="F267" s="9">
        <f>'[18]key-in(LO)'!AD265</f>
        <v>13263.72</v>
      </c>
      <c r="G267" s="9">
        <f>'[18]key-in(LO)'!AE265</f>
        <v>3936.7</v>
      </c>
      <c r="H267" s="9">
        <f>'[18]key-in(LO)'!AF265</f>
        <v>22470</v>
      </c>
      <c r="I267" s="9">
        <f>'[18]key-in(LO)'!AG265</f>
        <v>1336</v>
      </c>
      <c r="J267" s="10">
        <f>'[18]key-in(DCO)'!AN265</f>
        <v>33.46</v>
      </c>
      <c r="K267" s="10">
        <f>'[18]key-in(DCO)'!AO265</f>
        <v>32.840000000000003</v>
      </c>
      <c r="L267" s="9">
        <f>'[18]key-in(DCO)'!AR265</f>
        <v>4496</v>
      </c>
      <c r="M267" s="10">
        <f>[18]생산!AV264</f>
        <v>0</v>
      </c>
      <c r="N267" s="10">
        <f>[18]생산!AW264</f>
        <v>0</v>
      </c>
      <c r="O267" s="10">
        <f>[18]생산!AX264</f>
        <v>0</v>
      </c>
      <c r="P267" s="10">
        <f>[18]생산!AY264</f>
        <v>0</v>
      </c>
      <c r="Q267" s="10">
        <f>[19]생산!BE264</f>
        <v>0</v>
      </c>
      <c r="R267" s="10">
        <f>[18]생산!BA264</f>
        <v>0</v>
      </c>
      <c r="S267" s="9">
        <f>[18]운전시간외!C264</f>
        <v>0</v>
      </c>
      <c r="T267" s="9">
        <f>[18]운전시간외!D264</f>
        <v>0</v>
      </c>
      <c r="U267" s="9">
        <f>[18]운전시간외!E264</f>
        <v>0</v>
      </c>
      <c r="V267" s="9">
        <f>[18]운전시간외!F264</f>
        <v>0</v>
      </c>
      <c r="W267" s="11">
        <f>[18]생산!E264</f>
        <v>0</v>
      </c>
      <c r="X267" s="11">
        <f>[18]생산!F264</f>
        <v>0</v>
      </c>
      <c r="Y267" s="11">
        <f>[18]생산!G264</f>
        <v>0</v>
      </c>
      <c r="Z267" s="11">
        <f>[18]생산!H264</f>
        <v>0</v>
      </c>
      <c r="AA267" s="11">
        <f>[18]생산!I264</f>
        <v>0</v>
      </c>
      <c r="AB267" s="11">
        <f>[18]생산!J264</f>
        <v>0</v>
      </c>
      <c r="AC267" s="48">
        <f>ROUNDDOWN('[20]2025년'!G263/1000,1)</f>
        <v>0</v>
      </c>
    </row>
    <row r="268" spans="1:29">
      <c r="A268" s="6">
        <f t="shared" si="4"/>
        <v>45920</v>
      </c>
      <c r="B268" s="9">
        <f>'[18]key-in(LO)'!Z266</f>
        <v>8433</v>
      </c>
      <c r="C268" s="9">
        <f>'[18]key-in(LO)'!AA266</f>
        <v>242706</v>
      </c>
      <c r="D268" s="9">
        <f>'[18]key-in(LO)'!AB266</f>
        <v>236191</v>
      </c>
      <c r="E268" s="9">
        <f>'[18]key-in(LO)'!AC266</f>
        <v>16479.099999999999</v>
      </c>
      <c r="F268" s="9">
        <f>'[18]key-in(LO)'!AD266</f>
        <v>13283.03</v>
      </c>
      <c r="G268" s="9">
        <f>'[18]key-in(LO)'!AE266</f>
        <v>3937.5</v>
      </c>
      <c r="H268" s="9">
        <f>'[18]key-in(LO)'!AF266</f>
        <v>22574</v>
      </c>
      <c r="I268" s="9">
        <f>'[18]key-in(LO)'!AG266</f>
        <v>1604</v>
      </c>
      <c r="J268" s="10">
        <f>'[18]key-in(DCO)'!AN266</f>
        <v>33.57</v>
      </c>
      <c r="K268" s="10">
        <f>'[18]key-in(DCO)'!AO266</f>
        <v>32.92</v>
      </c>
      <c r="L268" s="9">
        <f>'[18]key-in(DCO)'!AR266</f>
        <v>8007</v>
      </c>
      <c r="M268" s="10">
        <f>[18]생산!AV265</f>
        <v>0</v>
      </c>
      <c r="N268" s="10">
        <f>[18]생산!AW265</f>
        <v>0</v>
      </c>
      <c r="O268" s="10">
        <f>[18]생산!AX265</f>
        <v>0</v>
      </c>
      <c r="P268" s="10">
        <f>[18]생산!AY265</f>
        <v>0</v>
      </c>
      <c r="Q268" s="10">
        <f>[19]생산!BE265</f>
        <v>0</v>
      </c>
      <c r="R268" s="10">
        <f>[18]생산!BA265</f>
        <v>0</v>
      </c>
      <c r="S268" s="9">
        <f>[18]운전시간외!C265</f>
        <v>0</v>
      </c>
      <c r="T268" s="9">
        <f>[18]운전시간외!D265</f>
        <v>0</v>
      </c>
      <c r="U268" s="9">
        <f>[18]운전시간외!E265</f>
        <v>0</v>
      </c>
      <c r="V268" s="9">
        <f>[18]운전시간외!F265</f>
        <v>0</v>
      </c>
      <c r="W268" s="11">
        <f>[18]생산!E265</f>
        <v>0</v>
      </c>
      <c r="X268" s="11">
        <f>[18]생산!F265</f>
        <v>0</v>
      </c>
      <c r="Y268" s="11">
        <f>[18]생산!G265</f>
        <v>0</v>
      </c>
      <c r="Z268" s="11">
        <f>[18]생산!H265</f>
        <v>0</v>
      </c>
      <c r="AA268" s="11">
        <f>[18]생산!I265</f>
        <v>0</v>
      </c>
      <c r="AB268" s="11">
        <f>[18]생산!J265</f>
        <v>0</v>
      </c>
      <c r="AC268" s="48">
        <f>ROUNDDOWN('[20]2025년'!G264/1000,1)</f>
        <v>0</v>
      </c>
    </row>
    <row r="269" spans="1:29">
      <c r="A269" s="6">
        <f t="shared" si="4"/>
        <v>45921</v>
      </c>
      <c r="B269" s="9">
        <f>'[18]key-in(LO)'!Z267</f>
        <v>8448</v>
      </c>
      <c r="C269" s="9">
        <f>'[18]key-in(LO)'!AA267</f>
        <v>242769</v>
      </c>
      <c r="D269" s="9">
        <f>'[18]key-in(LO)'!AB267</f>
        <v>236191</v>
      </c>
      <c r="E269" s="9">
        <f>'[18]key-in(LO)'!AC267</f>
        <v>16487.939999999999</v>
      </c>
      <c r="F269" s="9">
        <f>'[18]key-in(LO)'!AD267</f>
        <v>13300.02</v>
      </c>
      <c r="G269" s="9">
        <f>'[18]key-in(LO)'!AE267</f>
        <v>3938.3</v>
      </c>
      <c r="H269" s="9">
        <f>'[18]key-in(LO)'!AF267</f>
        <v>22614</v>
      </c>
      <c r="I269" s="9">
        <f>'[18]key-in(LO)'!AG267</f>
        <v>1668</v>
      </c>
      <c r="J269" s="10">
        <f>'[18]key-in(DCO)'!AN267</f>
        <v>33.549999999999997</v>
      </c>
      <c r="K269" s="10">
        <f>'[18]key-in(DCO)'!AO267</f>
        <v>33.020000000000003</v>
      </c>
      <c r="L269" s="9">
        <f>'[18]key-in(DCO)'!AR267</f>
        <v>8479</v>
      </c>
      <c r="M269" s="10">
        <f>[18]생산!AV266</f>
        <v>0</v>
      </c>
      <c r="N269" s="10">
        <f>[18]생산!AW266</f>
        <v>0</v>
      </c>
      <c r="O269" s="10">
        <f>[18]생산!AX266</f>
        <v>0</v>
      </c>
      <c r="P269" s="10">
        <f>[18]생산!AY266</f>
        <v>0</v>
      </c>
      <c r="Q269" s="10">
        <f>[19]생산!BE266</f>
        <v>0</v>
      </c>
      <c r="R269" s="10">
        <f>[18]생산!BA266</f>
        <v>0</v>
      </c>
      <c r="S269" s="9">
        <f>[18]운전시간외!C266</f>
        <v>0</v>
      </c>
      <c r="T269" s="9">
        <f>[18]운전시간외!D266</f>
        <v>0</v>
      </c>
      <c r="U269" s="9">
        <f>[18]운전시간외!E266</f>
        <v>0</v>
      </c>
      <c r="V269" s="9">
        <f>[18]운전시간외!F266</f>
        <v>0</v>
      </c>
      <c r="W269" s="11">
        <f>[18]생산!E266</f>
        <v>0</v>
      </c>
      <c r="X269" s="11">
        <f>[18]생산!F266</f>
        <v>0</v>
      </c>
      <c r="Y269" s="11">
        <f>[18]생산!G266</f>
        <v>0</v>
      </c>
      <c r="Z269" s="11">
        <f>[18]생산!H266</f>
        <v>0</v>
      </c>
      <c r="AA269" s="11">
        <f>[18]생산!I266</f>
        <v>0</v>
      </c>
      <c r="AB269" s="11">
        <f>[18]생산!J266</f>
        <v>0</v>
      </c>
      <c r="AC269" s="48">
        <f>ROUNDDOWN('[20]2025년'!G265/1000,1)</f>
        <v>0</v>
      </c>
    </row>
    <row r="270" spans="1:29">
      <c r="A270" s="6">
        <f t="shared" si="4"/>
        <v>45922</v>
      </c>
      <c r="B270" s="9">
        <f>'[18]key-in(LO)'!Z268</f>
        <v>8448</v>
      </c>
      <c r="C270" s="9">
        <f>'[18]key-in(LO)'!AA268</f>
        <v>242836</v>
      </c>
      <c r="D270" s="9">
        <f>'[18]key-in(LO)'!AB268</f>
        <v>236191</v>
      </c>
      <c r="E270" s="9">
        <f>'[18]key-in(LO)'!AC268</f>
        <v>16499.86</v>
      </c>
      <c r="F270" s="9">
        <f>'[18]key-in(LO)'!AD268</f>
        <v>13320.38</v>
      </c>
      <c r="G270" s="9">
        <f>'[18]key-in(LO)'!AE268</f>
        <v>3939.1</v>
      </c>
      <c r="H270" s="9">
        <f>'[18]key-in(LO)'!AF268</f>
        <v>22703</v>
      </c>
      <c r="I270" s="9">
        <f>'[18]key-in(LO)'!AG268</f>
        <v>1818</v>
      </c>
      <c r="J270" s="10">
        <f>'[18]key-in(DCO)'!AN268</f>
        <v>33.340000000000003</v>
      </c>
      <c r="K270" s="10">
        <f>'[18]key-in(DCO)'!AO268</f>
        <v>33.08</v>
      </c>
      <c r="L270" s="9">
        <f>'[18]key-in(DCO)'!AR268</f>
        <v>8621</v>
      </c>
      <c r="M270" s="10">
        <f>[18]생산!AV267</f>
        <v>0</v>
      </c>
      <c r="N270" s="10">
        <f>[18]생산!AW267</f>
        <v>0</v>
      </c>
      <c r="O270" s="10">
        <f>[18]생산!AX267</f>
        <v>0</v>
      </c>
      <c r="P270" s="10">
        <f>[18]생산!AY267</f>
        <v>0</v>
      </c>
      <c r="Q270" s="10">
        <f>[19]생산!BE267</f>
        <v>0</v>
      </c>
      <c r="R270" s="10">
        <f>[18]생산!BA267</f>
        <v>0</v>
      </c>
      <c r="S270" s="9">
        <f>[18]운전시간외!C267</f>
        <v>0</v>
      </c>
      <c r="T270" s="9">
        <f>[18]운전시간외!D267</f>
        <v>0</v>
      </c>
      <c r="U270" s="9">
        <f>[18]운전시간외!E267</f>
        <v>0</v>
      </c>
      <c r="V270" s="9">
        <f>[18]운전시간외!F267</f>
        <v>0</v>
      </c>
      <c r="W270" s="11">
        <f>[18]생산!E267</f>
        <v>0</v>
      </c>
      <c r="X270" s="11">
        <f>[18]생산!F267</f>
        <v>0</v>
      </c>
      <c r="Y270" s="11">
        <f>[18]생산!G267</f>
        <v>0</v>
      </c>
      <c r="Z270" s="11">
        <f>[18]생산!H267</f>
        <v>0</v>
      </c>
      <c r="AA270" s="11">
        <f>[18]생산!I267</f>
        <v>0</v>
      </c>
      <c r="AB270" s="11">
        <f>[18]생산!J267</f>
        <v>0</v>
      </c>
      <c r="AC270" s="48">
        <f>ROUNDDOWN('[20]2025년'!G266/1000,1)</f>
        <v>0</v>
      </c>
    </row>
    <row r="271" spans="1:29">
      <c r="A271" s="6">
        <f t="shared" si="4"/>
        <v>45923</v>
      </c>
      <c r="B271" s="9">
        <f>'[18]key-in(LO)'!Z269</f>
        <v>8448</v>
      </c>
      <c r="C271" s="9">
        <f>'[18]key-in(LO)'!AA269</f>
        <v>242836</v>
      </c>
      <c r="D271" s="9">
        <f>'[18]key-in(LO)'!AB269</f>
        <v>236279</v>
      </c>
      <c r="E271" s="9">
        <f>'[18]key-in(LO)'!AC269</f>
        <v>16511.23</v>
      </c>
      <c r="F271" s="9">
        <f>'[18]key-in(LO)'!AD269</f>
        <v>13341.5</v>
      </c>
      <c r="G271" s="9">
        <f>'[18]key-in(LO)'!AE269</f>
        <v>3939.9</v>
      </c>
      <c r="H271" s="9">
        <f>'[18]key-in(LO)'!AF269</f>
        <v>22790</v>
      </c>
      <c r="I271" s="9">
        <f>'[18]key-in(LO)'!AG269</f>
        <v>1932</v>
      </c>
      <c r="J271" s="10">
        <f>'[18]key-in(DCO)'!AN269</f>
        <v>33.520000000000003</v>
      </c>
      <c r="K271" s="10">
        <f>'[18]key-in(DCO)'!AO269</f>
        <v>33.14</v>
      </c>
      <c r="L271" s="9">
        <f>'[18]key-in(DCO)'!AR269</f>
        <v>8650</v>
      </c>
      <c r="M271" s="10">
        <f>[18]생산!AV268</f>
        <v>0</v>
      </c>
      <c r="N271" s="10">
        <f>[18]생산!AW268</f>
        <v>0</v>
      </c>
      <c r="O271" s="10">
        <f>[18]생산!AX268</f>
        <v>0</v>
      </c>
      <c r="P271" s="10">
        <f>[18]생산!AY268</f>
        <v>0</v>
      </c>
      <c r="Q271" s="10">
        <f>[19]생산!BE268</f>
        <v>0</v>
      </c>
      <c r="R271" s="10">
        <f>[18]생산!BA268</f>
        <v>0</v>
      </c>
      <c r="S271" s="9">
        <f>[18]운전시간외!C268</f>
        <v>0</v>
      </c>
      <c r="T271" s="9">
        <f>[18]운전시간외!D268</f>
        <v>0</v>
      </c>
      <c r="U271" s="9">
        <f>[18]운전시간외!E268</f>
        <v>0</v>
      </c>
      <c r="V271" s="9">
        <f>[18]운전시간외!F268</f>
        <v>0</v>
      </c>
      <c r="W271" s="11">
        <f>[18]생산!E268</f>
        <v>0</v>
      </c>
      <c r="X271" s="11">
        <f>[18]생산!F268</f>
        <v>0</v>
      </c>
      <c r="Y271" s="11">
        <f>[18]생산!G268</f>
        <v>0</v>
      </c>
      <c r="Z271" s="11">
        <f>[18]생산!H268</f>
        <v>0</v>
      </c>
      <c r="AA271" s="11">
        <f>[18]생산!I268</f>
        <v>0</v>
      </c>
      <c r="AB271" s="11">
        <f>[18]생산!J268</f>
        <v>0</v>
      </c>
      <c r="AC271" s="48">
        <f>ROUNDDOWN('[20]2025년'!G267/1000,1)</f>
        <v>0</v>
      </c>
    </row>
    <row r="272" spans="1:29">
      <c r="A272" s="6">
        <f t="shared" si="4"/>
        <v>45924</v>
      </c>
      <c r="B272" s="9">
        <f>'[18]key-in(LO)'!Z270</f>
        <v>8448</v>
      </c>
      <c r="C272" s="9">
        <f>'[18]key-in(LO)'!AA270</f>
        <v>242864</v>
      </c>
      <c r="D272" s="9">
        <f>'[18]key-in(LO)'!AB270</f>
        <v>236279</v>
      </c>
      <c r="E272" s="9">
        <f>'[18]key-in(LO)'!AC270</f>
        <v>16523.009999999998</v>
      </c>
      <c r="F272" s="9">
        <f>'[18]key-in(LO)'!AD270</f>
        <v>13360.54</v>
      </c>
      <c r="G272" s="9">
        <f>'[18]key-in(LO)'!AE270</f>
        <v>3941.3</v>
      </c>
      <c r="H272" s="9">
        <f>'[18]key-in(LO)'!AF270</f>
        <v>22853</v>
      </c>
      <c r="I272" s="9">
        <f>'[18]key-in(LO)'!AG270</f>
        <v>1999</v>
      </c>
      <c r="J272" s="10">
        <f>'[18]key-in(DCO)'!AN270</f>
        <v>33.340000000000003</v>
      </c>
      <c r="K272" s="10">
        <f>'[18]key-in(DCO)'!AO270</f>
        <v>33.24</v>
      </c>
      <c r="L272" s="9">
        <f>'[18]key-in(DCO)'!AR270</f>
        <v>8608</v>
      </c>
      <c r="M272" s="10">
        <f>[18]생산!AV269</f>
        <v>0</v>
      </c>
      <c r="N272" s="10">
        <f>[18]생산!AW269</f>
        <v>0</v>
      </c>
      <c r="O272" s="10">
        <f>[18]생산!AX269</f>
        <v>0</v>
      </c>
      <c r="P272" s="10">
        <f>[18]생산!AY269</f>
        <v>0</v>
      </c>
      <c r="Q272" s="10">
        <f>[19]생산!BE269</f>
        <v>0</v>
      </c>
      <c r="R272" s="10">
        <f>[18]생산!BA269</f>
        <v>0</v>
      </c>
      <c r="S272" s="9">
        <f>[18]운전시간외!C269</f>
        <v>0</v>
      </c>
      <c r="T272" s="9">
        <f>[18]운전시간외!D269</f>
        <v>0</v>
      </c>
      <c r="U272" s="9">
        <f>[18]운전시간외!E269</f>
        <v>0</v>
      </c>
      <c r="V272" s="9">
        <f>[18]운전시간외!F269</f>
        <v>0</v>
      </c>
      <c r="W272" s="11">
        <f>[18]생산!E269</f>
        <v>0</v>
      </c>
      <c r="X272" s="11">
        <f>[18]생산!F269</f>
        <v>0</v>
      </c>
      <c r="Y272" s="11">
        <f>[18]생산!G269</f>
        <v>0</v>
      </c>
      <c r="Z272" s="11">
        <f>[18]생산!H269</f>
        <v>0</v>
      </c>
      <c r="AA272" s="11">
        <f>[18]생산!I269</f>
        <v>0</v>
      </c>
      <c r="AB272" s="11">
        <f>[18]생산!J269</f>
        <v>0</v>
      </c>
      <c r="AC272" s="48">
        <f>ROUNDDOWN('[20]2025년'!G268/1000,1)</f>
        <v>0</v>
      </c>
    </row>
    <row r="273" spans="1:29">
      <c r="A273" s="6">
        <f t="shared" si="4"/>
        <v>45925</v>
      </c>
      <c r="B273" s="9">
        <f>'[18]key-in(LO)'!Z271</f>
        <v>8448</v>
      </c>
      <c r="C273" s="9">
        <f>'[18]key-in(LO)'!AA271</f>
        <v>242902</v>
      </c>
      <c r="D273" s="9">
        <f>'[18]key-in(LO)'!AB271</f>
        <v>236279</v>
      </c>
      <c r="E273" s="9">
        <f>'[18]key-in(LO)'!AC271</f>
        <v>16535.22</v>
      </c>
      <c r="F273" s="9">
        <f>'[18]key-in(LO)'!AD271</f>
        <v>13376.95</v>
      </c>
      <c r="G273" s="9">
        <f>'[18]key-in(LO)'!AE271</f>
        <v>3942.1</v>
      </c>
      <c r="H273" s="9">
        <f>'[18]key-in(LO)'!AF271</f>
        <v>22978</v>
      </c>
      <c r="I273" s="9">
        <f>'[18]key-in(LO)'!AG271</f>
        <v>2074</v>
      </c>
      <c r="J273" s="10">
        <f>'[18]key-in(DCO)'!AN271</f>
        <v>33.36</v>
      </c>
      <c r="K273" s="10">
        <f>'[18]key-in(DCO)'!AO271</f>
        <v>33.25</v>
      </c>
      <c r="L273" s="9">
        <f>'[18]key-in(DCO)'!AR271</f>
        <v>8575</v>
      </c>
      <c r="M273" s="10">
        <f>[18]생산!AV270</f>
        <v>0</v>
      </c>
      <c r="N273" s="10">
        <f>[18]생산!AW270</f>
        <v>0</v>
      </c>
      <c r="O273" s="10">
        <f>[18]생산!AX270</f>
        <v>0</v>
      </c>
      <c r="P273" s="10">
        <f>[18]생산!AY270</f>
        <v>0</v>
      </c>
      <c r="Q273" s="10">
        <f>[19]생산!BE270</f>
        <v>0</v>
      </c>
      <c r="R273" s="10">
        <f>[18]생산!BA270</f>
        <v>0</v>
      </c>
      <c r="S273" s="9">
        <f>[18]운전시간외!C270</f>
        <v>0</v>
      </c>
      <c r="T273" s="9">
        <f>[18]운전시간외!D270</f>
        <v>0</v>
      </c>
      <c r="U273" s="9">
        <f>[18]운전시간외!E270</f>
        <v>0</v>
      </c>
      <c r="V273" s="9">
        <f>[18]운전시간외!F270</f>
        <v>0</v>
      </c>
      <c r="W273" s="11">
        <f>[18]생산!E270</f>
        <v>0</v>
      </c>
      <c r="X273" s="11">
        <f>[18]생산!F270</f>
        <v>0</v>
      </c>
      <c r="Y273" s="11">
        <f>[18]생산!G270</f>
        <v>0</v>
      </c>
      <c r="Z273" s="11">
        <f>[18]생산!H270</f>
        <v>0</v>
      </c>
      <c r="AA273" s="11">
        <f>[18]생산!I270</f>
        <v>0</v>
      </c>
      <c r="AB273" s="11">
        <f>[18]생산!J270</f>
        <v>0</v>
      </c>
      <c r="AC273" s="48">
        <f>ROUNDDOWN('[20]2025년'!G269/1000,1)</f>
        <v>0</v>
      </c>
    </row>
    <row r="274" spans="1:29">
      <c r="A274" s="6">
        <f t="shared" si="4"/>
        <v>45926</v>
      </c>
      <c r="B274" s="9">
        <f>'[18]key-in(LO)'!Z272</f>
        <v>0</v>
      </c>
      <c r="C274" s="9">
        <f>'[18]key-in(LO)'!AA272</f>
        <v>242990</v>
      </c>
      <c r="D274" s="9">
        <f>'[18]key-in(LO)'!AB272</f>
        <v>236279</v>
      </c>
      <c r="E274" s="9">
        <f>'[18]key-in(LO)'!AC272</f>
        <v>16547.990000000002</v>
      </c>
      <c r="F274" s="9">
        <f>'[18]key-in(LO)'!AD272</f>
        <v>13384.07</v>
      </c>
      <c r="G274" s="9">
        <f>'[18]key-in(LO)'!AE272</f>
        <v>3943</v>
      </c>
      <c r="H274" s="9">
        <f>'[18]key-in(LO)'!AF272</f>
        <v>23028</v>
      </c>
      <c r="I274" s="9">
        <f>'[18]key-in(LO)'!AG272</f>
        <v>2197</v>
      </c>
      <c r="J274" s="10">
        <f>'[18]key-in(DCO)'!AN272</f>
        <v>33.630000000000003</v>
      </c>
      <c r="K274" s="10">
        <f>'[18]key-in(DCO)'!AO272</f>
        <v>33.270000000000003</v>
      </c>
      <c r="L274" s="9">
        <f>'[18]key-in(DCO)'!AR272</f>
        <v>8658</v>
      </c>
      <c r="M274" s="10">
        <f>[18]생산!AV271</f>
        <v>0</v>
      </c>
      <c r="N274" s="10">
        <f>[18]생산!AW271</f>
        <v>0</v>
      </c>
      <c r="O274" s="10">
        <f>[18]생산!AX271</f>
        <v>0</v>
      </c>
      <c r="P274" s="10">
        <f>[18]생산!AY271</f>
        <v>0</v>
      </c>
      <c r="Q274" s="10">
        <f>[19]생산!BE271</f>
        <v>0</v>
      </c>
      <c r="R274" s="10">
        <f>[18]생산!BA271</f>
        <v>0</v>
      </c>
      <c r="S274" s="9">
        <f>[18]운전시간외!C271</f>
        <v>0</v>
      </c>
      <c r="T274" s="9">
        <f>[18]운전시간외!D271</f>
        <v>0</v>
      </c>
      <c r="U274" s="9">
        <f>[18]운전시간외!E271</f>
        <v>0</v>
      </c>
      <c r="V274" s="9">
        <f>[18]운전시간외!F271</f>
        <v>0</v>
      </c>
      <c r="W274" s="11">
        <f>[18]생산!E271</f>
        <v>0</v>
      </c>
      <c r="X274" s="11">
        <f>[18]생산!F271</f>
        <v>0</v>
      </c>
      <c r="Y274" s="11">
        <f>[18]생산!G271</f>
        <v>0</v>
      </c>
      <c r="Z274" s="11">
        <f>[18]생산!H271</f>
        <v>0</v>
      </c>
      <c r="AA274" s="11">
        <f>[18]생산!I271</f>
        <v>0</v>
      </c>
      <c r="AB274" s="11">
        <f>[18]생산!J271</f>
        <v>0</v>
      </c>
      <c r="AC274" s="48">
        <f>ROUNDDOWN('[20]2025년'!G270/1000,1)</f>
        <v>0</v>
      </c>
    </row>
    <row r="275" spans="1:29">
      <c r="A275" s="6">
        <f t="shared" si="4"/>
        <v>45927</v>
      </c>
      <c r="B275" s="9">
        <f>'[18]key-in(LO)'!Z273</f>
        <v>0</v>
      </c>
      <c r="C275" s="9">
        <f>'[18]key-in(LO)'!AA273</f>
        <v>242990</v>
      </c>
      <c r="D275" s="9">
        <f>'[18]key-in(LO)'!AB273</f>
        <v>236304</v>
      </c>
      <c r="E275" s="9">
        <f>'[18]key-in(LO)'!AC273</f>
        <v>16555.84</v>
      </c>
      <c r="F275" s="9">
        <f>'[18]key-in(LO)'!AD273</f>
        <v>13398.62</v>
      </c>
      <c r="G275" s="9">
        <f>'[18]key-in(LO)'!AE273</f>
        <v>3944.4</v>
      </c>
      <c r="H275" s="9">
        <f>'[18]key-in(LO)'!AF273</f>
        <v>23120</v>
      </c>
      <c r="I275" s="9">
        <f>'[18]key-in(LO)'!AG273</f>
        <v>2255</v>
      </c>
      <c r="J275" s="10">
        <f>'[18]key-in(DCO)'!AN273</f>
        <v>33.67</v>
      </c>
      <c r="K275" s="10">
        <f>'[18]key-in(DCO)'!AO273</f>
        <v>33.32</v>
      </c>
      <c r="L275" s="9">
        <f>'[18]key-in(DCO)'!AR273</f>
        <v>8596</v>
      </c>
      <c r="M275" s="10">
        <f>[18]생산!AV272</f>
        <v>0</v>
      </c>
      <c r="N275" s="10">
        <f>[18]생산!AW272</f>
        <v>0</v>
      </c>
      <c r="O275" s="10">
        <f>[18]생산!AX272</f>
        <v>0</v>
      </c>
      <c r="P275" s="10">
        <f>[18]생산!AY272</f>
        <v>0</v>
      </c>
      <c r="Q275" s="10">
        <f>[19]생산!BE272</f>
        <v>0</v>
      </c>
      <c r="R275" s="10">
        <f>[18]생산!BA272</f>
        <v>0</v>
      </c>
      <c r="S275" s="9">
        <f>[18]운전시간외!C272</f>
        <v>0</v>
      </c>
      <c r="T275" s="9">
        <f>[18]운전시간외!D272</f>
        <v>0</v>
      </c>
      <c r="U275" s="9">
        <f>[18]운전시간외!E272</f>
        <v>0</v>
      </c>
      <c r="V275" s="9">
        <f>[18]운전시간외!F272</f>
        <v>0</v>
      </c>
      <c r="W275" s="11">
        <f>[18]생산!E272</f>
        <v>0</v>
      </c>
      <c r="X275" s="11">
        <f>[18]생산!F272</f>
        <v>0</v>
      </c>
      <c r="Y275" s="11">
        <f>[18]생산!G272</f>
        <v>0</v>
      </c>
      <c r="Z275" s="11">
        <f>[18]생산!H272</f>
        <v>0</v>
      </c>
      <c r="AA275" s="11">
        <f>[18]생산!I272</f>
        <v>0</v>
      </c>
      <c r="AB275" s="11">
        <f>[18]생산!J272</f>
        <v>0</v>
      </c>
      <c r="AC275" s="48">
        <f>ROUNDDOWN('[20]2025년'!G271/1000,1)</f>
        <v>0</v>
      </c>
    </row>
    <row r="276" spans="1:29">
      <c r="A276" s="6">
        <f t="shared" si="4"/>
        <v>45928</v>
      </c>
      <c r="B276" s="9">
        <f>'[18]key-in(LO)'!Z274</f>
        <v>0</v>
      </c>
      <c r="C276" s="9">
        <f>'[18]key-in(LO)'!AA274</f>
        <v>242990</v>
      </c>
      <c r="D276" s="9">
        <f>'[18]key-in(LO)'!AB274</f>
        <v>236304</v>
      </c>
      <c r="E276" s="9">
        <f>'[18]key-in(LO)'!AC274</f>
        <v>16562.759999999998</v>
      </c>
      <c r="F276" s="9">
        <f>'[18]key-in(LO)'!AD274</f>
        <v>13399.81</v>
      </c>
      <c r="G276" s="9">
        <f>'[18]key-in(LO)'!AE274</f>
        <v>3944.8</v>
      </c>
      <c r="H276" s="9">
        <f>'[18]key-in(LO)'!AF274</f>
        <v>23120</v>
      </c>
      <c r="I276" s="9">
        <f>'[18]key-in(LO)'!AG274</f>
        <v>2274</v>
      </c>
      <c r="J276" s="10">
        <f>'[18]key-in(DCO)'!AN274</f>
        <v>33.74</v>
      </c>
      <c r="K276" s="10">
        <f>'[18]key-in(DCO)'!AO274</f>
        <v>33.35</v>
      </c>
      <c r="L276" s="9">
        <f>'[18]key-in(DCO)'!AR274</f>
        <v>8283</v>
      </c>
      <c r="M276" s="10">
        <f>[18]생산!AV273</f>
        <v>0</v>
      </c>
      <c r="N276" s="10">
        <f>[18]생산!AW273</f>
        <v>0</v>
      </c>
      <c r="O276" s="10">
        <f>[18]생산!AX273</f>
        <v>0</v>
      </c>
      <c r="P276" s="10">
        <f>[18]생산!AY273</f>
        <v>0</v>
      </c>
      <c r="Q276" s="10">
        <f>[19]생산!BE273</f>
        <v>0</v>
      </c>
      <c r="R276" s="10">
        <f>[18]생산!BA273</f>
        <v>0</v>
      </c>
      <c r="S276" s="9">
        <f>[18]운전시간외!C273</f>
        <v>0</v>
      </c>
      <c r="T276" s="9">
        <f>[18]운전시간외!D273</f>
        <v>0</v>
      </c>
      <c r="U276" s="9">
        <f>[18]운전시간외!E273</f>
        <v>0</v>
      </c>
      <c r="V276" s="9">
        <f>[18]운전시간외!F273</f>
        <v>0</v>
      </c>
      <c r="W276" s="11">
        <f>[18]생산!E273</f>
        <v>0</v>
      </c>
      <c r="X276" s="11">
        <f>[18]생산!F273</f>
        <v>0</v>
      </c>
      <c r="Y276" s="11">
        <f>[18]생산!G273</f>
        <v>0</v>
      </c>
      <c r="Z276" s="11">
        <f>[18]생산!H273</f>
        <v>0</v>
      </c>
      <c r="AA276" s="11">
        <f>[18]생산!I273</f>
        <v>0</v>
      </c>
      <c r="AB276" s="11">
        <f>[18]생산!J273</f>
        <v>0</v>
      </c>
      <c r="AC276" s="48">
        <f>ROUNDDOWN('[20]2025년'!G272/1000,1)</f>
        <v>0</v>
      </c>
    </row>
    <row r="277" spans="1:29">
      <c r="A277" s="6">
        <f t="shared" si="4"/>
        <v>45929</v>
      </c>
      <c r="B277" s="9">
        <f>'[18]key-in(LO)'!Z275</f>
        <v>0</v>
      </c>
      <c r="C277" s="9">
        <f>'[18]key-in(LO)'!AA275</f>
        <v>243067</v>
      </c>
      <c r="D277" s="9">
        <f>'[18]key-in(LO)'!AB275</f>
        <v>236351</v>
      </c>
      <c r="E277" s="9">
        <f>'[18]key-in(LO)'!AC275</f>
        <v>16573.87</v>
      </c>
      <c r="F277" s="9">
        <f>'[18]key-in(LO)'!AD275</f>
        <v>13407.08</v>
      </c>
      <c r="G277" s="9">
        <f>'[18]key-in(LO)'!AE275</f>
        <v>3945.9</v>
      </c>
      <c r="H277" s="9">
        <f>'[18]key-in(LO)'!AF275</f>
        <v>23244</v>
      </c>
      <c r="I277" s="9">
        <f>'[18]key-in(LO)'!AG275</f>
        <v>2431</v>
      </c>
      <c r="J277" s="10">
        <f>'[18]key-in(DCO)'!AN275</f>
        <v>33.67</v>
      </c>
      <c r="K277" s="10">
        <f>'[18]key-in(DCO)'!AO275</f>
        <v>33.35</v>
      </c>
      <c r="L277" s="9">
        <f>'[18]key-in(DCO)'!AR275</f>
        <v>8689</v>
      </c>
      <c r="M277" s="10">
        <f>[18]생산!AV274</f>
        <v>0</v>
      </c>
      <c r="N277" s="10">
        <f>[18]생산!AW274</f>
        <v>0</v>
      </c>
      <c r="O277" s="10">
        <f>[18]생산!AX274</f>
        <v>0</v>
      </c>
      <c r="P277" s="10">
        <f>[18]생산!AY274</f>
        <v>0</v>
      </c>
      <c r="Q277" s="10">
        <f>[19]생산!BE274</f>
        <v>0</v>
      </c>
      <c r="R277" s="10">
        <f>[18]생산!BA274</f>
        <v>0</v>
      </c>
      <c r="S277" s="9">
        <f>[18]운전시간외!C274</f>
        <v>0</v>
      </c>
      <c r="T277" s="9">
        <f>[18]운전시간외!D274</f>
        <v>0</v>
      </c>
      <c r="U277" s="9">
        <f>[18]운전시간외!E274</f>
        <v>0</v>
      </c>
      <c r="V277" s="9">
        <f>[18]운전시간외!F274</f>
        <v>0</v>
      </c>
      <c r="W277" s="11">
        <f>[18]생산!E274</f>
        <v>0</v>
      </c>
      <c r="X277" s="11">
        <f>[18]생산!F274</f>
        <v>0</v>
      </c>
      <c r="Y277" s="11">
        <f>[18]생산!G274</f>
        <v>0</v>
      </c>
      <c r="Z277" s="11">
        <f>[18]생산!H274</f>
        <v>0</v>
      </c>
      <c r="AA277" s="11">
        <f>[18]생산!I274</f>
        <v>0</v>
      </c>
      <c r="AB277" s="11">
        <f>[18]생산!J274</f>
        <v>0</v>
      </c>
      <c r="AC277" s="48">
        <f>ROUNDDOWN('[20]2025년'!G273/1000,1)</f>
        <v>0</v>
      </c>
    </row>
    <row r="278" spans="1:29">
      <c r="A278" s="6">
        <f t="shared" si="4"/>
        <v>45930</v>
      </c>
      <c r="B278" s="9">
        <f>'[18]key-in(LO)'!Z276</f>
        <v>0</v>
      </c>
      <c r="C278" s="9">
        <f>'[18]key-in(LO)'!AA276</f>
        <v>243113</v>
      </c>
      <c r="D278" s="9">
        <f>'[18]key-in(LO)'!AB276</f>
        <v>236351</v>
      </c>
      <c r="E278" s="9">
        <f>'[18]key-in(LO)'!AC276</f>
        <v>16585</v>
      </c>
      <c r="F278" s="9">
        <f>'[18]key-in(LO)'!AD276</f>
        <v>13423.77</v>
      </c>
      <c r="G278" s="9">
        <f>'[18]key-in(LO)'!AE276</f>
        <v>3947.2</v>
      </c>
      <c r="H278" s="9">
        <f>'[18]key-in(LO)'!AF276</f>
        <v>23250</v>
      </c>
      <c r="I278" s="9">
        <f>'[18]key-in(LO)'!AG276</f>
        <v>2498</v>
      </c>
      <c r="J278" s="10">
        <f>'[18]key-in(DCO)'!AN276</f>
        <v>33.68</v>
      </c>
      <c r="K278" s="10">
        <f>'[18]key-in(DCO)'!AO276</f>
        <v>33.43</v>
      </c>
      <c r="L278" s="9">
        <f>'[18]key-in(DCO)'!AR276</f>
        <v>8650</v>
      </c>
      <c r="M278" s="10">
        <f>[18]생산!AV275</f>
        <v>0</v>
      </c>
      <c r="N278" s="10">
        <f>[18]생산!AW275</f>
        <v>0</v>
      </c>
      <c r="O278" s="10">
        <f>[18]생산!AX275</f>
        <v>0</v>
      </c>
      <c r="P278" s="10">
        <f>[18]생산!AY275</f>
        <v>0</v>
      </c>
      <c r="Q278" s="10">
        <f>[19]생산!BE275</f>
        <v>0</v>
      </c>
      <c r="R278" s="10">
        <f>[18]생산!BA275</f>
        <v>0</v>
      </c>
      <c r="S278" s="9">
        <f>[18]운전시간외!C275</f>
        <v>0</v>
      </c>
      <c r="T278" s="9">
        <f>[18]운전시간외!D275</f>
        <v>0</v>
      </c>
      <c r="U278" s="9">
        <f>[18]운전시간외!E275</f>
        <v>0</v>
      </c>
      <c r="V278" s="9">
        <f>[18]운전시간외!F275</f>
        <v>0</v>
      </c>
      <c r="W278" s="11">
        <f>[18]생산!E275</f>
        <v>0</v>
      </c>
      <c r="X278" s="11">
        <f>[18]생산!F275</f>
        <v>0</v>
      </c>
      <c r="Y278" s="11">
        <f>[18]생산!G275</f>
        <v>0</v>
      </c>
      <c r="Z278" s="11">
        <f>[18]생산!H275</f>
        <v>0</v>
      </c>
      <c r="AA278" s="11">
        <f>[18]생산!I275</f>
        <v>0</v>
      </c>
      <c r="AB278" s="11">
        <f>[18]생산!J275</f>
        <v>0</v>
      </c>
      <c r="AC278" s="48">
        <f>ROUNDDOWN('[20]2025년'!G274/1000,1)</f>
        <v>0</v>
      </c>
    </row>
    <row r="279" spans="1:29">
      <c r="A279" s="6">
        <f t="shared" si="4"/>
        <v>45931</v>
      </c>
      <c r="B279" s="9">
        <f>'[18]key-in(LO)'!Z277</f>
        <v>0.1</v>
      </c>
      <c r="C279" s="9">
        <f>'[18]key-in(LO)'!AA277</f>
        <v>243151</v>
      </c>
      <c r="D279" s="9">
        <f>'[18]key-in(LO)'!AB277</f>
        <v>236400</v>
      </c>
      <c r="E279" s="9">
        <f>'[18]key-in(LO)'!AC277</f>
        <v>16595.59</v>
      </c>
      <c r="F279" s="9">
        <f>'[18]key-in(LO)'!AD277</f>
        <v>13436.63</v>
      </c>
      <c r="G279" s="9">
        <f>'[18]key-in(LO)'!AE277</f>
        <v>3948.4</v>
      </c>
      <c r="H279" s="9">
        <f>'[18]key-in(LO)'!AF277</f>
        <v>23333</v>
      </c>
      <c r="I279" s="9">
        <f>'[18]key-in(LO)'!AG277</f>
        <v>2610</v>
      </c>
      <c r="J279" s="10">
        <f>'[18]key-in(DCO)'!AN277</f>
        <v>33.6</v>
      </c>
      <c r="K279" s="10">
        <f>'[18]key-in(DCO)'!AO277</f>
        <v>33.369999999999997</v>
      </c>
      <c r="L279" s="9">
        <f>'[18]key-in(DCO)'!AR277</f>
        <v>8442</v>
      </c>
      <c r="M279" s="10">
        <f>[18]생산!AV276</f>
        <v>0</v>
      </c>
      <c r="N279" s="10">
        <f>[18]생산!AW276</f>
        <v>0</v>
      </c>
      <c r="O279" s="10">
        <f>[18]생산!AX276</f>
        <v>0</v>
      </c>
      <c r="P279" s="10">
        <f>[18]생산!AY276</f>
        <v>0</v>
      </c>
      <c r="Q279" s="10">
        <f>[19]생산!BE276</f>
        <v>0</v>
      </c>
      <c r="R279" s="10">
        <f>[18]생산!BA276</f>
        <v>0</v>
      </c>
      <c r="S279" s="9">
        <f>[18]운전시간외!C276</f>
        <v>0</v>
      </c>
      <c r="T279" s="9">
        <f>[18]운전시간외!D276</f>
        <v>0</v>
      </c>
      <c r="U279" s="9">
        <f>[18]운전시간외!E276</f>
        <v>0</v>
      </c>
      <c r="V279" s="9">
        <f>[18]운전시간외!F276</f>
        <v>0</v>
      </c>
      <c r="W279" s="11">
        <f>[18]생산!E276</f>
        <v>0</v>
      </c>
      <c r="X279" s="11">
        <f>[18]생산!F276</f>
        <v>0</v>
      </c>
      <c r="Y279" s="11">
        <f>[18]생산!G276</f>
        <v>0</v>
      </c>
      <c r="Z279" s="11">
        <f>[18]생산!H276</f>
        <v>0</v>
      </c>
      <c r="AA279" s="11">
        <f>[18]생산!I276</f>
        <v>0</v>
      </c>
      <c r="AB279" s="11">
        <f>[18]생산!J276</f>
        <v>0</v>
      </c>
      <c r="AC279" s="48">
        <f>ROUNDDOWN('[20]2025년'!G275/1000,1)</f>
        <v>0</v>
      </c>
    </row>
    <row r="280" spans="1:29">
      <c r="A280" s="6">
        <f t="shared" si="4"/>
        <v>45932</v>
      </c>
      <c r="B280" s="9">
        <f>'[18]key-in(LO)'!Z278</f>
        <v>0.1</v>
      </c>
      <c r="C280" s="9">
        <f>'[18]key-in(LO)'!AA278</f>
        <v>243188</v>
      </c>
      <c r="D280" s="9">
        <f>'[18]key-in(LO)'!AB278</f>
        <v>236454</v>
      </c>
      <c r="E280" s="9">
        <f>'[18]key-in(LO)'!AC278</f>
        <v>16605.39</v>
      </c>
      <c r="F280" s="9">
        <f>'[18]key-in(LO)'!AD278</f>
        <v>13451.04</v>
      </c>
      <c r="G280" s="9">
        <f>'[18]key-in(LO)'!AE278</f>
        <v>3949.7</v>
      </c>
      <c r="H280" s="9">
        <f>'[18]key-in(LO)'!AF278</f>
        <v>23541</v>
      </c>
      <c r="I280" s="9">
        <f>'[18]key-in(LO)'!AG278</f>
        <v>2727</v>
      </c>
      <c r="J280" s="10">
        <f>'[18]key-in(DCO)'!AN278</f>
        <v>33.79</v>
      </c>
      <c r="K280" s="10">
        <f>'[18]key-in(DCO)'!AO278</f>
        <v>33.369999999999997</v>
      </c>
      <c r="L280" s="9">
        <f>'[18]key-in(DCO)'!AR278</f>
        <v>8428</v>
      </c>
      <c r="M280" s="10">
        <f>[18]생산!AV277</f>
        <v>0</v>
      </c>
      <c r="N280" s="10">
        <f>[18]생산!AW277</f>
        <v>0</v>
      </c>
      <c r="O280" s="10">
        <f>[18]생산!AX277</f>
        <v>0</v>
      </c>
      <c r="P280" s="10">
        <f>[18]생산!AY277</f>
        <v>0</v>
      </c>
      <c r="Q280" s="10">
        <f>[19]생산!BE277</f>
        <v>0</v>
      </c>
      <c r="R280" s="10">
        <f>[18]생산!BA277</f>
        <v>0</v>
      </c>
      <c r="S280" s="9">
        <f>[18]운전시간외!C277</f>
        <v>0</v>
      </c>
      <c r="T280" s="9">
        <f>[18]운전시간외!D277</f>
        <v>0</v>
      </c>
      <c r="U280" s="9">
        <f>[18]운전시간외!E277</f>
        <v>0</v>
      </c>
      <c r="V280" s="9">
        <f>[18]운전시간외!F277</f>
        <v>0</v>
      </c>
      <c r="W280" s="11">
        <f>[18]생산!E277</f>
        <v>0</v>
      </c>
      <c r="X280" s="11">
        <f>[18]생산!F277</f>
        <v>0</v>
      </c>
      <c r="Y280" s="11">
        <f>[18]생산!G277</f>
        <v>0</v>
      </c>
      <c r="Z280" s="11">
        <f>[18]생산!H277</f>
        <v>0</v>
      </c>
      <c r="AA280" s="11">
        <f>[18]생산!I277</f>
        <v>0</v>
      </c>
      <c r="AB280" s="11">
        <f>[18]생산!J277</f>
        <v>0</v>
      </c>
      <c r="AC280" s="48">
        <f>ROUNDDOWN('[20]2025년'!G276/1000,1)</f>
        <v>0</v>
      </c>
    </row>
    <row r="281" spans="1:29">
      <c r="A281" s="6">
        <f t="shared" si="4"/>
        <v>45933</v>
      </c>
      <c r="B281" s="9">
        <f>'[18]key-in(LO)'!Z279</f>
        <v>0.1</v>
      </c>
      <c r="C281" s="9">
        <f>'[18]key-in(LO)'!AA279</f>
        <v>243262</v>
      </c>
      <c r="D281" s="9">
        <f>'[18]key-in(LO)'!AB279</f>
        <v>236501</v>
      </c>
      <c r="E281" s="9">
        <f>'[18]key-in(LO)'!AC279</f>
        <v>16607.43</v>
      </c>
      <c r="F281" s="9">
        <f>'[18]key-in(LO)'!AD279</f>
        <v>13456.38</v>
      </c>
      <c r="G281" s="9">
        <f>'[18]key-in(LO)'!AE279</f>
        <v>3950.6</v>
      </c>
      <c r="H281" s="9">
        <f>'[18]key-in(LO)'!AF279</f>
        <v>23656</v>
      </c>
      <c r="I281" s="9">
        <f>'[18]key-in(LO)'!AG279</f>
        <v>2879</v>
      </c>
      <c r="J281" s="10">
        <f>'[18]key-in(DCO)'!AN279</f>
        <v>33.869999999999997</v>
      </c>
      <c r="K281" s="10">
        <f>'[18]key-in(DCO)'!AO279</f>
        <v>33.270000000000003</v>
      </c>
      <c r="L281" s="9">
        <f>'[18]key-in(DCO)'!AR279</f>
        <v>8459</v>
      </c>
      <c r="M281" s="10">
        <f>[18]생산!AV278</f>
        <v>0</v>
      </c>
      <c r="N281" s="10">
        <f>[18]생산!AW278</f>
        <v>0</v>
      </c>
      <c r="O281" s="10">
        <f>[18]생산!AX278</f>
        <v>0</v>
      </c>
      <c r="P281" s="10">
        <f>[18]생산!AY278</f>
        <v>0</v>
      </c>
      <c r="Q281" s="10">
        <f>[19]생산!BE278</f>
        <v>0</v>
      </c>
      <c r="R281" s="10">
        <f>[18]생산!BA278</f>
        <v>0</v>
      </c>
      <c r="S281" s="9">
        <f>[18]운전시간외!C278</f>
        <v>0</v>
      </c>
      <c r="T281" s="9">
        <f>[18]운전시간외!D278</f>
        <v>0</v>
      </c>
      <c r="U281" s="9">
        <f>[18]운전시간외!E278</f>
        <v>0</v>
      </c>
      <c r="V281" s="9">
        <f>[18]운전시간외!F278</f>
        <v>0</v>
      </c>
      <c r="W281" s="11">
        <f>[18]생산!E278</f>
        <v>0</v>
      </c>
      <c r="X281" s="11">
        <f>[18]생산!F278</f>
        <v>0</v>
      </c>
      <c r="Y281" s="11">
        <f>[18]생산!G278</f>
        <v>0</v>
      </c>
      <c r="Z281" s="11">
        <f>[18]생산!H278</f>
        <v>0</v>
      </c>
      <c r="AA281" s="11">
        <f>[18]생산!I278</f>
        <v>0</v>
      </c>
      <c r="AB281" s="11">
        <f>[18]생산!J278</f>
        <v>0</v>
      </c>
      <c r="AC281" s="48">
        <f>ROUNDDOWN('[20]2025년'!G277/1000,1)</f>
        <v>0</v>
      </c>
    </row>
    <row r="282" spans="1:29">
      <c r="A282" s="6">
        <f t="shared" si="4"/>
        <v>45934</v>
      </c>
      <c r="B282" s="9">
        <f>'[18]key-in(LO)'!Z280</f>
        <v>0.1</v>
      </c>
      <c r="C282" s="9">
        <f>'[18]key-in(LO)'!AA280</f>
        <v>243299</v>
      </c>
      <c r="D282" s="9">
        <f>'[18]key-in(LO)'!AB280</f>
        <v>236501</v>
      </c>
      <c r="E282" s="9">
        <f>'[18]key-in(LO)'!AC280</f>
        <v>16610.189999999999</v>
      </c>
      <c r="F282" s="9">
        <f>'[18]key-in(LO)'!AD280</f>
        <v>13458.98</v>
      </c>
      <c r="G282" s="9">
        <f>'[18]key-in(LO)'!AE280</f>
        <v>3951.6</v>
      </c>
      <c r="H282" s="9">
        <f>'[18]key-in(LO)'!AF280</f>
        <v>23663</v>
      </c>
      <c r="I282" s="9">
        <f>'[18]key-in(LO)'!AG280</f>
        <v>2896</v>
      </c>
      <c r="J282" s="10">
        <f>'[18]key-in(DCO)'!AN280</f>
        <v>33.68</v>
      </c>
      <c r="K282" s="10">
        <f>'[18]key-in(DCO)'!AO280</f>
        <v>33.25</v>
      </c>
      <c r="L282" s="9">
        <f>'[18]key-in(DCO)'!AR280</f>
        <v>8599</v>
      </c>
      <c r="M282" s="10">
        <f>[18]생산!AV279</f>
        <v>0</v>
      </c>
      <c r="N282" s="10">
        <f>[18]생산!AW279</f>
        <v>0</v>
      </c>
      <c r="O282" s="10">
        <f>[18]생산!AX279</f>
        <v>0</v>
      </c>
      <c r="P282" s="10">
        <f>[18]생산!AY279</f>
        <v>0</v>
      </c>
      <c r="Q282" s="10">
        <f>[19]생산!BE279</f>
        <v>0</v>
      </c>
      <c r="R282" s="10">
        <f>[18]생산!BA279</f>
        <v>0</v>
      </c>
      <c r="S282" s="9">
        <f>[18]운전시간외!C279</f>
        <v>0</v>
      </c>
      <c r="T282" s="9">
        <f>[18]운전시간외!D279</f>
        <v>0</v>
      </c>
      <c r="U282" s="9">
        <f>[18]운전시간외!E279</f>
        <v>0</v>
      </c>
      <c r="V282" s="9">
        <f>[18]운전시간외!F279</f>
        <v>0</v>
      </c>
      <c r="W282" s="11">
        <f>[18]생산!E279</f>
        <v>0</v>
      </c>
      <c r="X282" s="11">
        <f>[18]생산!F279</f>
        <v>0</v>
      </c>
      <c r="Y282" s="11">
        <f>[18]생산!G279</f>
        <v>0</v>
      </c>
      <c r="Z282" s="11">
        <f>[18]생산!H279</f>
        <v>0</v>
      </c>
      <c r="AA282" s="11">
        <f>[18]생산!I279</f>
        <v>0</v>
      </c>
      <c r="AB282" s="11">
        <f>[18]생산!J279</f>
        <v>0</v>
      </c>
      <c r="AC282" s="48">
        <f>ROUNDDOWN('[20]2025년'!G278/1000,1)</f>
        <v>0</v>
      </c>
    </row>
    <row r="283" spans="1:29">
      <c r="A283" s="6">
        <f t="shared" si="4"/>
        <v>45935</v>
      </c>
      <c r="B283" s="9">
        <f>'[18]key-in(LO)'!Z281</f>
        <v>0.1</v>
      </c>
      <c r="C283" s="9">
        <f>'[18]key-in(LO)'!AA281</f>
        <v>243299</v>
      </c>
      <c r="D283" s="9">
        <f>'[18]key-in(LO)'!AB281</f>
        <v>236501</v>
      </c>
      <c r="E283" s="9">
        <f>'[18]key-in(LO)'!AC281</f>
        <v>16612.169999999998</v>
      </c>
      <c r="F283" s="9">
        <f>'[18]key-in(LO)'!AD281</f>
        <v>13460.81</v>
      </c>
      <c r="G283" s="9">
        <f>'[18]key-in(LO)'!AE281</f>
        <v>3952.6</v>
      </c>
      <c r="H283" s="9">
        <f>'[18]key-in(LO)'!AF281</f>
        <v>23801</v>
      </c>
      <c r="I283" s="9">
        <f>'[18]key-in(LO)'!AG281</f>
        <v>2911</v>
      </c>
      <c r="J283" s="10">
        <f>'[18]key-in(DCO)'!AN281</f>
        <v>33.71</v>
      </c>
      <c r="K283" s="10">
        <f>'[18]key-in(DCO)'!AO281</f>
        <v>33.29</v>
      </c>
      <c r="L283" s="9">
        <f>'[18]key-in(DCO)'!AR281</f>
        <v>8270</v>
      </c>
      <c r="M283" s="10">
        <f>[18]생산!AV280</f>
        <v>0</v>
      </c>
      <c r="N283" s="10">
        <f>[18]생산!AW280</f>
        <v>0</v>
      </c>
      <c r="O283" s="10">
        <f>[18]생산!AX280</f>
        <v>0</v>
      </c>
      <c r="P283" s="10">
        <f>[18]생산!AY280</f>
        <v>0</v>
      </c>
      <c r="Q283" s="10">
        <f>[19]생산!BE280</f>
        <v>0</v>
      </c>
      <c r="R283" s="10">
        <f>[18]생산!BA280</f>
        <v>0</v>
      </c>
      <c r="S283" s="9">
        <f>[18]운전시간외!C280</f>
        <v>0</v>
      </c>
      <c r="T283" s="9">
        <f>[18]운전시간외!D280</f>
        <v>0</v>
      </c>
      <c r="U283" s="9">
        <f>[18]운전시간외!E280</f>
        <v>0</v>
      </c>
      <c r="V283" s="9">
        <f>[18]운전시간외!F280</f>
        <v>0</v>
      </c>
      <c r="W283" s="11">
        <f>[18]생산!E280</f>
        <v>0</v>
      </c>
      <c r="X283" s="11">
        <f>[18]생산!F280</f>
        <v>0</v>
      </c>
      <c r="Y283" s="11">
        <f>[18]생산!G280</f>
        <v>0</v>
      </c>
      <c r="Z283" s="11">
        <f>[18]생산!H280</f>
        <v>0</v>
      </c>
      <c r="AA283" s="11">
        <f>[18]생산!I280</f>
        <v>0</v>
      </c>
      <c r="AB283" s="11">
        <f>[18]생산!J280</f>
        <v>0</v>
      </c>
      <c r="AC283" s="48">
        <f>ROUNDDOWN('[20]2025년'!G279/1000,1)</f>
        <v>0</v>
      </c>
    </row>
    <row r="284" spans="1:29">
      <c r="A284" s="6">
        <f t="shared" si="4"/>
        <v>45936</v>
      </c>
      <c r="B284" s="9">
        <f>'[18]key-in(LO)'!Z282</f>
        <v>0.1</v>
      </c>
      <c r="C284" s="9">
        <f>'[18]key-in(LO)'!AA282</f>
        <v>243299</v>
      </c>
      <c r="D284" s="9">
        <f>'[18]key-in(LO)'!AB282</f>
        <v>236508</v>
      </c>
      <c r="E284" s="9">
        <f>'[18]key-in(LO)'!AC282</f>
        <v>16614.37</v>
      </c>
      <c r="F284" s="9">
        <f>'[18]key-in(LO)'!AD282</f>
        <v>13461.11</v>
      </c>
      <c r="G284" s="9">
        <f>'[18]key-in(LO)'!AE282</f>
        <v>3953.1</v>
      </c>
      <c r="H284" s="9">
        <f>'[18]key-in(LO)'!AF282</f>
        <v>23833</v>
      </c>
      <c r="I284" s="9">
        <f>'[18]key-in(LO)'!AG282</f>
        <v>2927</v>
      </c>
      <c r="J284" s="10">
        <f>'[18]key-in(DCO)'!AN282</f>
        <v>33.770000000000003</v>
      </c>
      <c r="K284" s="10">
        <f>'[18]key-in(DCO)'!AO282</f>
        <v>33.21</v>
      </c>
      <c r="L284" s="9">
        <f>'[18]key-in(DCO)'!AR282</f>
        <v>8264</v>
      </c>
      <c r="M284" s="10">
        <f>[18]생산!AV281</f>
        <v>0</v>
      </c>
      <c r="N284" s="10">
        <f>[18]생산!AW281</f>
        <v>0</v>
      </c>
      <c r="O284" s="10">
        <f>[18]생산!AX281</f>
        <v>0</v>
      </c>
      <c r="P284" s="10">
        <f>[18]생산!AY281</f>
        <v>0</v>
      </c>
      <c r="Q284" s="10">
        <f>[19]생산!BE281</f>
        <v>0</v>
      </c>
      <c r="R284" s="10">
        <f>[18]생산!BA281</f>
        <v>0</v>
      </c>
      <c r="S284" s="9">
        <f>[18]운전시간외!C281</f>
        <v>0</v>
      </c>
      <c r="T284" s="9">
        <f>[18]운전시간외!D281</f>
        <v>0</v>
      </c>
      <c r="U284" s="9">
        <f>[18]운전시간외!E281</f>
        <v>0</v>
      </c>
      <c r="V284" s="9">
        <f>[18]운전시간외!F281</f>
        <v>0</v>
      </c>
      <c r="W284" s="11">
        <f>[18]생산!E281</f>
        <v>0</v>
      </c>
      <c r="X284" s="11">
        <f>[18]생산!F281</f>
        <v>0</v>
      </c>
      <c r="Y284" s="11">
        <f>[18]생산!G281</f>
        <v>0</v>
      </c>
      <c r="Z284" s="11">
        <f>[18]생산!H281</f>
        <v>0</v>
      </c>
      <c r="AA284" s="11">
        <f>[18]생산!I281</f>
        <v>0</v>
      </c>
      <c r="AB284" s="11">
        <f>[18]생산!J281</f>
        <v>0</v>
      </c>
      <c r="AC284" s="48">
        <f>ROUNDDOWN('[20]2025년'!G280/1000,1)</f>
        <v>0</v>
      </c>
    </row>
    <row r="285" spans="1:29">
      <c r="A285" s="6">
        <f t="shared" si="4"/>
        <v>45937</v>
      </c>
      <c r="B285" s="9">
        <f>'[18]key-in(LO)'!Z283</f>
        <v>0.1</v>
      </c>
      <c r="C285" s="9">
        <f>'[18]key-in(LO)'!AA283</f>
        <v>243299</v>
      </c>
      <c r="D285" s="9">
        <f>'[18]key-in(LO)'!AB283</f>
        <v>236520</v>
      </c>
      <c r="E285" s="9">
        <f>'[18]key-in(LO)'!AC283</f>
        <v>16616.04</v>
      </c>
      <c r="F285" s="9">
        <f>'[18]key-in(LO)'!AD283</f>
        <v>13461.36</v>
      </c>
      <c r="G285" s="9">
        <f>'[18]key-in(LO)'!AE283</f>
        <v>3953.6</v>
      </c>
      <c r="H285" s="9">
        <f>'[18]key-in(LO)'!AF283</f>
        <v>23861</v>
      </c>
      <c r="I285" s="9">
        <f>'[18]key-in(LO)'!AG283</f>
        <v>2941</v>
      </c>
      <c r="J285" s="10">
        <f>'[18]key-in(DCO)'!AN283</f>
        <v>33.78</v>
      </c>
      <c r="K285" s="10">
        <f>'[18]key-in(DCO)'!AO283</f>
        <v>33.200000000000003</v>
      </c>
      <c r="L285" s="9">
        <f>'[18]key-in(DCO)'!AR283</f>
        <v>8431</v>
      </c>
      <c r="M285" s="10">
        <f>[18]생산!AV282</f>
        <v>0</v>
      </c>
      <c r="N285" s="10">
        <f>[18]생산!AW282</f>
        <v>0</v>
      </c>
      <c r="O285" s="10">
        <f>[18]생산!AX282</f>
        <v>0</v>
      </c>
      <c r="P285" s="10">
        <f>[18]생산!AY282</f>
        <v>0</v>
      </c>
      <c r="Q285" s="10">
        <f>[19]생산!BE282</f>
        <v>0</v>
      </c>
      <c r="R285" s="10">
        <f>[18]생산!BA282</f>
        <v>0</v>
      </c>
      <c r="S285" s="9">
        <f>[18]운전시간외!C282</f>
        <v>0</v>
      </c>
      <c r="T285" s="9">
        <f>[18]운전시간외!D282</f>
        <v>0</v>
      </c>
      <c r="U285" s="9">
        <f>[18]운전시간외!E282</f>
        <v>0</v>
      </c>
      <c r="V285" s="9">
        <f>[18]운전시간외!F282</f>
        <v>0</v>
      </c>
      <c r="W285" s="11">
        <f>[18]생산!E282</f>
        <v>0</v>
      </c>
      <c r="X285" s="11">
        <f>[18]생산!F282</f>
        <v>0</v>
      </c>
      <c r="Y285" s="11">
        <f>[18]생산!G282</f>
        <v>0</v>
      </c>
      <c r="Z285" s="11">
        <f>[18]생산!H282</f>
        <v>0</v>
      </c>
      <c r="AA285" s="11">
        <f>[18]생산!I282</f>
        <v>0</v>
      </c>
      <c r="AB285" s="11">
        <f>[18]생산!J282</f>
        <v>0</v>
      </c>
      <c r="AC285" s="48">
        <f>ROUNDDOWN('[20]2025년'!G281/1000,1)</f>
        <v>0</v>
      </c>
    </row>
    <row r="286" spans="1:29">
      <c r="A286" s="6">
        <f t="shared" si="4"/>
        <v>45938</v>
      </c>
      <c r="B286" s="9">
        <f>'[18]key-in(LO)'!Z284</f>
        <v>0.1</v>
      </c>
      <c r="C286" s="9">
        <f>'[18]key-in(LO)'!AA284</f>
        <v>243350</v>
      </c>
      <c r="D286" s="9">
        <f>'[18]key-in(LO)'!AB284</f>
        <v>236572</v>
      </c>
      <c r="E286" s="9">
        <f>'[18]key-in(LO)'!AC284</f>
        <v>16620.5</v>
      </c>
      <c r="F286" s="9">
        <f>'[18]key-in(LO)'!AD284</f>
        <v>13468</v>
      </c>
      <c r="G286" s="9">
        <f>'[18]key-in(LO)'!AE284</f>
        <v>3954.4</v>
      </c>
      <c r="H286" s="9">
        <f>'[18]key-in(LO)'!AF284</f>
        <v>23898</v>
      </c>
      <c r="I286" s="9">
        <f>'[18]key-in(LO)'!AG284</f>
        <v>3094</v>
      </c>
      <c r="J286" s="10">
        <f>'[18]key-in(DCO)'!AN284</f>
        <v>33.19</v>
      </c>
      <c r="K286" s="10">
        <f>'[18]key-in(DCO)'!AO284</f>
        <v>33.729999999999997</v>
      </c>
      <c r="L286" s="9">
        <f>'[18]key-in(DCO)'!AR284</f>
        <v>8662</v>
      </c>
      <c r="M286" s="10">
        <f>[18]생산!AV283</f>
        <v>0</v>
      </c>
      <c r="N286" s="10">
        <f>[18]생산!AW283</f>
        <v>0</v>
      </c>
      <c r="O286" s="10">
        <f>[18]생산!AX283</f>
        <v>0</v>
      </c>
      <c r="P286" s="10">
        <f>[18]생산!AY283</f>
        <v>0</v>
      </c>
      <c r="Q286" s="10">
        <f>[19]생산!BE283</f>
        <v>0</v>
      </c>
      <c r="R286" s="10">
        <f>[18]생산!BA283</f>
        <v>0</v>
      </c>
      <c r="S286" s="9">
        <f>[18]운전시간외!C283</f>
        <v>0</v>
      </c>
      <c r="T286" s="9">
        <f>[18]운전시간외!D283</f>
        <v>0</v>
      </c>
      <c r="U286" s="9">
        <f>[18]운전시간외!E283</f>
        <v>0</v>
      </c>
      <c r="V286" s="9">
        <f>[18]운전시간외!F283</f>
        <v>0</v>
      </c>
      <c r="W286" s="11">
        <f>[18]생산!E283</f>
        <v>0</v>
      </c>
      <c r="X286" s="11">
        <f>[18]생산!F283</f>
        <v>0</v>
      </c>
      <c r="Y286" s="11">
        <f>[18]생산!G283</f>
        <v>0</v>
      </c>
      <c r="Z286" s="11">
        <f>[18]생산!H283</f>
        <v>0</v>
      </c>
      <c r="AA286" s="11">
        <f>[18]생산!I283</f>
        <v>0</v>
      </c>
      <c r="AB286" s="11">
        <f>[18]생산!J283</f>
        <v>0</v>
      </c>
      <c r="AC286" s="48">
        <f>ROUNDDOWN('[20]2025년'!G282/1000,1)</f>
        <v>0</v>
      </c>
    </row>
    <row r="287" spans="1:29">
      <c r="A287" s="6">
        <f t="shared" si="4"/>
        <v>45939</v>
      </c>
      <c r="B287" s="9">
        <f>'[18]key-in(LO)'!Z285</f>
        <v>0.1</v>
      </c>
      <c r="C287" s="9">
        <f>'[18]key-in(LO)'!AA285</f>
        <v>243350</v>
      </c>
      <c r="D287" s="9">
        <f>'[18]key-in(LO)'!AB285</f>
        <v>236637</v>
      </c>
      <c r="E287" s="9">
        <f>'[18]key-in(LO)'!AC285</f>
        <v>16622.669999999998</v>
      </c>
      <c r="F287" s="9">
        <f>'[18]key-in(LO)'!AD285</f>
        <v>13475.14</v>
      </c>
      <c r="G287" s="9">
        <f>'[18]key-in(LO)'!AE285</f>
        <v>3955.3</v>
      </c>
      <c r="H287" s="9">
        <f>'[18]key-in(LO)'!AF285</f>
        <v>23932</v>
      </c>
      <c r="I287" s="9">
        <f>'[18]key-in(LO)'!AG285</f>
        <v>3164</v>
      </c>
      <c r="J287" s="10">
        <f>'[18]key-in(DCO)'!AN285</f>
        <v>33.700000000000003</v>
      </c>
      <c r="K287" s="10">
        <f>'[18]key-in(DCO)'!AO285</f>
        <v>33.159999999999997</v>
      </c>
      <c r="L287" s="9">
        <f>'[18]key-in(DCO)'!AR285</f>
        <v>8139</v>
      </c>
      <c r="M287" s="10">
        <f>[18]생산!AV284</f>
        <v>0</v>
      </c>
      <c r="N287" s="10">
        <f>[18]생산!AW284</f>
        <v>0</v>
      </c>
      <c r="O287" s="10">
        <f>[18]생산!AX284</f>
        <v>0</v>
      </c>
      <c r="P287" s="10">
        <f>[18]생산!AY284</f>
        <v>0</v>
      </c>
      <c r="Q287" s="10">
        <f>[19]생산!BE284</f>
        <v>0</v>
      </c>
      <c r="R287" s="10">
        <f>[18]생산!BA284</f>
        <v>0</v>
      </c>
      <c r="S287" s="9">
        <f>[18]운전시간외!C284</f>
        <v>0</v>
      </c>
      <c r="T287" s="9">
        <f>[18]운전시간외!D284</f>
        <v>0</v>
      </c>
      <c r="U287" s="9">
        <f>[18]운전시간외!E284</f>
        <v>0</v>
      </c>
      <c r="V287" s="9">
        <f>[18]운전시간외!F284</f>
        <v>0</v>
      </c>
      <c r="W287" s="11">
        <f>[18]생산!E284</f>
        <v>0</v>
      </c>
      <c r="X287" s="11">
        <f>[18]생산!F284</f>
        <v>0</v>
      </c>
      <c r="Y287" s="11">
        <f>[18]생산!G284</f>
        <v>0</v>
      </c>
      <c r="Z287" s="11">
        <f>[18]생산!H284</f>
        <v>0</v>
      </c>
      <c r="AA287" s="11">
        <f>[18]생산!I284</f>
        <v>0</v>
      </c>
      <c r="AB287" s="11">
        <f>[18]생산!J284</f>
        <v>0</v>
      </c>
      <c r="AC287" s="48">
        <f>ROUNDDOWN('[20]2025년'!G283/1000,1)</f>
        <v>0</v>
      </c>
    </row>
    <row r="288" spans="1:29">
      <c r="A288" s="6">
        <f t="shared" si="4"/>
        <v>45940</v>
      </c>
      <c r="B288" s="9">
        <f>'[18]key-in(LO)'!Z286</f>
        <v>0.1</v>
      </c>
      <c r="C288" s="9">
        <f>'[18]key-in(LO)'!AA286</f>
        <v>243350</v>
      </c>
      <c r="D288" s="9">
        <f>'[18]key-in(LO)'!AB286</f>
        <v>236655</v>
      </c>
      <c r="E288" s="9">
        <f>'[18]key-in(LO)'!AC286</f>
        <v>16624.990000000002</v>
      </c>
      <c r="F288" s="9">
        <f>'[18]key-in(LO)'!AD286</f>
        <v>13475.43</v>
      </c>
      <c r="G288" s="9">
        <f>'[18]key-in(LO)'!AE286</f>
        <v>3956.3</v>
      </c>
      <c r="H288" s="9">
        <f>'[18]key-in(LO)'!AF286</f>
        <v>24129</v>
      </c>
      <c r="I288" s="9">
        <f>'[18]key-in(LO)'!AG286</f>
        <v>3225</v>
      </c>
      <c r="J288" s="10">
        <f>'[18]key-in(DCO)'!AN286</f>
        <v>33.61</v>
      </c>
      <c r="K288" s="10">
        <f>'[18]key-in(DCO)'!AO286</f>
        <v>33.17</v>
      </c>
      <c r="L288" s="9">
        <f>'[18]key-in(DCO)'!AR286</f>
        <v>8414</v>
      </c>
      <c r="M288" s="10">
        <f>[18]생산!AV285</f>
        <v>0</v>
      </c>
      <c r="N288" s="10">
        <f>[18]생산!AW285</f>
        <v>0</v>
      </c>
      <c r="O288" s="10">
        <f>[18]생산!AX285</f>
        <v>0</v>
      </c>
      <c r="P288" s="10">
        <f>[18]생산!AY285</f>
        <v>0</v>
      </c>
      <c r="Q288" s="10">
        <f>[19]생산!BE285</f>
        <v>0</v>
      </c>
      <c r="R288" s="10">
        <f>[18]생산!BA285</f>
        <v>0</v>
      </c>
      <c r="S288" s="9">
        <f>[18]운전시간외!C285</f>
        <v>0</v>
      </c>
      <c r="T288" s="9">
        <f>[18]운전시간외!D285</f>
        <v>0</v>
      </c>
      <c r="U288" s="9">
        <f>[18]운전시간외!E285</f>
        <v>0</v>
      </c>
      <c r="V288" s="9">
        <f>[18]운전시간외!F285</f>
        <v>0</v>
      </c>
      <c r="W288" s="11">
        <f>[18]생산!E285</f>
        <v>0</v>
      </c>
      <c r="X288" s="11">
        <f>[18]생산!F285</f>
        <v>0</v>
      </c>
      <c r="Y288" s="11">
        <f>[18]생산!G285</f>
        <v>0</v>
      </c>
      <c r="Z288" s="11">
        <f>[18]생산!H285</f>
        <v>0</v>
      </c>
      <c r="AA288" s="11">
        <f>[18]생산!I285</f>
        <v>0</v>
      </c>
      <c r="AB288" s="11">
        <f>[18]생산!J285</f>
        <v>0</v>
      </c>
      <c r="AC288" s="48">
        <f>ROUNDDOWN('[20]2025년'!G284/1000,1)</f>
        <v>0</v>
      </c>
    </row>
    <row r="289" spans="1:29">
      <c r="A289" s="6">
        <f t="shared" si="4"/>
        <v>45941</v>
      </c>
      <c r="B289" s="9">
        <f>'[18]key-in(LO)'!Z287</f>
        <v>0.1</v>
      </c>
      <c r="C289" s="9">
        <f>'[18]key-in(LO)'!AA287</f>
        <v>243350</v>
      </c>
      <c r="D289" s="9">
        <f>'[18]key-in(LO)'!AB287</f>
        <v>236655</v>
      </c>
      <c r="E289" s="9">
        <f>'[18]key-in(LO)'!AC287</f>
        <v>16628.349999999999</v>
      </c>
      <c r="F289" s="9">
        <f>'[18]key-in(LO)'!AD287</f>
        <v>13476.04</v>
      </c>
      <c r="G289" s="9">
        <f>'[18]key-in(LO)'!AE287</f>
        <v>3956.7</v>
      </c>
      <c r="H289" s="9">
        <f>'[18]key-in(LO)'!AF287</f>
        <v>24129</v>
      </c>
      <c r="I289" s="9">
        <f>'[18]key-in(LO)'!AG287</f>
        <v>3229</v>
      </c>
      <c r="J289" s="10">
        <f>'[18]key-in(DCO)'!AN287</f>
        <v>33.54</v>
      </c>
      <c r="K289" s="10">
        <f>'[18]key-in(DCO)'!AO287</f>
        <v>33.119999999999997</v>
      </c>
      <c r="L289" s="9">
        <f>'[18]key-in(DCO)'!AR287</f>
        <v>8094</v>
      </c>
      <c r="M289" s="10">
        <f>[18]생산!AV286</f>
        <v>0</v>
      </c>
      <c r="N289" s="10">
        <f>[18]생산!AW286</f>
        <v>0</v>
      </c>
      <c r="O289" s="10">
        <f>[18]생산!AX286</f>
        <v>0</v>
      </c>
      <c r="P289" s="10">
        <f>[18]생산!AY286</f>
        <v>0</v>
      </c>
      <c r="Q289" s="10">
        <f>[19]생산!BE286</f>
        <v>0</v>
      </c>
      <c r="R289" s="10">
        <f>[18]생산!BA286</f>
        <v>0</v>
      </c>
      <c r="S289" s="9">
        <f>[18]운전시간외!C286</f>
        <v>0</v>
      </c>
      <c r="T289" s="9">
        <f>[18]운전시간외!D286</f>
        <v>0</v>
      </c>
      <c r="U289" s="9">
        <f>[18]운전시간외!E286</f>
        <v>0</v>
      </c>
      <c r="V289" s="9">
        <f>[18]운전시간외!F286</f>
        <v>0</v>
      </c>
      <c r="W289" s="11">
        <f>[18]생산!E286</f>
        <v>0</v>
      </c>
      <c r="X289" s="11">
        <f>[18]생산!F286</f>
        <v>0</v>
      </c>
      <c r="Y289" s="11">
        <f>[18]생산!G286</f>
        <v>0</v>
      </c>
      <c r="Z289" s="11">
        <f>[18]생산!H286</f>
        <v>0</v>
      </c>
      <c r="AA289" s="11">
        <f>[18]생산!I286</f>
        <v>0</v>
      </c>
      <c r="AB289" s="11">
        <f>[18]생산!J286</f>
        <v>0</v>
      </c>
      <c r="AC289" s="48">
        <f>ROUNDDOWN('[20]2025년'!G285/1000,1)</f>
        <v>0</v>
      </c>
    </row>
    <row r="290" spans="1:29">
      <c r="A290" s="6">
        <f t="shared" si="4"/>
        <v>45942</v>
      </c>
      <c r="B290" s="9">
        <f>'[18]key-in(LO)'!Z288</f>
        <v>0.1</v>
      </c>
      <c r="C290" s="9">
        <f>'[18]key-in(LO)'!AA288</f>
        <v>243350</v>
      </c>
      <c r="D290" s="9">
        <f>'[18]key-in(LO)'!AB288</f>
        <v>236672</v>
      </c>
      <c r="E290" s="9">
        <f>'[18]key-in(LO)'!AC288</f>
        <v>16630.27</v>
      </c>
      <c r="F290" s="9">
        <f>'[18]key-in(LO)'!AD288</f>
        <v>13476.23</v>
      </c>
      <c r="G290" s="9">
        <f>'[18]key-in(LO)'!AE288</f>
        <v>3957.2</v>
      </c>
      <c r="H290" s="9">
        <f>'[18]key-in(LO)'!AF288</f>
        <v>24168</v>
      </c>
      <c r="I290" s="9">
        <f>'[18]key-in(LO)'!AG288</f>
        <v>3246</v>
      </c>
      <c r="J290" s="10">
        <f>'[18]key-in(DCO)'!AN288</f>
        <v>33.47</v>
      </c>
      <c r="K290" s="10">
        <f>'[18]key-in(DCO)'!AO288</f>
        <v>33.090000000000003</v>
      </c>
      <c r="L290" s="9">
        <f>'[18]key-in(DCO)'!AR288</f>
        <v>8511</v>
      </c>
      <c r="M290" s="10">
        <f>[18]생산!AV287</f>
        <v>0</v>
      </c>
      <c r="N290" s="10">
        <f>[18]생산!AW287</f>
        <v>0</v>
      </c>
      <c r="O290" s="10">
        <f>[18]생산!AX287</f>
        <v>0</v>
      </c>
      <c r="P290" s="10">
        <f>[18]생산!AY287</f>
        <v>0</v>
      </c>
      <c r="Q290" s="10">
        <f>[19]생산!BE287</f>
        <v>0</v>
      </c>
      <c r="R290" s="10">
        <f>[18]생산!BA287</f>
        <v>0</v>
      </c>
      <c r="S290" s="9">
        <f>[18]운전시간외!C287</f>
        <v>0</v>
      </c>
      <c r="T290" s="9">
        <f>[18]운전시간외!D287</f>
        <v>0</v>
      </c>
      <c r="U290" s="9">
        <f>[18]운전시간외!E287</f>
        <v>0</v>
      </c>
      <c r="V290" s="9">
        <f>[18]운전시간외!F287</f>
        <v>0</v>
      </c>
      <c r="W290" s="11">
        <f>[18]생산!E287</f>
        <v>0</v>
      </c>
      <c r="X290" s="11">
        <f>[18]생산!F287</f>
        <v>0</v>
      </c>
      <c r="Y290" s="11">
        <f>[18]생산!G287</f>
        <v>0</v>
      </c>
      <c r="Z290" s="11">
        <f>[18]생산!H287</f>
        <v>0</v>
      </c>
      <c r="AA290" s="11">
        <f>[18]생산!I287</f>
        <v>0</v>
      </c>
      <c r="AB290" s="11">
        <f>[18]생산!J287</f>
        <v>0</v>
      </c>
      <c r="AC290" s="48">
        <f>ROUNDDOWN('[20]2025년'!G286/1000,1)</f>
        <v>0</v>
      </c>
    </row>
    <row r="291" spans="1:29">
      <c r="A291" s="6">
        <f t="shared" si="4"/>
        <v>45943</v>
      </c>
      <c r="B291" s="9">
        <f>'[18]key-in(LO)'!Z289</f>
        <v>0.1</v>
      </c>
      <c r="C291" s="9">
        <f>'[18]key-in(LO)'!AA289</f>
        <v>243435</v>
      </c>
      <c r="D291" s="9">
        <f>'[18]key-in(LO)'!AB289</f>
        <v>236672</v>
      </c>
      <c r="E291" s="9">
        <f>'[18]key-in(LO)'!AC289</f>
        <v>16635.12</v>
      </c>
      <c r="F291" s="9">
        <f>'[18]key-in(LO)'!AD289</f>
        <v>13476.3</v>
      </c>
      <c r="G291" s="9">
        <f>'[18]key-in(LO)'!AE289</f>
        <v>3958</v>
      </c>
      <c r="H291" s="9">
        <f>'[18]key-in(LO)'!AF289</f>
        <v>24224</v>
      </c>
      <c r="I291" s="9">
        <f>'[18]key-in(LO)'!AG289</f>
        <v>3396</v>
      </c>
      <c r="J291" s="10">
        <f>'[18]key-in(DCO)'!AN289</f>
        <v>33.299999999999997</v>
      </c>
      <c r="K291" s="10">
        <f>'[18]key-in(DCO)'!AO289</f>
        <v>33.090000000000003</v>
      </c>
      <c r="L291" s="9">
        <f>'[18]key-in(DCO)'!AR289</f>
        <v>7660</v>
      </c>
      <c r="M291" s="10">
        <f>[18]생산!AV288</f>
        <v>0</v>
      </c>
      <c r="N291" s="10">
        <f>[18]생산!AW288</f>
        <v>0</v>
      </c>
      <c r="O291" s="10">
        <f>[18]생산!AX288</f>
        <v>0</v>
      </c>
      <c r="P291" s="10">
        <f>[18]생산!AY288</f>
        <v>0</v>
      </c>
      <c r="Q291" s="10">
        <f>[19]생산!BE288</f>
        <v>0</v>
      </c>
      <c r="R291" s="10">
        <f>[18]생산!BA288</f>
        <v>0</v>
      </c>
      <c r="S291" s="9">
        <f>[18]운전시간외!C288</f>
        <v>0</v>
      </c>
      <c r="T291" s="9">
        <f>[18]운전시간외!D288</f>
        <v>0</v>
      </c>
      <c r="U291" s="9">
        <f>[18]운전시간외!E288</f>
        <v>0</v>
      </c>
      <c r="V291" s="9">
        <f>[18]운전시간외!F288</f>
        <v>0</v>
      </c>
      <c r="W291" s="11">
        <f>[18]생산!E288</f>
        <v>0</v>
      </c>
      <c r="X291" s="11">
        <f>[18]생산!F288</f>
        <v>0</v>
      </c>
      <c r="Y291" s="11">
        <f>[18]생산!G288</f>
        <v>0</v>
      </c>
      <c r="Z291" s="11">
        <f>[18]생산!H288</f>
        <v>0</v>
      </c>
      <c r="AA291" s="11">
        <f>[18]생산!I288</f>
        <v>0</v>
      </c>
      <c r="AB291" s="11">
        <f>[18]생산!J288</f>
        <v>0</v>
      </c>
      <c r="AC291" s="48">
        <f>ROUNDDOWN('[20]2025년'!G287/1000,1)</f>
        <v>0</v>
      </c>
    </row>
    <row r="292" spans="1:29">
      <c r="A292" s="6">
        <f t="shared" si="4"/>
        <v>45944</v>
      </c>
      <c r="B292" s="9">
        <f>'[18]key-in(LO)'!Z290</f>
        <v>0.1</v>
      </c>
      <c r="C292" s="9">
        <f>'[18]key-in(LO)'!AA290</f>
        <v>243507</v>
      </c>
      <c r="D292" s="9">
        <f>'[18]key-in(LO)'!AB290</f>
        <v>236710</v>
      </c>
      <c r="E292" s="9">
        <f>'[18]key-in(LO)'!AC290</f>
        <v>16640.759999999998</v>
      </c>
      <c r="F292" s="9">
        <f>'[18]key-in(LO)'!AD290</f>
        <v>13476.43</v>
      </c>
      <c r="G292" s="9">
        <f>'[18]key-in(LO)'!AE290</f>
        <v>3959</v>
      </c>
      <c r="H292" s="9">
        <f>'[18]key-in(LO)'!AF290</f>
        <v>24359</v>
      </c>
      <c r="I292" s="9">
        <f>'[18]key-in(LO)'!AG290</f>
        <v>3504</v>
      </c>
      <c r="J292" s="10">
        <f>'[18]key-in(DCO)'!AN290</f>
        <v>33.18</v>
      </c>
      <c r="K292" s="10">
        <f>'[18]key-in(DCO)'!AO290</f>
        <v>33.049999999999997</v>
      </c>
      <c r="L292" s="9">
        <f>'[18]key-in(DCO)'!AR290</f>
        <v>8620</v>
      </c>
      <c r="M292" s="10">
        <f>[18]생산!AV289</f>
        <v>0</v>
      </c>
      <c r="N292" s="10">
        <f>[18]생산!AW289</f>
        <v>0</v>
      </c>
      <c r="O292" s="10">
        <f>[18]생산!AX289</f>
        <v>0</v>
      </c>
      <c r="P292" s="10">
        <f>[18]생산!AY289</f>
        <v>0</v>
      </c>
      <c r="Q292" s="10">
        <f>[19]생산!BE289</f>
        <v>0</v>
      </c>
      <c r="R292" s="10">
        <f>[18]생산!BA289</f>
        <v>0</v>
      </c>
      <c r="S292" s="9">
        <f>[18]운전시간외!C289</f>
        <v>0</v>
      </c>
      <c r="T292" s="9">
        <f>[18]운전시간외!D289</f>
        <v>0</v>
      </c>
      <c r="U292" s="9">
        <f>[18]운전시간외!E289</f>
        <v>0</v>
      </c>
      <c r="V292" s="9">
        <f>[18]운전시간외!F289</f>
        <v>0</v>
      </c>
      <c r="W292" s="11">
        <f>[18]생산!E289</f>
        <v>0</v>
      </c>
      <c r="X292" s="11">
        <f>[18]생산!F289</f>
        <v>0</v>
      </c>
      <c r="Y292" s="11">
        <f>[18]생산!G289</f>
        <v>0</v>
      </c>
      <c r="Z292" s="11">
        <f>[18]생산!H289</f>
        <v>0</v>
      </c>
      <c r="AA292" s="11">
        <f>[18]생산!I289</f>
        <v>0</v>
      </c>
      <c r="AB292" s="11">
        <f>[18]생산!J289</f>
        <v>0</v>
      </c>
      <c r="AC292" s="48">
        <f>ROUNDDOWN('[20]2025년'!G288/1000,1)</f>
        <v>0</v>
      </c>
    </row>
    <row r="293" spans="1:29">
      <c r="A293" s="6">
        <f t="shared" si="4"/>
        <v>45945</v>
      </c>
      <c r="B293" s="9">
        <f>'[18]key-in(LO)'!Z291</f>
        <v>0.1</v>
      </c>
      <c r="C293" s="9">
        <f>'[18]key-in(LO)'!AA291</f>
        <v>243523</v>
      </c>
      <c r="D293" s="9">
        <f>'[18]key-in(LO)'!AB291</f>
        <v>236817</v>
      </c>
      <c r="E293" s="9">
        <f>'[18]key-in(LO)'!AC291</f>
        <v>16645.919999999998</v>
      </c>
      <c r="F293" s="9">
        <f>'[18]key-in(LO)'!AD291</f>
        <v>13476.44</v>
      </c>
      <c r="G293" s="9">
        <f>'[18]key-in(LO)'!AE291</f>
        <v>3960.2</v>
      </c>
      <c r="H293" s="9">
        <f>'[18]key-in(LO)'!AF291</f>
        <v>24575</v>
      </c>
      <c r="I293" s="9">
        <f>'[18]key-in(LO)'!AG291</f>
        <v>3631</v>
      </c>
      <c r="J293" s="10">
        <f>'[18]key-in(DCO)'!AN291</f>
        <v>33.200000000000003</v>
      </c>
      <c r="K293" s="10">
        <f>'[18]key-in(DCO)'!AO291</f>
        <v>33</v>
      </c>
      <c r="L293" s="9">
        <f>'[18]key-in(DCO)'!AR291</f>
        <v>8590</v>
      </c>
      <c r="M293" s="10">
        <f>[18]생산!AV290</f>
        <v>0</v>
      </c>
      <c r="N293" s="10">
        <f>[18]생산!AW290</f>
        <v>0</v>
      </c>
      <c r="O293" s="10">
        <f>[18]생산!AX290</f>
        <v>0</v>
      </c>
      <c r="P293" s="10">
        <f>[18]생산!AY290</f>
        <v>0</v>
      </c>
      <c r="Q293" s="10">
        <f>[19]생산!BE290</f>
        <v>0</v>
      </c>
      <c r="R293" s="10">
        <f>[18]생산!BA290</f>
        <v>0</v>
      </c>
      <c r="S293" s="9">
        <f>[18]운전시간외!C290</f>
        <v>0</v>
      </c>
      <c r="T293" s="9">
        <f>[18]운전시간외!D290</f>
        <v>0</v>
      </c>
      <c r="U293" s="9">
        <f>[18]운전시간외!E290</f>
        <v>0</v>
      </c>
      <c r="V293" s="9">
        <f>[18]운전시간외!F290</f>
        <v>0</v>
      </c>
      <c r="W293" s="11">
        <f>[18]생산!E290</f>
        <v>0</v>
      </c>
      <c r="X293" s="11">
        <f>[18]생산!F290</f>
        <v>0</v>
      </c>
      <c r="Y293" s="11">
        <f>[18]생산!G290</f>
        <v>0</v>
      </c>
      <c r="Z293" s="11">
        <f>[18]생산!H290</f>
        <v>0</v>
      </c>
      <c r="AA293" s="11">
        <f>[18]생산!I290</f>
        <v>0</v>
      </c>
      <c r="AB293" s="11">
        <f>[18]생산!J290</f>
        <v>0</v>
      </c>
      <c r="AC293" s="48">
        <f>ROUNDDOWN('[20]2025년'!G289/1000,1)</f>
        <v>0</v>
      </c>
    </row>
    <row r="294" spans="1:29">
      <c r="A294" s="6">
        <f t="shared" si="4"/>
        <v>45946</v>
      </c>
      <c r="B294" s="9">
        <f>'[18]key-in(LO)'!Z292</f>
        <v>0.1</v>
      </c>
      <c r="C294" s="9">
        <f>'[18]key-in(LO)'!AA292</f>
        <v>243599</v>
      </c>
      <c r="D294" s="9">
        <f>'[18]key-in(LO)'!AB292</f>
        <v>236817</v>
      </c>
      <c r="E294" s="9">
        <f>'[18]key-in(LO)'!AC292</f>
        <v>16650.490000000002</v>
      </c>
      <c r="F294" s="9">
        <f>'[18]key-in(LO)'!AD292</f>
        <v>13476.82</v>
      </c>
      <c r="G294" s="9">
        <f>'[18]key-in(LO)'!AE292</f>
        <v>3961.1</v>
      </c>
      <c r="H294" s="9">
        <f>'[18]key-in(LO)'!AF292</f>
        <v>24692</v>
      </c>
      <c r="I294" s="9">
        <f>'[18]key-in(LO)'!AG292</f>
        <v>3726</v>
      </c>
      <c r="J294" s="10">
        <f>'[18]key-in(DCO)'!AN292</f>
        <v>33.24</v>
      </c>
      <c r="K294" s="10">
        <f>'[18]key-in(DCO)'!AO292</f>
        <v>32.979999999999997</v>
      </c>
      <c r="L294" s="9">
        <f>'[18]key-in(DCO)'!AR292</f>
        <v>8661</v>
      </c>
      <c r="M294" s="10">
        <f>[18]생산!AV291</f>
        <v>0</v>
      </c>
      <c r="N294" s="10">
        <f>[18]생산!AW291</f>
        <v>0</v>
      </c>
      <c r="O294" s="10">
        <f>[18]생산!AX291</f>
        <v>0</v>
      </c>
      <c r="P294" s="10">
        <f>[18]생산!AY291</f>
        <v>0</v>
      </c>
      <c r="Q294" s="10">
        <f>[19]생산!BE291</f>
        <v>0</v>
      </c>
      <c r="R294" s="10">
        <f>[18]생산!BA291</f>
        <v>0</v>
      </c>
      <c r="S294" s="9">
        <f>[18]운전시간외!C291</f>
        <v>0</v>
      </c>
      <c r="T294" s="9">
        <f>[18]운전시간외!D291</f>
        <v>0</v>
      </c>
      <c r="U294" s="9">
        <f>[18]운전시간외!E291</f>
        <v>0</v>
      </c>
      <c r="V294" s="9">
        <f>[18]운전시간외!F291</f>
        <v>0</v>
      </c>
      <c r="W294" s="11">
        <f>[18]생산!E291</f>
        <v>0</v>
      </c>
      <c r="X294" s="11">
        <f>[18]생산!F291</f>
        <v>0</v>
      </c>
      <c r="Y294" s="11">
        <f>[18]생산!G291</f>
        <v>0</v>
      </c>
      <c r="Z294" s="11">
        <f>[18]생산!H291</f>
        <v>0</v>
      </c>
      <c r="AA294" s="11">
        <f>[18]생산!I291</f>
        <v>0</v>
      </c>
      <c r="AB294" s="11">
        <f>[18]생산!J291</f>
        <v>0</v>
      </c>
      <c r="AC294" s="48">
        <f>ROUNDDOWN('[20]2025년'!G290/1000,1)</f>
        <v>0</v>
      </c>
    </row>
    <row r="295" spans="1:29">
      <c r="A295" s="6">
        <f t="shared" si="4"/>
        <v>45947</v>
      </c>
      <c r="B295" s="9">
        <f>'[18]key-in(LO)'!Z293</f>
        <v>0.1</v>
      </c>
      <c r="C295" s="9">
        <f>'[18]key-in(LO)'!AA293</f>
        <v>243681</v>
      </c>
      <c r="D295" s="9">
        <f>'[18]key-in(LO)'!AB293</f>
        <v>236838</v>
      </c>
      <c r="E295" s="9">
        <f>'[18]key-in(LO)'!AC293</f>
        <v>16656.03</v>
      </c>
      <c r="F295" s="9">
        <f>'[18]key-in(LO)'!AD293</f>
        <v>13482.35</v>
      </c>
      <c r="G295" s="9">
        <f>'[18]key-in(LO)'!AE293</f>
        <v>3962</v>
      </c>
      <c r="H295" s="9">
        <f>'[18]key-in(LO)'!AF293</f>
        <v>24803</v>
      </c>
      <c r="I295" s="9">
        <f>'[18]key-in(LO)'!AG293</f>
        <v>3833</v>
      </c>
      <c r="J295" s="10">
        <f>'[18]key-in(DCO)'!AN293</f>
        <v>33.19</v>
      </c>
      <c r="K295" s="10">
        <f>'[18]key-in(DCO)'!AO293</f>
        <v>32.979999999999997</v>
      </c>
      <c r="L295" s="9">
        <f>'[18]key-in(DCO)'!AR293</f>
        <v>7792</v>
      </c>
      <c r="M295" s="10">
        <f>[18]생산!AV292</f>
        <v>0</v>
      </c>
      <c r="N295" s="10">
        <f>[18]생산!AW292</f>
        <v>0</v>
      </c>
      <c r="O295" s="10">
        <f>[18]생산!AX292</f>
        <v>0</v>
      </c>
      <c r="P295" s="10">
        <f>[18]생산!AY292</f>
        <v>0</v>
      </c>
      <c r="Q295" s="10">
        <f>[19]생산!BE292</f>
        <v>0</v>
      </c>
      <c r="R295" s="10">
        <f>[18]생산!BA292</f>
        <v>0</v>
      </c>
      <c r="S295" s="9">
        <f>[18]운전시간외!C292</f>
        <v>0</v>
      </c>
      <c r="T295" s="9">
        <f>[18]운전시간외!D292</f>
        <v>0</v>
      </c>
      <c r="U295" s="9">
        <f>[18]운전시간외!E292</f>
        <v>0</v>
      </c>
      <c r="V295" s="9">
        <f>[18]운전시간외!F292</f>
        <v>0</v>
      </c>
      <c r="W295" s="11">
        <f>[18]생산!E292</f>
        <v>0</v>
      </c>
      <c r="X295" s="11">
        <f>[18]생산!F292</f>
        <v>0</v>
      </c>
      <c r="Y295" s="11">
        <f>[18]생산!G292</f>
        <v>0</v>
      </c>
      <c r="Z295" s="11">
        <f>[18]생산!H292</f>
        <v>0</v>
      </c>
      <c r="AA295" s="11">
        <f>[18]생산!I292</f>
        <v>0</v>
      </c>
      <c r="AB295" s="11">
        <f>[18]생산!J292</f>
        <v>0</v>
      </c>
      <c r="AC295" s="48">
        <f>ROUNDDOWN('[20]2025년'!G291/1000,1)</f>
        <v>0</v>
      </c>
    </row>
    <row r="296" spans="1:29">
      <c r="A296" s="6">
        <f t="shared" si="4"/>
        <v>45948</v>
      </c>
      <c r="B296" s="9">
        <f>'[18]key-in(LO)'!Z294</f>
        <v>0.1</v>
      </c>
      <c r="C296" s="9">
        <f>'[18]key-in(LO)'!AA294</f>
        <v>243681</v>
      </c>
      <c r="D296" s="9">
        <f>'[18]key-in(LO)'!AB294</f>
        <v>236861</v>
      </c>
      <c r="E296" s="9">
        <f>'[18]key-in(LO)'!AC294</f>
        <v>16658.63</v>
      </c>
      <c r="F296" s="9">
        <f>'[18]key-in(LO)'!AD294</f>
        <v>13482.42</v>
      </c>
      <c r="G296" s="9">
        <f>'[18]key-in(LO)'!AE294</f>
        <v>3962.5</v>
      </c>
      <c r="H296" s="9">
        <f>'[18]key-in(LO)'!AF294</f>
        <v>24852</v>
      </c>
      <c r="I296" s="9">
        <f>'[18]key-in(LO)'!AG294</f>
        <v>3895</v>
      </c>
      <c r="J296" s="10">
        <f>'[18]key-in(DCO)'!AN294</f>
        <v>33.1</v>
      </c>
      <c r="K296" s="10">
        <f>'[18]key-in(DCO)'!AO294</f>
        <v>32.92</v>
      </c>
      <c r="L296" s="9">
        <f>'[18]key-in(DCO)'!AR294</f>
        <v>8410</v>
      </c>
      <c r="M296" s="10">
        <f>[18]생산!AV293</f>
        <v>0</v>
      </c>
      <c r="N296" s="10">
        <f>[18]생산!AW293</f>
        <v>0</v>
      </c>
      <c r="O296" s="10">
        <f>[18]생산!AX293</f>
        <v>0</v>
      </c>
      <c r="P296" s="10">
        <f>[18]생산!AY293</f>
        <v>0</v>
      </c>
      <c r="Q296" s="10">
        <f>[19]생산!BE293</f>
        <v>0</v>
      </c>
      <c r="R296" s="10">
        <f>[18]생산!BA293</f>
        <v>0</v>
      </c>
      <c r="S296" s="9">
        <f>[18]운전시간외!C293</f>
        <v>0</v>
      </c>
      <c r="T296" s="9">
        <f>[18]운전시간외!D293</f>
        <v>0</v>
      </c>
      <c r="U296" s="9">
        <f>[18]운전시간외!E293</f>
        <v>0</v>
      </c>
      <c r="V296" s="9">
        <f>[18]운전시간외!F293</f>
        <v>0</v>
      </c>
      <c r="W296" s="11">
        <f>[18]생산!E293</f>
        <v>0</v>
      </c>
      <c r="X296" s="11">
        <f>[18]생산!F293</f>
        <v>0</v>
      </c>
      <c r="Y296" s="11">
        <f>[18]생산!G293</f>
        <v>0</v>
      </c>
      <c r="Z296" s="11">
        <f>[18]생산!H293</f>
        <v>0</v>
      </c>
      <c r="AA296" s="11">
        <f>[18]생산!I293</f>
        <v>0</v>
      </c>
      <c r="AB296" s="11">
        <f>[18]생산!J293</f>
        <v>0</v>
      </c>
      <c r="AC296" s="48">
        <f>ROUNDDOWN('[20]2025년'!G292/1000,1)</f>
        <v>0</v>
      </c>
    </row>
    <row r="297" spans="1:29">
      <c r="A297" s="6">
        <f t="shared" si="4"/>
        <v>45949</v>
      </c>
      <c r="B297" s="9">
        <f>'[18]key-in(LO)'!Z295</f>
        <v>0.1</v>
      </c>
      <c r="C297" s="9">
        <f>'[18]key-in(LO)'!AA295</f>
        <v>243681</v>
      </c>
      <c r="D297" s="9">
        <f>'[18]key-in(LO)'!AB295</f>
        <v>236861</v>
      </c>
      <c r="E297" s="9">
        <f>'[18]key-in(LO)'!AC295</f>
        <v>16660.72</v>
      </c>
      <c r="F297" s="9">
        <f>'[18]key-in(LO)'!AD295</f>
        <v>13482.62</v>
      </c>
      <c r="G297" s="9">
        <f>'[18]key-in(LO)'!AE295</f>
        <v>3963.1</v>
      </c>
      <c r="H297" s="9">
        <f>'[18]key-in(LO)'!AF295</f>
        <v>24882</v>
      </c>
      <c r="I297" s="9">
        <f>'[18]key-in(LO)'!AG295</f>
        <v>3914</v>
      </c>
      <c r="J297" s="10">
        <f>'[18]key-in(DCO)'!AN295</f>
        <v>32.99</v>
      </c>
      <c r="K297" s="10">
        <f>'[18]key-in(DCO)'!AO295</f>
        <v>32.96</v>
      </c>
      <c r="L297" s="9">
        <f>'[18]key-in(DCO)'!AR295</f>
        <v>8007</v>
      </c>
      <c r="M297" s="10">
        <f>[18]생산!AV294</f>
        <v>0</v>
      </c>
      <c r="N297" s="10">
        <f>[18]생산!AW294</f>
        <v>0</v>
      </c>
      <c r="O297" s="10">
        <f>[18]생산!AX294</f>
        <v>0</v>
      </c>
      <c r="P297" s="10">
        <f>[18]생산!AY294</f>
        <v>0</v>
      </c>
      <c r="Q297" s="10">
        <f>[19]생산!BE294</f>
        <v>0</v>
      </c>
      <c r="R297" s="10">
        <f>[18]생산!BA294</f>
        <v>0</v>
      </c>
      <c r="S297" s="9">
        <f>[18]운전시간외!C294</f>
        <v>0</v>
      </c>
      <c r="T297" s="9">
        <f>[18]운전시간외!D294</f>
        <v>0</v>
      </c>
      <c r="U297" s="9">
        <f>[18]운전시간외!E294</f>
        <v>0</v>
      </c>
      <c r="V297" s="9">
        <f>[18]운전시간외!F294</f>
        <v>0</v>
      </c>
      <c r="W297" s="11">
        <f>[18]생산!E294</f>
        <v>0</v>
      </c>
      <c r="X297" s="11">
        <f>[18]생산!F294</f>
        <v>0</v>
      </c>
      <c r="Y297" s="11">
        <f>[18]생산!G294</f>
        <v>0</v>
      </c>
      <c r="Z297" s="11">
        <f>[18]생산!H294</f>
        <v>0</v>
      </c>
      <c r="AA297" s="11">
        <f>[18]생산!I294</f>
        <v>0</v>
      </c>
      <c r="AB297" s="11">
        <f>[18]생산!J294</f>
        <v>0</v>
      </c>
      <c r="AC297" s="48">
        <f>ROUNDDOWN('[20]2025년'!G293/1000,1)</f>
        <v>0</v>
      </c>
    </row>
    <row r="298" spans="1:29">
      <c r="A298" s="6">
        <f t="shared" si="4"/>
        <v>45950</v>
      </c>
      <c r="B298" s="9">
        <f>'[18]key-in(LO)'!Z296</f>
        <v>0.2</v>
      </c>
      <c r="C298" s="9">
        <f>'[18]key-in(LO)'!AA296</f>
        <v>243718</v>
      </c>
      <c r="D298" s="9">
        <f>'[18]key-in(LO)'!AB296</f>
        <v>236959</v>
      </c>
      <c r="E298" s="9">
        <f>'[18]key-in(LO)'!AC296</f>
        <v>16665.14</v>
      </c>
      <c r="F298" s="9">
        <f>'[18]key-in(LO)'!AD296</f>
        <v>13494.05</v>
      </c>
      <c r="G298" s="9">
        <f>'[18]key-in(LO)'!AE296</f>
        <v>3964</v>
      </c>
      <c r="H298" s="9">
        <f>'[18]key-in(LO)'!AF296</f>
        <v>24940</v>
      </c>
      <c r="I298" s="9">
        <f>'[18]key-in(LO)'!AG296</f>
        <v>4076</v>
      </c>
      <c r="J298" s="10">
        <f>'[18]key-in(DCO)'!AN296</f>
        <v>33.229999999999997</v>
      </c>
      <c r="K298" s="10">
        <f>'[18]key-in(DCO)'!AO296</f>
        <v>32.9</v>
      </c>
      <c r="L298" s="9">
        <f>'[18]key-in(DCO)'!AR296</f>
        <v>8654</v>
      </c>
      <c r="M298" s="10">
        <f>[18]생산!AV295</f>
        <v>53261.559999994934</v>
      </c>
      <c r="N298" s="10">
        <f>[18]생산!AW295</f>
        <v>0</v>
      </c>
      <c r="O298" s="10">
        <f>[18]생산!AX295</f>
        <v>0</v>
      </c>
      <c r="P298" s="10">
        <f>[18]생산!AY295</f>
        <v>0</v>
      </c>
      <c r="Q298" s="10">
        <f>[19]생산!BE295</f>
        <v>0</v>
      </c>
      <c r="R298" s="10">
        <f>[18]생산!BA295</f>
        <v>0</v>
      </c>
      <c r="S298" s="9">
        <f>[18]운전시간외!C295</f>
        <v>14</v>
      </c>
      <c r="T298" s="9">
        <f>[18]운전시간외!D295</f>
        <v>0</v>
      </c>
      <c r="U298" s="9">
        <f>[18]운전시간외!E295</f>
        <v>0</v>
      </c>
      <c r="V298" s="9">
        <f>[18]운전시간외!F295</f>
        <v>0</v>
      </c>
      <c r="W298" s="11">
        <f>[18]생산!E295</f>
        <v>313</v>
      </c>
      <c r="X298" s="11">
        <f>[18]생산!F295</f>
        <v>0</v>
      </c>
      <c r="Y298" s="11">
        <f>[18]생산!G295</f>
        <v>0</v>
      </c>
      <c r="Z298" s="11">
        <f>[18]생산!H295</f>
        <v>0</v>
      </c>
      <c r="AA298" s="11">
        <f>[18]생산!I295</f>
        <v>0</v>
      </c>
      <c r="AB298" s="11">
        <f>[18]생산!J295</f>
        <v>313</v>
      </c>
      <c r="AC298" s="48">
        <f>ROUNDDOWN('[20]2025년'!G294/1000,1)</f>
        <v>8.8000000000000007</v>
      </c>
    </row>
    <row r="299" spans="1:29">
      <c r="A299" s="6">
        <f t="shared" si="4"/>
        <v>45951</v>
      </c>
      <c r="B299" s="9">
        <f>'[18]key-in(LO)'!Z297</f>
        <v>0.2</v>
      </c>
      <c r="C299" s="9">
        <f>'[18]key-in(LO)'!AA297</f>
        <v>243809</v>
      </c>
      <c r="D299" s="9">
        <f>'[18]key-in(LO)'!AB297</f>
        <v>236959</v>
      </c>
      <c r="E299" s="9">
        <f>'[18]key-in(LO)'!AC297</f>
        <v>16669.63</v>
      </c>
      <c r="F299" s="9">
        <f>'[18]key-in(LO)'!AD297</f>
        <v>13495.65</v>
      </c>
      <c r="G299" s="9">
        <f>'[18]key-in(LO)'!AE297</f>
        <v>3965.3</v>
      </c>
      <c r="H299" s="9">
        <f>'[18]key-in(LO)'!AF297</f>
        <v>25048</v>
      </c>
      <c r="I299" s="9">
        <f>'[18]key-in(LO)'!AG297</f>
        <v>4228</v>
      </c>
      <c r="J299" s="10">
        <f>'[18]key-in(DCO)'!AN297</f>
        <v>33.19</v>
      </c>
      <c r="K299" s="10">
        <f>'[18]key-in(DCO)'!AO297</f>
        <v>32.909999999999997</v>
      </c>
      <c r="L299" s="9">
        <f>'[18]key-in(DCO)'!AR297</f>
        <v>8522</v>
      </c>
      <c r="M299" s="10">
        <f>[18]생산!AV296</f>
        <v>0</v>
      </c>
      <c r="N299" s="10">
        <f>[18]생산!AW296</f>
        <v>0</v>
      </c>
      <c r="O299" s="10">
        <f>[18]생산!AX296</f>
        <v>0</v>
      </c>
      <c r="P299" s="10">
        <f>[18]생산!AY296</f>
        <v>0</v>
      </c>
      <c r="Q299" s="10">
        <f>[19]생산!BE296</f>
        <v>0</v>
      </c>
      <c r="R299" s="10">
        <f>[18]생산!BA296</f>
        <v>0</v>
      </c>
      <c r="S299" s="9">
        <f>[18]운전시간외!C296</f>
        <v>0</v>
      </c>
      <c r="T299" s="9">
        <f>[18]운전시간외!D296</f>
        <v>0</v>
      </c>
      <c r="U299" s="9">
        <f>[18]운전시간외!E296</f>
        <v>0</v>
      </c>
      <c r="V299" s="9">
        <f>[18]운전시간외!F296</f>
        <v>0</v>
      </c>
      <c r="W299" s="11">
        <f>[18]생산!E296</f>
        <v>0</v>
      </c>
      <c r="X299" s="11">
        <f>[18]생산!F296</f>
        <v>0</v>
      </c>
      <c r="Y299" s="11">
        <f>[18]생산!G296</f>
        <v>0</v>
      </c>
      <c r="Z299" s="11">
        <f>[18]생산!H296</f>
        <v>0</v>
      </c>
      <c r="AA299" s="11">
        <f>[18]생산!I296</f>
        <v>0</v>
      </c>
      <c r="AB299" s="11">
        <f>[18]생산!J296</f>
        <v>0</v>
      </c>
      <c r="AC299" s="48">
        <f>ROUNDDOWN('[20]2025년'!G295/1000,1)</f>
        <v>0</v>
      </c>
    </row>
    <row r="300" spans="1:29">
      <c r="A300" s="6">
        <f t="shared" si="4"/>
        <v>45952</v>
      </c>
      <c r="B300" s="9">
        <f>'[18]key-in(LO)'!Z298</f>
        <v>0.2</v>
      </c>
      <c r="C300" s="9">
        <f>'[18]key-in(LO)'!AA298</f>
        <v>243898</v>
      </c>
      <c r="D300" s="9">
        <f>'[18]key-in(LO)'!AB298</f>
        <v>236983</v>
      </c>
      <c r="E300" s="9">
        <f>'[18]key-in(LO)'!AC298</f>
        <v>16674.25</v>
      </c>
      <c r="F300" s="9">
        <f>'[18]key-in(LO)'!AD298</f>
        <v>13497.25</v>
      </c>
      <c r="G300" s="9">
        <f>'[18]key-in(LO)'!AE298</f>
        <v>3966.3</v>
      </c>
      <c r="H300" s="9">
        <f>'[18]key-in(LO)'!AF298</f>
        <v>25212</v>
      </c>
      <c r="I300" s="9">
        <f>'[18]key-in(LO)'!AG298</f>
        <v>4300</v>
      </c>
      <c r="J300" s="10">
        <f>'[18]key-in(DCO)'!AN298</f>
        <v>33.18</v>
      </c>
      <c r="K300" s="10">
        <f>'[18]key-in(DCO)'!AO298</f>
        <v>32.869999999999997</v>
      </c>
      <c r="L300" s="9">
        <f>'[18]key-in(DCO)'!AR298</f>
        <v>8621</v>
      </c>
      <c r="M300" s="10">
        <f>[18]생산!AV297</f>
        <v>0</v>
      </c>
      <c r="N300" s="10">
        <f>[18]생산!AW297</f>
        <v>0</v>
      </c>
      <c r="O300" s="10">
        <f>[18]생산!AX297</f>
        <v>0</v>
      </c>
      <c r="P300" s="10">
        <f>[18]생산!AY297</f>
        <v>0</v>
      </c>
      <c r="Q300" s="10">
        <f>[19]생산!BE297</f>
        <v>0</v>
      </c>
      <c r="R300" s="10">
        <f>[18]생산!BA297</f>
        <v>0</v>
      </c>
      <c r="S300" s="9">
        <f>[18]운전시간외!C297</f>
        <v>0</v>
      </c>
      <c r="T300" s="9">
        <f>[18]운전시간외!D297</f>
        <v>0</v>
      </c>
      <c r="U300" s="9">
        <f>[18]운전시간외!E297</f>
        <v>0</v>
      </c>
      <c r="V300" s="9">
        <f>[18]운전시간외!F297</f>
        <v>0</v>
      </c>
      <c r="W300" s="11">
        <f>[18]생산!E297</f>
        <v>0</v>
      </c>
      <c r="X300" s="11">
        <f>[18]생산!F297</f>
        <v>0</v>
      </c>
      <c r="Y300" s="11">
        <f>[18]생산!G297</f>
        <v>0</v>
      </c>
      <c r="Z300" s="11">
        <f>[18]생산!H297</f>
        <v>0</v>
      </c>
      <c r="AA300" s="11">
        <f>[18]생산!I297</f>
        <v>0</v>
      </c>
      <c r="AB300" s="11">
        <f>[18]생산!J297</f>
        <v>0</v>
      </c>
      <c r="AC300" s="48">
        <f>ROUNDDOWN('[20]2025년'!G296/1000,1)</f>
        <v>0</v>
      </c>
    </row>
    <row r="301" spans="1:29">
      <c r="A301" s="6">
        <f t="shared" si="4"/>
        <v>45953</v>
      </c>
      <c r="B301" s="9">
        <f>'[18]key-in(LO)'!Z299</f>
        <v>0.2</v>
      </c>
      <c r="C301" s="9">
        <f>'[18]key-in(LO)'!AA299</f>
        <v>243898</v>
      </c>
      <c r="D301" s="9">
        <f>'[18]key-in(LO)'!AB299</f>
        <v>237051</v>
      </c>
      <c r="E301" s="9">
        <f>'[18]key-in(LO)'!AC299</f>
        <v>16679.240000000002</v>
      </c>
      <c r="F301" s="9">
        <f>'[18]key-in(LO)'!AD299</f>
        <v>13498.23</v>
      </c>
      <c r="G301" s="9">
        <f>'[18]key-in(LO)'!AE299</f>
        <v>3967.6</v>
      </c>
      <c r="H301" s="9">
        <f>'[18]key-in(LO)'!AF299</f>
        <v>25260</v>
      </c>
      <c r="I301" s="9">
        <f>'[18]key-in(LO)'!AG299</f>
        <v>4412</v>
      </c>
      <c r="J301" s="10">
        <f>'[18]key-in(DCO)'!AN299</f>
        <v>33.07</v>
      </c>
      <c r="K301" s="10">
        <f>'[18]key-in(DCO)'!AO299</f>
        <v>32.840000000000003</v>
      </c>
      <c r="L301" s="9">
        <f>'[18]key-in(DCO)'!AR299</f>
        <v>8643</v>
      </c>
      <c r="M301" s="10">
        <f>[18]생산!AV298</f>
        <v>0</v>
      </c>
      <c r="N301" s="10">
        <f>[18]생산!AW298</f>
        <v>0</v>
      </c>
      <c r="O301" s="10">
        <f>[18]생산!AX298</f>
        <v>0</v>
      </c>
      <c r="P301" s="10">
        <f>[18]생산!AY298</f>
        <v>0</v>
      </c>
      <c r="Q301" s="10">
        <f>[19]생산!BE298</f>
        <v>0</v>
      </c>
      <c r="R301" s="10">
        <f>[18]생산!BA298</f>
        <v>0</v>
      </c>
      <c r="S301" s="9">
        <f>[18]운전시간외!C298</f>
        <v>0</v>
      </c>
      <c r="T301" s="9">
        <f>[18]운전시간외!D298</f>
        <v>0</v>
      </c>
      <c r="U301" s="9">
        <f>[18]운전시간외!E298</f>
        <v>0</v>
      </c>
      <c r="V301" s="9">
        <f>[18]운전시간외!F298</f>
        <v>0</v>
      </c>
      <c r="W301" s="11">
        <f>[18]생산!E298</f>
        <v>0</v>
      </c>
      <c r="X301" s="11">
        <f>[18]생산!F298</f>
        <v>0</v>
      </c>
      <c r="Y301" s="11">
        <f>[18]생산!G298</f>
        <v>0</v>
      </c>
      <c r="Z301" s="11">
        <f>[18]생산!H298</f>
        <v>0</v>
      </c>
      <c r="AA301" s="11">
        <f>[18]생산!I298</f>
        <v>0</v>
      </c>
      <c r="AB301" s="11">
        <f>[18]생산!J298</f>
        <v>0</v>
      </c>
      <c r="AC301" s="48">
        <f>ROUNDDOWN('[20]2025년'!G297/1000,1)</f>
        <v>0</v>
      </c>
    </row>
    <row r="302" spans="1:29">
      <c r="A302" s="6">
        <f t="shared" si="4"/>
        <v>45954</v>
      </c>
      <c r="B302" s="9">
        <f>'[18]key-in(LO)'!Z300</f>
        <v>0.2</v>
      </c>
      <c r="C302" s="9">
        <f>'[18]key-in(LO)'!AA300</f>
        <v>244023</v>
      </c>
      <c r="D302" s="9">
        <f>'[18]key-in(LO)'!AB300</f>
        <v>237054</v>
      </c>
      <c r="E302" s="9">
        <f>'[18]key-in(LO)'!AC300</f>
        <v>16683.86</v>
      </c>
      <c r="F302" s="9">
        <f>'[18]key-in(LO)'!AD300</f>
        <v>13498.32</v>
      </c>
      <c r="G302" s="9">
        <f>'[18]key-in(LO)'!AE300</f>
        <v>3969.1</v>
      </c>
      <c r="H302" s="9">
        <f>'[18]key-in(LO)'!AF300</f>
        <v>25534</v>
      </c>
      <c r="I302" s="9">
        <f>'[18]key-in(LO)'!AG300</f>
        <v>4568</v>
      </c>
      <c r="J302" s="10">
        <f>'[18]key-in(DCO)'!AN300</f>
        <v>33.159999999999997</v>
      </c>
      <c r="K302" s="10">
        <f>'[18]key-in(DCO)'!AO300</f>
        <v>32.81</v>
      </c>
      <c r="L302" s="9">
        <f>'[18]key-in(DCO)'!AR300</f>
        <v>8690</v>
      </c>
      <c r="M302" s="10">
        <f>[18]생산!AV299</f>
        <v>0</v>
      </c>
      <c r="N302" s="10">
        <f>[18]생산!AW299</f>
        <v>0</v>
      </c>
      <c r="O302" s="10">
        <f>[18]생산!AX299</f>
        <v>0</v>
      </c>
      <c r="P302" s="10">
        <f>[18]생산!AY299</f>
        <v>0</v>
      </c>
      <c r="Q302" s="10">
        <f>[19]생산!BE299</f>
        <v>0</v>
      </c>
      <c r="R302" s="10">
        <f>[18]생산!BA299</f>
        <v>0</v>
      </c>
      <c r="S302" s="9">
        <f>[18]운전시간외!C299</f>
        <v>0</v>
      </c>
      <c r="T302" s="9">
        <f>[18]운전시간외!D299</f>
        <v>0</v>
      </c>
      <c r="U302" s="9">
        <f>[18]운전시간외!E299</f>
        <v>0</v>
      </c>
      <c r="V302" s="9">
        <f>[18]운전시간외!F299</f>
        <v>0</v>
      </c>
      <c r="W302" s="11">
        <f>[18]생산!E299</f>
        <v>0</v>
      </c>
      <c r="X302" s="11">
        <f>[18]생산!F299</f>
        <v>0</v>
      </c>
      <c r="Y302" s="11">
        <f>[18]생산!G299</f>
        <v>0</v>
      </c>
      <c r="Z302" s="11">
        <f>[18]생산!H299</f>
        <v>0</v>
      </c>
      <c r="AA302" s="11">
        <f>[18]생산!I299</f>
        <v>0</v>
      </c>
      <c r="AB302" s="11">
        <f>[18]생산!J299</f>
        <v>0</v>
      </c>
      <c r="AC302" s="48">
        <f>ROUNDDOWN('[20]2025년'!G298/1000,1)</f>
        <v>0</v>
      </c>
    </row>
    <row r="303" spans="1:29">
      <c r="A303" s="6">
        <f t="shared" si="4"/>
        <v>45955</v>
      </c>
      <c r="B303" s="9">
        <f>'[18]key-in(LO)'!Z301</f>
        <v>0.2</v>
      </c>
      <c r="C303" s="9">
        <f>'[18]key-in(LO)'!AA301</f>
        <v>244023</v>
      </c>
      <c r="D303" s="9">
        <f>'[18]key-in(LO)'!AB301</f>
        <v>237054</v>
      </c>
      <c r="E303" s="9">
        <f>'[18]key-in(LO)'!AC301</f>
        <v>16686.240000000002</v>
      </c>
      <c r="F303" s="9">
        <f>'[18]key-in(LO)'!AD301</f>
        <v>13498.45</v>
      </c>
      <c r="G303" s="9">
        <f>'[18]key-in(LO)'!AE301</f>
        <v>3969.5</v>
      </c>
      <c r="H303" s="9">
        <f>'[18]key-in(LO)'!AF301</f>
        <v>25546</v>
      </c>
      <c r="I303" s="9">
        <f>'[18]key-in(LO)'!AG301</f>
        <v>4591</v>
      </c>
      <c r="J303" s="10">
        <f>'[18]key-in(DCO)'!AN301</f>
        <v>33.24</v>
      </c>
      <c r="K303" s="10">
        <f>'[18]key-in(DCO)'!AO301</f>
        <v>32.78</v>
      </c>
      <c r="L303" s="9">
        <f>'[18]key-in(DCO)'!AR301</f>
        <v>8293</v>
      </c>
      <c r="M303" s="10">
        <f>[18]생산!AV300</f>
        <v>0</v>
      </c>
      <c r="N303" s="10">
        <f>[18]생산!AW300</f>
        <v>0</v>
      </c>
      <c r="O303" s="10">
        <f>[18]생산!AX300</f>
        <v>0</v>
      </c>
      <c r="P303" s="10">
        <f>[18]생산!AY300</f>
        <v>0</v>
      </c>
      <c r="Q303" s="10">
        <f>[19]생산!BE300</f>
        <v>0</v>
      </c>
      <c r="R303" s="10">
        <f>[18]생산!BA300</f>
        <v>0</v>
      </c>
      <c r="S303" s="9">
        <f>[18]운전시간외!C300</f>
        <v>0</v>
      </c>
      <c r="T303" s="9">
        <f>[18]운전시간외!D300</f>
        <v>0</v>
      </c>
      <c r="U303" s="9">
        <f>[18]운전시간외!E300</f>
        <v>0</v>
      </c>
      <c r="V303" s="9">
        <f>[18]운전시간외!F300</f>
        <v>0</v>
      </c>
      <c r="W303" s="11">
        <f>[18]생산!E300</f>
        <v>0</v>
      </c>
      <c r="X303" s="11">
        <f>[18]생산!F300</f>
        <v>0</v>
      </c>
      <c r="Y303" s="11">
        <f>[18]생산!G300</f>
        <v>0</v>
      </c>
      <c r="Z303" s="11">
        <f>[18]생산!H300</f>
        <v>0</v>
      </c>
      <c r="AA303" s="11">
        <f>[18]생산!I300</f>
        <v>0</v>
      </c>
      <c r="AB303" s="11">
        <f>[18]생산!J300</f>
        <v>0</v>
      </c>
      <c r="AC303" s="48">
        <f>ROUNDDOWN('[20]2025년'!G299/1000,1)</f>
        <v>0</v>
      </c>
    </row>
    <row r="304" spans="1:29">
      <c r="A304" s="6">
        <f t="shared" si="4"/>
        <v>45956</v>
      </c>
      <c r="B304" s="9">
        <f>'[18]key-in(LO)'!Z302</f>
        <v>0.2</v>
      </c>
      <c r="C304" s="9">
        <f>'[18]key-in(LO)'!AA302</f>
        <v>244023</v>
      </c>
      <c r="D304" s="9">
        <f>'[18]key-in(LO)'!AB302</f>
        <v>237054</v>
      </c>
      <c r="E304" s="9">
        <f>'[18]key-in(LO)'!AC302</f>
        <v>16688.16</v>
      </c>
      <c r="F304" s="9">
        <f>'[18]key-in(LO)'!AD302</f>
        <v>13498.58</v>
      </c>
      <c r="G304" s="9">
        <f>'[18]key-in(LO)'!AE302</f>
        <v>3969.9</v>
      </c>
      <c r="H304" s="9">
        <f>'[18]key-in(LO)'!AF302</f>
        <v>25546</v>
      </c>
      <c r="I304" s="9">
        <f>'[18]key-in(LO)'!AG302</f>
        <v>4614</v>
      </c>
      <c r="J304" s="10">
        <f>'[18]key-in(DCO)'!AN302</f>
        <v>33.14</v>
      </c>
      <c r="K304" s="10">
        <f>'[18]key-in(DCO)'!AO302</f>
        <v>32.79</v>
      </c>
      <c r="L304" s="9">
        <f>'[18]key-in(DCO)'!AR302</f>
        <v>8008</v>
      </c>
      <c r="M304" s="10">
        <f>[18]생산!AV301</f>
        <v>0</v>
      </c>
      <c r="N304" s="10">
        <f>[18]생산!AW301</f>
        <v>0</v>
      </c>
      <c r="O304" s="10">
        <f>[18]생산!AX301</f>
        <v>0</v>
      </c>
      <c r="P304" s="10">
        <f>[18]생산!AY301</f>
        <v>0</v>
      </c>
      <c r="Q304" s="10">
        <f>[19]생산!BE301</f>
        <v>0</v>
      </c>
      <c r="R304" s="10">
        <f>[18]생산!BA301</f>
        <v>0</v>
      </c>
      <c r="S304" s="9">
        <f>[18]운전시간외!C301</f>
        <v>0</v>
      </c>
      <c r="T304" s="9">
        <f>[18]운전시간외!D301</f>
        <v>0</v>
      </c>
      <c r="U304" s="9">
        <f>[18]운전시간외!E301</f>
        <v>0</v>
      </c>
      <c r="V304" s="9">
        <f>[18]운전시간외!F301</f>
        <v>0</v>
      </c>
      <c r="W304" s="11">
        <f>[18]생산!E301</f>
        <v>0</v>
      </c>
      <c r="X304" s="11">
        <f>[18]생산!F301</f>
        <v>0</v>
      </c>
      <c r="Y304" s="11">
        <f>[18]생산!G301</f>
        <v>0</v>
      </c>
      <c r="Z304" s="11">
        <f>[18]생산!H301</f>
        <v>0</v>
      </c>
      <c r="AA304" s="11">
        <f>[18]생산!I301</f>
        <v>0</v>
      </c>
      <c r="AB304" s="11">
        <f>[18]생산!J301</f>
        <v>0</v>
      </c>
      <c r="AC304" s="48">
        <f>ROUNDDOWN('[20]2025년'!G300/1000,1)</f>
        <v>0</v>
      </c>
    </row>
    <row r="305" spans="1:29">
      <c r="A305" s="6">
        <f t="shared" si="4"/>
        <v>45957</v>
      </c>
      <c r="B305" s="9">
        <f>'[18]key-in(LO)'!Z303</f>
        <v>0.2</v>
      </c>
      <c r="C305" s="9">
        <f>'[18]key-in(LO)'!AA303</f>
        <v>244112</v>
      </c>
      <c r="D305" s="9">
        <f>'[18]key-in(LO)'!AB303</f>
        <v>237085</v>
      </c>
      <c r="E305" s="9">
        <f>'[18]key-in(LO)'!AC303</f>
        <v>16692.310000000001</v>
      </c>
      <c r="F305" s="9">
        <f>'[18]key-in(LO)'!AD303</f>
        <v>13498.83</v>
      </c>
      <c r="G305" s="9">
        <f>'[18]key-in(LO)'!AE303</f>
        <v>3970.7</v>
      </c>
      <c r="H305" s="9">
        <f>'[18]key-in(LO)'!AF303</f>
        <v>25606</v>
      </c>
      <c r="I305" s="9">
        <f>'[18]key-in(LO)'!AG303</f>
        <v>4732</v>
      </c>
      <c r="J305" s="10">
        <f>'[18]key-in(DCO)'!AN303</f>
        <v>32.770000000000003</v>
      </c>
      <c r="K305" s="10">
        <f>'[18]key-in(DCO)'!AO303</f>
        <v>32.89</v>
      </c>
      <c r="L305" s="9">
        <f>'[18]key-in(DCO)'!AR303</f>
        <v>8607</v>
      </c>
      <c r="M305" s="10">
        <f>[18]생산!AV302</f>
        <v>0</v>
      </c>
      <c r="N305" s="10">
        <f>[18]생산!AW302</f>
        <v>0</v>
      </c>
      <c r="O305" s="10">
        <f>[18]생산!AX302</f>
        <v>0</v>
      </c>
      <c r="P305" s="10">
        <f>[18]생산!AY302</f>
        <v>0</v>
      </c>
      <c r="Q305" s="10">
        <f>[19]생산!BE302</f>
        <v>0</v>
      </c>
      <c r="R305" s="10">
        <f>[18]생산!BA302</f>
        <v>0</v>
      </c>
      <c r="S305" s="9">
        <f>[18]운전시간외!C302</f>
        <v>0</v>
      </c>
      <c r="T305" s="9">
        <f>[18]운전시간외!D302</f>
        <v>0</v>
      </c>
      <c r="U305" s="9">
        <f>[18]운전시간외!E302</f>
        <v>0</v>
      </c>
      <c r="V305" s="9">
        <f>[18]운전시간외!F302</f>
        <v>0</v>
      </c>
      <c r="W305" s="11">
        <f>[18]생산!E302</f>
        <v>0</v>
      </c>
      <c r="X305" s="11">
        <f>[18]생산!F302</f>
        <v>0</v>
      </c>
      <c r="Y305" s="11">
        <f>[18]생산!G302</f>
        <v>0</v>
      </c>
      <c r="Z305" s="11">
        <f>[18]생산!H302</f>
        <v>0</v>
      </c>
      <c r="AA305" s="11">
        <f>[18]생산!I302</f>
        <v>0</v>
      </c>
      <c r="AB305" s="11">
        <f>[18]생산!J302</f>
        <v>0</v>
      </c>
      <c r="AC305" s="48">
        <f>ROUNDDOWN('[20]2025년'!G301/1000,1)</f>
        <v>0</v>
      </c>
    </row>
    <row r="306" spans="1:29">
      <c r="A306" s="6">
        <f t="shared" si="4"/>
        <v>45958</v>
      </c>
      <c r="B306" s="9">
        <f>'[18]key-in(LO)'!Z304</f>
        <v>0.2</v>
      </c>
      <c r="C306" s="9">
        <f>'[18]key-in(LO)'!AA304</f>
        <v>244112</v>
      </c>
      <c r="D306" s="9">
        <f>'[18]key-in(LO)'!AB304</f>
        <v>237167</v>
      </c>
      <c r="E306" s="9">
        <f>'[18]key-in(LO)'!AC304</f>
        <v>16696.38</v>
      </c>
      <c r="F306" s="9">
        <f>'[18]key-in(LO)'!AD304</f>
        <v>13498.89</v>
      </c>
      <c r="G306" s="9">
        <f>'[18]key-in(LO)'!AE304</f>
        <v>3971.7</v>
      </c>
      <c r="H306" s="9">
        <f>'[18]key-in(LO)'!AF304</f>
        <v>25741</v>
      </c>
      <c r="I306" s="9">
        <f>'[18]key-in(LO)'!AG304</f>
        <v>4845</v>
      </c>
      <c r="J306" s="10">
        <f>'[18]key-in(DCO)'!AN304</f>
        <v>33.01</v>
      </c>
      <c r="K306" s="10">
        <f>'[18]key-in(DCO)'!AO304</f>
        <v>32.76</v>
      </c>
      <c r="L306" s="9">
        <f>'[18]key-in(DCO)'!AR304</f>
        <v>8640</v>
      </c>
      <c r="M306" s="10">
        <f>[18]생산!AV303</f>
        <v>0</v>
      </c>
      <c r="N306" s="10">
        <f>[18]생산!AW303</f>
        <v>0</v>
      </c>
      <c r="O306" s="10">
        <f>[18]생산!AX303</f>
        <v>0</v>
      </c>
      <c r="P306" s="10">
        <f>[18]생산!AY303</f>
        <v>0</v>
      </c>
      <c r="Q306" s="10">
        <f>[19]생산!BE303</f>
        <v>0</v>
      </c>
      <c r="R306" s="10">
        <f>[18]생산!BA303</f>
        <v>0</v>
      </c>
      <c r="S306" s="9">
        <f>[18]운전시간외!C303</f>
        <v>0</v>
      </c>
      <c r="T306" s="9">
        <f>[18]운전시간외!D303</f>
        <v>0</v>
      </c>
      <c r="U306" s="9">
        <f>[18]운전시간외!E303</f>
        <v>0</v>
      </c>
      <c r="V306" s="9">
        <f>[18]운전시간외!F303</f>
        <v>0</v>
      </c>
      <c r="W306" s="11">
        <f>[18]생산!E303</f>
        <v>0</v>
      </c>
      <c r="X306" s="11">
        <f>[18]생산!F303</f>
        <v>0</v>
      </c>
      <c r="Y306" s="11">
        <f>[18]생산!G303</f>
        <v>0</v>
      </c>
      <c r="Z306" s="11">
        <f>[18]생산!H303</f>
        <v>0</v>
      </c>
      <c r="AA306" s="11">
        <f>[18]생산!I303</f>
        <v>0</v>
      </c>
      <c r="AB306" s="11">
        <f>[18]생산!J303</f>
        <v>0</v>
      </c>
      <c r="AC306" s="48">
        <f>ROUNDDOWN('[20]2025년'!G302/1000,1)</f>
        <v>0</v>
      </c>
    </row>
    <row r="307" spans="1:29">
      <c r="A307" s="6">
        <f t="shared" si="4"/>
        <v>45959</v>
      </c>
      <c r="B307" s="9">
        <f>'[18]key-in(LO)'!Z305</f>
        <v>30</v>
      </c>
      <c r="C307" s="9">
        <f>'[18]key-in(LO)'!AA305</f>
        <v>244192</v>
      </c>
      <c r="D307" s="9">
        <f>'[18]key-in(LO)'!AB305</f>
        <v>237207</v>
      </c>
      <c r="E307" s="9">
        <f>'[18]key-in(LO)'!AC305</f>
        <v>16700.41</v>
      </c>
      <c r="F307" s="9">
        <f>'[18]key-in(LO)'!AD305</f>
        <v>13498.92</v>
      </c>
      <c r="G307" s="9">
        <f>'[18]key-in(LO)'!AE305</f>
        <v>3972.7</v>
      </c>
      <c r="H307" s="9">
        <f>'[18]key-in(LO)'!AF305</f>
        <v>25899</v>
      </c>
      <c r="I307" s="9">
        <f>'[18]key-in(LO)'!AG305</f>
        <v>4956</v>
      </c>
      <c r="J307" s="10">
        <f>'[18]key-in(DCO)'!AN305</f>
        <v>33.159999999999997</v>
      </c>
      <c r="K307" s="10">
        <f>'[18]key-in(DCO)'!AO305</f>
        <v>32.78</v>
      </c>
      <c r="L307" s="9">
        <f>'[18]key-in(DCO)'!AR305</f>
        <v>8062</v>
      </c>
      <c r="M307" s="10">
        <f>[18]생산!AV304</f>
        <v>0</v>
      </c>
      <c r="N307" s="10">
        <f>[18]생산!AW304</f>
        <v>0</v>
      </c>
      <c r="O307" s="10">
        <f>[18]생산!AX304</f>
        <v>0</v>
      </c>
      <c r="P307" s="10">
        <f>[18]생산!AY304</f>
        <v>0</v>
      </c>
      <c r="Q307" s="10">
        <f>[19]생산!BE304</f>
        <v>0</v>
      </c>
      <c r="R307" s="10">
        <f>[18]생산!BA304</f>
        <v>0</v>
      </c>
      <c r="S307" s="9">
        <f>[18]운전시간외!C304</f>
        <v>0</v>
      </c>
      <c r="T307" s="9">
        <f>[18]운전시간외!D304</f>
        <v>0</v>
      </c>
      <c r="U307" s="9">
        <f>[18]운전시간외!E304</f>
        <v>0</v>
      </c>
      <c r="V307" s="9">
        <f>[18]운전시간외!F304</f>
        <v>0</v>
      </c>
      <c r="W307" s="11">
        <f>[18]생산!E304</f>
        <v>0</v>
      </c>
      <c r="X307" s="11">
        <f>[18]생산!F304</f>
        <v>0</v>
      </c>
      <c r="Y307" s="11">
        <f>[18]생산!G304</f>
        <v>0</v>
      </c>
      <c r="Z307" s="11">
        <f>[18]생산!H304</f>
        <v>0</v>
      </c>
      <c r="AA307" s="11">
        <f>[18]생산!I304</f>
        <v>0</v>
      </c>
      <c r="AB307" s="11">
        <f>[18]생산!J304</f>
        <v>0</v>
      </c>
      <c r="AC307" s="48">
        <f>ROUNDDOWN('[20]2025년'!G303/1000,1)</f>
        <v>0</v>
      </c>
    </row>
    <row r="308" spans="1:29">
      <c r="A308" s="6">
        <f t="shared" si="4"/>
        <v>45960</v>
      </c>
      <c r="B308" s="9">
        <f>'[18]key-in(LO)'!Z306</f>
        <v>121.2</v>
      </c>
      <c r="C308" s="9">
        <f>'[18]key-in(LO)'!AA306</f>
        <v>244311</v>
      </c>
      <c r="D308" s="9">
        <f>'[18]key-in(LO)'!AB306</f>
        <v>237207</v>
      </c>
      <c r="E308" s="9">
        <f>'[18]key-in(LO)'!AC306</f>
        <v>16704.38</v>
      </c>
      <c r="F308" s="9">
        <f>'[18]key-in(LO)'!AD306</f>
        <v>13498.92</v>
      </c>
      <c r="G308" s="9">
        <f>'[18]key-in(LO)'!AE306</f>
        <v>3973.4</v>
      </c>
      <c r="H308" s="9">
        <f>'[18]key-in(LO)'!AF306</f>
        <v>25962</v>
      </c>
      <c r="I308" s="9">
        <f>'[18]key-in(LO)'!AG306</f>
        <v>5111</v>
      </c>
      <c r="J308" s="10">
        <f>'[18]key-in(DCO)'!AN306</f>
        <v>33.450000000000003</v>
      </c>
      <c r="K308" s="10">
        <f>'[18]key-in(DCO)'!AO306</f>
        <v>32.909999999999997</v>
      </c>
      <c r="L308" s="9">
        <f>'[18]key-in(DCO)'!AR306</f>
        <v>8062</v>
      </c>
      <c r="M308" s="10">
        <f>[18]생산!AV305</f>
        <v>0</v>
      </c>
      <c r="N308" s="10">
        <f>[18]생산!AW305</f>
        <v>0</v>
      </c>
      <c r="O308" s="10">
        <f>[18]생산!AX305</f>
        <v>0</v>
      </c>
      <c r="P308" s="10">
        <f>[18]생산!AY305</f>
        <v>0</v>
      </c>
      <c r="Q308" s="10">
        <f>[19]생산!BE305</f>
        <v>0</v>
      </c>
      <c r="R308" s="10">
        <f>[18]생산!BA305</f>
        <v>0</v>
      </c>
      <c r="S308" s="9">
        <f>[18]운전시간외!C305</f>
        <v>0</v>
      </c>
      <c r="T308" s="9">
        <f>[18]운전시간외!D305</f>
        <v>0</v>
      </c>
      <c r="U308" s="9">
        <f>[18]운전시간외!E305</f>
        <v>0</v>
      </c>
      <c r="V308" s="9">
        <f>[18]운전시간외!F305</f>
        <v>0</v>
      </c>
      <c r="W308" s="11">
        <f>[18]생산!E305</f>
        <v>0</v>
      </c>
      <c r="X308" s="11">
        <f>[18]생산!F305</f>
        <v>0</v>
      </c>
      <c r="Y308" s="11">
        <f>[18]생산!G305</f>
        <v>0</v>
      </c>
      <c r="Z308" s="11">
        <f>[18]생산!H305</f>
        <v>0</v>
      </c>
      <c r="AA308" s="11">
        <f>[18]생산!I305</f>
        <v>0</v>
      </c>
      <c r="AB308" s="11">
        <f>[18]생산!J305</f>
        <v>0</v>
      </c>
      <c r="AC308" s="48">
        <f>ROUNDDOWN('[20]2025년'!G304/1000,1)</f>
        <v>0</v>
      </c>
    </row>
    <row r="309" spans="1:29">
      <c r="A309" s="6">
        <f t="shared" si="4"/>
        <v>45961</v>
      </c>
      <c r="B309" s="9">
        <f>'[18]key-in(LO)'!Z307</f>
        <v>210</v>
      </c>
      <c r="C309" s="9">
        <f>'[18]key-in(LO)'!AA307</f>
        <v>244367</v>
      </c>
      <c r="D309" s="9">
        <f>'[18]key-in(LO)'!AB307</f>
        <v>237332</v>
      </c>
      <c r="E309" s="9">
        <f>'[18]key-in(LO)'!AC307</f>
        <v>16709.12</v>
      </c>
      <c r="F309" s="9">
        <f>'[18]key-in(LO)'!AD307</f>
        <v>13501.03</v>
      </c>
      <c r="G309" s="9">
        <f>'[18]key-in(LO)'!AE307</f>
        <v>3974.5</v>
      </c>
      <c r="H309" s="9">
        <f>'[18]key-in(LO)'!AF307</f>
        <v>26157</v>
      </c>
      <c r="I309" s="9">
        <f>'[18]key-in(LO)'!AG307</f>
        <v>5358</v>
      </c>
      <c r="J309" s="10">
        <f>'[18]key-in(DCO)'!AN307</f>
        <v>33.74</v>
      </c>
      <c r="K309" s="10">
        <f>'[18]key-in(DCO)'!AO307</f>
        <v>33.020000000000003</v>
      </c>
      <c r="L309" s="9">
        <f>'[18]key-in(DCO)'!AR307</f>
        <v>4834</v>
      </c>
      <c r="M309" s="10">
        <f>[18]생산!AV306</f>
        <v>0</v>
      </c>
      <c r="N309" s="10">
        <f>[18]생산!AW306</f>
        <v>0</v>
      </c>
      <c r="O309" s="10">
        <f>[18]생산!AX306</f>
        <v>0</v>
      </c>
      <c r="P309" s="10">
        <f>[18]생산!AY306</f>
        <v>0</v>
      </c>
      <c r="Q309" s="10">
        <f>[19]생산!BE306</f>
        <v>0</v>
      </c>
      <c r="R309" s="10">
        <f>[18]생산!BA306</f>
        <v>0</v>
      </c>
      <c r="S309" s="9">
        <f>[18]운전시간외!C306</f>
        <v>0</v>
      </c>
      <c r="T309" s="9">
        <f>[18]운전시간외!D306</f>
        <v>0</v>
      </c>
      <c r="U309" s="9">
        <f>[18]운전시간외!E306</f>
        <v>0</v>
      </c>
      <c r="V309" s="9">
        <f>[18]운전시간외!F306</f>
        <v>0</v>
      </c>
      <c r="W309" s="11">
        <f>[18]생산!E306</f>
        <v>0</v>
      </c>
      <c r="X309" s="11">
        <f>[18]생산!F306</f>
        <v>0</v>
      </c>
      <c r="Y309" s="11">
        <f>[18]생산!G306</f>
        <v>0</v>
      </c>
      <c r="Z309" s="11">
        <f>[18]생산!H306</f>
        <v>0</v>
      </c>
      <c r="AA309" s="11">
        <f>[18]생산!I306</f>
        <v>0</v>
      </c>
      <c r="AB309" s="11">
        <f>[18]생산!J306</f>
        <v>0</v>
      </c>
      <c r="AC309" s="48">
        <f>ROUNDDOWN('[20]2025년'!G305/1000,1)</f>
        <v>0</v>
      </c>
    </row>
    <row r="310" spans="1:29">
      <c r="A310" s="6">
        <f t="shared" si="4"/>
        <v>45962</v>
      </c>
      <c r="B310" s="9">
        <f>'[18]key-in(LO)'!Z308</f>
        <v>270.8</v>
      </c>
      <c r="C310" s="9">
        <f>'[18]key-in(LO)'!AA308</f>
        <v>244522</v>
      </c>
      <c r="D310" s="9">
        <f>'[18]key-in(LO)'!AB308</f>
        <v>237415</v>
      </c>
      <c r="E310" s="9">
        <f>'[18]key-in(LO)'!AC308</f>
        <v>16710.89</v>
      </c>
      <c r="F310" s="9">
        <f>'[18]key-in(LO)'!AD308</f>
        <v>13501.04</v>
      </c>
      <c r="G310" s="9">
        <f>'[18]key-in(LO)'!AE308</f>
        <v>3975.2</v>
      </c>
      <c r="H310" s="9">
        <f>'[18]key-in(LO)'!AF308</f>
        <v>26174</v>
      </c>
      <c r="I310" s="9">
        <f>'[18]key-in(LO)'!AG308</f>
        <v>5610</v>
      </c>
      <c r="J310" s="10">
        <f>'[18]key-in(DCO)'!AN308</f>
        <v>33.68</v>
      </c>
      <c r="K310" s="10">
        <f>'[18]key-in(DCO)'!AO308</f>
        <v>33.14</v>
      </c>
      <c r="L310" s="9">
        <f>'[18]key-in(DCO)'!AR308</f>
        <v>7404</v>
      </c>
      <c r="M310" s="10">
        <f>[18]생산!AV307</f>
        <v>0</v>
      </c>
      <c r="N310" s="10">
        <f>[18]생산!AW307</f>
        <v>0</v>
      </c>
      <c r="O310" s="10">
        <f>[18]생산!AX307</f>
        <v>0</v>
      </c>
      <c r="P310" s="10">
        <f>[18]생산!AY307</f>
        <v>0</v>
      </c>
      <c r="Q310" s="10">
        <f>[19]생산!BE307</f>
        <v>0</v>
      </c>
      <c r="R310" s="10">
        <f>[18]생산!BA307</f>
        <v>0</v>
      </c>
      <c r="S310" s="9">
        <f>[18]운전시간외!C307</f>
        <v>0</v>
      </c>
      <c r="T310" s="9">
        <f>[18]운전시간외!D307</f>
        <v>0</v>
      </c>
      <c r="U310" s="9">
        <f>[18]운전시간외!E307</f>
        <v>0</v>
      </c>
      <c r="V310" s="9">
        <f>[18]운전시간외!F307</f>
        <v>0</v>
      </c>
      <c r="W310" s="11">
        <f>[18]생산!E307</f>
        <v>0</v>
      </c>
      <c r="X310" s="11">
        <f>[18]생산!F307</f>
        <v>0</v>
      </c>
      <c r="Y310" s="11">
        <f>[18]생산!G307</f>
        <v>0</v>
      </c>
      <c r="Z310" s="11">
        <f>[18]생산!H307</f>
        <v>0</v>
      </c>
      <c r="AA310" s="11">
        <f>[18]생산!I307</f>
        <v>0</v>
      </c>
      <c r="AB310" s="11">
        <f>[18]생산!J307</f>
        <v>0</v>
      </c>
      <c r="AC310" s="48">
        <f>ROUNDDOWN('[20]2025년'!G306/1000,1)</f>
        <v>0</v>
      </c>
    </row>
    <row r="311" spans="1:29">
      <c r="A311" s="6">
        <f t="shared" si="4"/>
        <v>45963</v>
      </c>
      <c r="B311" s="9">
        <f>'[18]key-in(LO)'!Z309</f>
        <v>270.8</v>
      </c>
      <c r="C311" s="9">
        <f>'[18]key-in(LO)'!AA309</f>
        <v>244529</v>
      </c>
      <c r="D311" s="9">
        <f>'[18]key-in(LO)'!AB309</f>
        <v>237442</v>
      </c>
      <c r="E311" s="9">
        <f>'[18]key-in(LO)'!AC309</f>
        <v>16715.55</v>
      </c>
      <c r="F311" s="9">
        <f>'[18]key-in(LO)'!AD309</f>
        <v>13501.05</v>
      </c>
      <c r="G311" s="9">
        <f>'[18]key-in(LO)'!AE309</f>
        <v>3975.6</v>
      </c>
      <c r="H311" s="9">
        <f>'[18]key-in(LO)'!AF309</f>
        <v>26174</v>
      </c>
      <c r="I311" s="9">
        <f>'[18]key-in(LO)'!AG309</f>
        <v>5680</v>
      </c>
      <c r="J311" s="10">
        <f>'[18]key-in(DCO)'!AN309</f>
        <v>33.729999999999997</v>
      </c>
      <c r="K311" s="10">
        <f>'[18]key-in(DCO)'!AO309</f>
        <v>33.130000000000003</v>
      </c>
      <c r="L311" s="9">
        <f>'[18]key-in(DCO)'!AR309</f>
        <v>8842</v>
      </c>
      <c r="M311" s="10">
        <f>[18]생산!AV308</f>
        <v>0</v>
      </c>
      <c r="N311" s="10">
        <f>[18]생산!AW308</f>
        <v>0</v>
      </c>
      <c r="O311" s="10">
        <f>[18]생산!AX308</f>
        <v>0</v>
      </c>
      <c r="P311" s="10">
        <f>[18]생산!AY308</f>
        <v>0</v>
      </c>
      <c r="Q311" s="10">
        <f>[19]생산!BE308</f>
        <v>0</v>
      </c>
      <c r="R311" s="10">
        <f>[18]생산!BA308</f>
        <v>0</v>
      </c>
      <c r="S311" s="9">
        <f>[18]운전시간외!C308</f>
        <v>0</v>
      </c>
      <c r="T311" s="9">
        <f>[18]운전시간외!D308</f>
        <v>0</v>
      </c>
      <c r="U311" s="9">
        <f>[18]운전시간외!E308</f>
        <v>0</v>
      </c>
      <c r="V311" s="9">
        <f>[18]운전시간외!F308</f>
        <v>0</v>
      </c>
      <c r="W311" s="11">
        <f>[18]생산!E308</f>
        <v>0</v>
      </c>
      <c r="X311" s="11">
        <f>[18]생산!F308</f>
        <v>0</v>
      </c>
      <c r="Y311" s="11">
        <f>[18]생산!G308</f>
        <v>0</v>
      </c>
      <c r="Z311" s="11">
        <f>[18]생산!H308</f>
        <v>0</v>
      </c>
      <c r="AA311" s="11">
        <f>[18]생산!I308</f>
        <v>0</v>
      </c>
      <c r="AB311" s="11">
        <f>[18]생산!J308</f>
        <v>0</v>
      </c>
      <c r="AC311" s="48">
        <f>ROUNDDOWN('[20]2025년'!G307/1000,1)</f>
        <v>0</v>
      </c>
    </row>
    <row r="312" spans="1:29">
      <c r="A312" s="6">
        <f t="shared" si="4"/>
        <v>45964</v>
      </c>
      <c r="B312" s="9">
        <f>'[18]key-in(LO)'!Z310</f>
        <v>270.8</v>
      </c>
      <c r="C312" s="9">
        <f>'[18]key-in(LO)'!AA310</f>
        <v>244529</v>
      </c>
      <c r="D312" s="9">
        <f>'[18]key-in(LO)'!AB310</f>
        <v>237485</v>
      </c>
      <c r="E312" s="9">
        <f>'[18]key-in(LO)'!AC310</f>
        <v>16719.8</v>
      </c>
      <c r="F312" s="9">
        <f>'[18]key-in(LO)'!AD310</f>
        <v>13501.05</v>
      </c>
      <c r="G312" s="9">
        <f>'[18]key-in(LO)'!AE310</f>
        <v>3976.6</v>
      </c>
      <c r="H312" s="9">
        <f>'[18]key-in(LO)'!AF310</f>
        <v>26343</v>
      </c>
      <c r="I312" s="9">
        <f>'[18]key-in(LO)'!AG310</f>
        <v>5750</v>
      </c>
      <c r="J312" s="10">
        <f>'[18]key-in(DCO)'!AN310</f>
        <v>33.51</v>
      </c>
      <c r="K312" s="10">
        <f>'[18]key-in(DCO)'!AO310</f>
        <v>33.130000000000003</v>
      </c>
      <c r="L312" s="9">
        <f>'[18]key-in(DCO)'!AR310</f>
        <v>8558</v>
      </c>
      <c r="M312" s="10">
        <f>[18]생산!AV309</f>
        <v>0</v>
      </c>
      <c r="N312" s="10">
        <f>[18]생산!AW309</f>
        <v>0</v>
      </c>
      <c r="O312" s="10">
        <f>[18]생산!AX309</f>
        <v>0</v>
      </c>
      <c r="P312" s="10">
        <f>[18]생산!AY309</f>
        <v>0</v>
      </c>
      <c r="Q312" s="10">
        <f>[19]생산!BE309</f>
        <v>0</v>
      </c>
      <c r="R312" s="10">
        <f>[18]생산!BA309</f>
        <v>0</v>
      </c>
      <c r="S312" s="9">
        <f>[18]운전시간외!C309</f>
        <v>0</v>
      </c>
      <c r="T312" s="9">
        <f>[18]운전시간외!D309</f>
        <v>0</v>
      </c>
      <c r="U312" s="9">
        <f>[18]운전시간외!E309</f>
        <v>0</v>
      </c>
      <c r="V312" s="9">
        <f>[18]운전시간외!F309</f>
        <v>0</v>
      </c>
      <c r="W312" s="11">
        <f>[18]생산!E309</f>
        <v>0</v>
      </c>
      <c r="X312" s="11">
        <f>[18]생산!F309</f>
        <v>0</v>
      </c>
      <c r="Y312" s="11">
        <f>[18]생산!G309</f>
        <v>0</v>
      </c>
      <c r="Z312" s="11">
        <f>[18]생산!H309</f>
        <v>0</v>
      </c>
      <c r="AA312" s="11">
        <f>[18]생산!I309</f>
        <v>0</v>
      </c>
      <c r="AB312" s="11">
        <f>[18]생산!J309</f>
        <v>0</v>
      </c>
      <c r="AC312" s="48">
        <f>ROUNDDOWN('[20]2025년'!G308/1000,1)</f>
        <v>0</v>
      </c>
    </row>
    <row r="313" spans="1:29">
      <c r="A313" s="6">
        <f t="shared" si="4"/>
        <v>45965</v>
      </c>
      <c r="B313" s="9">
        <f>'[18]key-in(LO)'!Z311</f>
        <v>270.8</v>
      </c>
      <c r="C313" s="9">
        <f>'[18]key-in(LO)'!AA311</f>
        <v>244600</v>
      </c>
      <c r="D313" s="9">
        <f>'[18]key-in(LO)'!AB311</f>
        <v>237501</v>
      </c>
      <c r="E313" s="9">
        <f>'[18]key-in(LO)'!AC311</f>
        <v>16723.39</v>
      </c>
      <c r="F313" s="9">
        <f>'[18]key-in(LO)'!AD311</f>
        <v>13505.72</v>
      </c>
      <c r="G313" s="9">
        <f>'[18]key-in(LO)'!AE311</f>
        <v>3977.4</v>
      </c>
      <c r="H313" s="9">
        <f>'[18]key-in(LO)'!AF311</f>
        <v>26405</v>
      </c>
      <c r="I313" s="9">
        <f>'[18]key-in(LO)'!AG311</f>
        <v>5911</v>
      </c>
      <c r="J313" s="10">
        <f>'[18]key-in(DCO)'!AN311</f>
        <v>33.43</v>
      </c>
      <c r="K313" s="10">
        <f>'[18]key-in(DCO)'!AO311</f>
        <v>33.130000000000003</v>
      </c>
      <c r="L313" s="9">
        <f>'[18]key-in(DCO)'!AR311</f>
        <v>8666</v>
      </c>
      <c r="M313" s="10">
        <f>[18]생산!AV310</f>
        <v>18151</v>
      </c>
      <c r="N313" s="10">
        <f>[18]생산!AW310</f>
        <v>0</v>
      </c>
      <c r="O313" s="10">
        <f>[18]생산!AX310</f>
        <v>0</v>
      </c>
      <c r="P313" s="10">
        <f>[18]생산!AY310</f>
        <v>0</v>
      </c>
      <c r="Q313" s="10">
        <f>[19]생산!BE310</f>
        <v>0</v>
      </c>
      <c r="R313" s="10">
        <f>[18]생산!BA310</f>
        <v>0</v>
      </c>
      <c r="S313" s="9">
        <f>[18]운전시간외!C310</f>
        <v>10</v>
      </c>
      <c r="T313" s="9">
        <f>[18]운전시간외!D310</f>
        <v>0</v>
      </c>
      <c r="U313" s="9">
        <f>[18]운전시간외!E310</f>
        <v>0</v>
      </c>
      <c r="V313" s="9">
        <f>[18]운전시간외!F310</f>
        <v>0</v>
      </c>
      <c r="W313" s="11">
        <f>[18]생산!E310</f>
        <v>95</v>
      </c>
      <c r="X313" s="11">
        <f>[18]생산!F310</f>
        <v>0</v>
      </c>
      <c r="Y313" s="11">
        <f>[18]생산!G310</f>
        <v>0</v>
      </c>
      <c r="Z313" s="11">
        <f>[18]생산!H310</f>
        <v>0</v>
      </c>
      <c r="AA313" s="11">
        <f>[18]생산!I310</f>
        <v>0</v>
      </c>
      <c r="AB313" s="11">
        <f>[18]생산!J310</f>
        <v>95</v>
      </c>
      <c r="AC313" s="48">
        <f>ROUNDDOWN('[20]2025년'!G309/1000,1)</f>
        <v>8.8000000000000007</v>
      </c>
    </row>
    <row r="314" spans="1:29">
      <c r="A314" s="6">
        <f t="shared" si="4"/>
        <v>45966</v>
      </c>
      <c r="B314" s="9">
        <f>'[18]key-in(LO)'!Z312</f>
        <v>270.8</v>
      </c>
      <c r="C314" s="9">
        <f>'[18]key-in(LO)'!AA312</f>
        <v>244600</v>
      </c>
      <c r="D314" s="9">
        <f>'[18]key-in(LO)'!AB312</f>
        <v>237598</v>
      </c>
      <c r="E314" s="9">
        <f>'[18]key-in(LO)'!AC312</f>
        <v>16733.099999999999</v>
      </c>
      <c r="F314" s="9">
        <f>'[18]key-in(LO)'!AD312</f>
        <v>13505.81</v>
      </c>
      <c r="G314" s="9">
        <f>'[18]key-in(LO)'!AE312</f>
        <v>3978.5</v>
      </c>
      <c r="H314" s="9">
        <f>'[18]key-in(LO)'!AF312</f>
        <v>26486</v>
      </c>
      <c r="I314" s="9">
        <f>'[18]key-in(LO)'!AG312</f>
        <v>6059</v>
      </c>
      <c r="J314" s="10">
        <f>'[18]key-in(DCO)'!AN312</f>
        <v>33.54</v>
      </c>
      <c r="K314" s="10">
        <f>'[18]key-in(DCO)'!AO312</f>
        <v>33.15</v>
      </c>
      <c r="L314" s="9">
        <f>'[18]key-in(DCO)'!AR312</f>
        <v>8656</v>
      </c>
      <c r="M314" s="10">
        <f>[18]생산!AV311</f>
        <v>0</v>
      </c>
      <c r="N314" s="10">
        <f>[18]생산!AW311</f>
        <v>0</v>
      </c>
      <c r="O314" s="10">
        <f>[18]생산!AX311</f>
        <v>0</v>
      </c>
      <c r="P314" s="10">
        <f>[18]생산!AY311</f>
        <v>0</v>
      </c>
      <c r="Q314" s="10">
        <f>[19]생산!BE311</f>
        <v>0</v>
      </c>
      <c r="R314" s="10">
        <f>[18]생산!BA311</f>
        <v>0</v>
      </c>
      <c r="S314" s="9">
        <f>[18]운전시간외!C311</f>
        <v>0</v>
      </c>
      <c r="T314" s="9">
        <f>[18]운전시간외!D311</f>
        <v>0</v>
      </c>
      <c r="U314" s="9">
        <f>[18]운전시간외!E311</f>
        <v>0</v>
      </c>
      <c r="V314" s="9">
        <f>[18]운전시간외!F311</f>
        <v>0</v>
      </c>
      <c r="W314" s="11">
        <f>[18]생산!E311</f>
        <v>0</v>
      </c>
      <c r="X314" s="11">
        <f>[18]생산!F311</f>
        <v>0</v>
      </c>
      <c r="Y314" s="11">
        <f>[18]생산!G311</f>
        <v>0</v>
      </c>
      <c r="Z314" s="11">
        <f>[18]생산!H311</f>
        <v>0</v>
      </c>
      <c r="AA314" s="11">
        <f>[18]생산!I311</f>
        <v>0</v>
      </c>
      <c r="AB314" s="11">
        <f>[18]생산!J311</f>
        <v>0</v>
      </c>
      <c r="AC314" s="48">
        <f>ROUNDDOWN('[20]2025년'!G310/1000,1)</f>
        <v>0</v>
      </c>
    </row>
    <row r="315" spans="1:29">
      <c r="A315" s="6">
        <f t="shared" si="4"/>
        <v>45967</v>
      </c>
      <c r="B315" s="9">
        <f>'[18]key-in(LO)'!Z313</f>
        <v>288.8</v>
      </c>
      <c r="C315" s="9">
        <f>'[18]key-in(LO)'!AA313</f>
        <v>244698</v>
      </c>
      <c r="D315" s="9">
        <f>'[18]key-in(LO)'!AB313</f>
        <v>237622</v>
      </c>
      <c r="E315" s="9">
        <f>'[18]key-in(LO)'!AC313</f>
        <v>16737.099999999999</v>
      </c>
      <c r="F315" s="9">
        <f>'[18]key-in(LO)'!AD313</f>
        <v>13505.81</v>
      </c>
      <c r="G315" s="9">
        <f>'[18]key-in(LO)'!AE313</f>
        <v>3979.8</v>
      </c>
      <c r="H315" s="9">
        <f>'[18]key-in(LO)'!AF313</f>
        <v>26700</v>
      </c>
      <c r="I315" s="9">
        <f>'[18]key-in(LO)'!AG313</f>
        <v>6218</v>
      </c>
      <c r="J315" s="10">
        <f>'[18]key-in(DCO)'!AN313</f>
        <v>33.74</v>
      </c>
      <c r="K315" s="10">
        <f>'[18]key-in(DCO)'!AO313</f>
        <v>33.19</v>
      </c>
      <c r="L315" s="9">
        <f>'[18]key-in(DCO)'!AR313</f>
        <v>8631</v>
      </c>
      <c r="M315" s="10">
        <f>[18]생산!AV312</f>
        <v>0</v>
      </c>
      <c r="N315" s="10">
        <f>[18]생산!AW312</f>
        <v>0</v>
      </c>
      <c r="O315" s="10">
        <f>[18]생산!AX312</f>
        <v>0</v>
      </c>
      <c r="P315" s="10">
        <f>[18]생산!AY312</f>
        <v>0</v>
      </c>
      <c r="Q315" s="10">
        <f>[19]생산!BE312</f>
        <v>0</v>
      </c>
      <c r="R315" s="10">
        <f>[18]생산!BA312</f>
        <v>0</v>
      </c>
      <c r="S315" s="9">
        <f>[18]운전시간외!C312</f>
        <v>0</v>
      </c>
      <c r="T315" s="9">
        <f>[18]운전시간외!D312</f>
        <v>0</v>
      </c>
      <c r="U315" s="9">
        <f>[18]운전시간외!E312</f>
        <v>0</v>
      </c>
      <c r="V315" s="9">
        <f>[18]운전시간외!F312</f>
        <v>0</v>
      </c>
      <c r="W315" s="11">
        <f>[18]생산!E312</f>
        <v>0</v>
      </c>
      <c r="X315" s="11">
        <f>[18]생산!F312</f>
        <v>0</v>
      </c>
      <c r="Y315" s="11">
        <f>[18]생산!G312</f>
        <v>0</v>
      </c>
      <c r="Z315" s="11">
        <f>[18]생산!H312</f>
        <v>0</v>
      </c>
      <c r="AA315" s="11">
        <f>[18]생산!I312</f>
        <v>0</v>
      </c>
      <c r="AB315" s="11">
        <f>[18]생산!J312</f>
        <v>0</v>
      </c>
      <c r="AC315" s="48">
        <f>ROUNDDOWN('[20]2025년'!G311/1000,1)</f>
        <v>0</v>
      </c>
    </row>
    <row r="316" spans="1:29">
      <c r="A316" s="6">
        <f t="shared" si="4"/>
        <v>45968</v>
      </c>
      <c r="B316" s="9">
        <f>'[18]key-in(LO)'!Z314</f>
        <v>372.9</v>
      </c>
      <c r="C316" s="9">
        <f>'[18]key-in(LO)'!AA314</f>
        <v>244738</v>
      </c>
      <c r="D316" s="9">
        <f>'[18]key-in(LO)'!AB314</f>
        <v>237755</v>
      </c>
      <c r="E316" s="9">
        <f>'[18]key-in(LO)'!AC314</f>
        <v>16741.21</v>
      </c>
      <c r="F316" s="9">
        <f>'[18]key-in(LO)'!AD314</f>
        <v>13506.41</v>
      </c>
      <c r="G316" s="9">
        <f>'[18]key-in(LO)'!AE314</f>
        <v>3980.9</v>
      </c>
      <c r="H316" s="9">
        <f>'[18]key-in(LO)'!AF314</f>
        <v>26866</v>
      </c>
      <c r="I316" s="9">
        <f>'[18]key-in(LO)'!AG314</f>
        <v>6431</v>
      </c>
      <c r="J316" s="10">
        <f>'[18]key-in(DCO)'!AN314</f>
        <v>34.11</v>
      </c>
      <c r="K316" s="10">
        <f>'[18]key-in(DCO)'!AO314</f>
        <v>33.340000000000003</v>
      </c>
      <c r="L316" s="9">
        <f>'[18]key-in(DCO)'!AR314</f>
        <v>8678</v>
      </c>
      <c r="M316" s="10">
        <f>[18]생산!AV313</f>
        <v>0</v>
      </c>
      <c r="N316" s="10">
        <f>[18]생산!AW313</f>
        <v>0</v>
      </c>
      <c r="O316" s="10">
        <f>[18]생산!AX313</f>
        <v>0</v>
      </c>
      <c r="P316" s="10">
        <f>[18]생산!AY313</f>
        <v>0</v>
      </c>
      <c r="Q316" s="10">
        <f>[19]생산!BE313</f>
        <v>0</v>
      </c>
      <c r="R316" s="10">
        <f>[18]생산!BA313</f>
        <v>0</v>
      </c>
      <c r="S316" s="9">
        <f>[18]운전시간외!C313</f>
        <v>0</v>
      </c>
      <c r="T316" s="9">
        <f>[18]운전시간외!D313</f>
        <v>0</v>
      </c>
      <c r="U316" s="9">
        <f>[18]운전시간외!E313</f>
        <v>0</v>
      </c>
      <c r="V316" s="9">
        <f>[18]운전시간외!F313</f>
        <v>0</v>
      </c>
      <c r="W316" s="11">
        <f>[18]생산!E313</f>
        <v>0</v>
      </c>
      <c r="X316" s="11">
        <f>[18]생산!F313</f>
        <v>0</v>
      </c>
      <c r="Y316" s="11">
        <f>[18]생산!G313</f>
        <v>0</v>
      </c>
      <c r="Z316" s="11">
        <f>[18]생산!H313</f>
        <v>0</v>
      </c>
      <c r="AA316" s="11">
        <f>[18]생산!I313</f>
        <v>0</v>
      </c>
      <c r="AB316" s="11">
        <f>[18]생산!J313</f>
        <v>0</v>
      </c>
      <c r="AC316" s="48">
        <f>ROUNDDOWN('[20]2025년'!G312/1000,1)</f>
        <v>0</v>
      </c>
    </row>
    <row r="317" spans="1:29">
      <c r="A317" s="6">
        <f t="shared" si="4"/>
        <v>45969</v>
      </c>
      <c r="B317" s="9">
        <f>'[18]key-in(LO)'!Z315</f>
        <v>372.9</v>
      </c>
      <c r="C317" s="9">
        <f>'[18]key-in(LO)'!AA315</f>
        <v>244805</v>
      </c>
      <c r="D317" s="9">
        <f>'[18]key-in(LO)'!AB315</f>
        <v>237765</v>
      </c>
      <c r="E317" s="9">
        <f>'[18]key-in(LO)'!AC315</f>
        <v>16742.86</v>
      </c>
      <c r="F317" s="9">
        <f>'[18]key-in(LO)'!AD315</f>
        <v>13511.27</v>
      </c>
      <c r="G317" s="9">
        <f>'[18]key-in(LO)'!AE315</f>
        <v>3981.6</v>
      </c>
      <c r="H317" s="9">
        <f>'[18]key-in(LO)'!AF315</f>
        <v>26924</v>
      </c>
      <c r="I317" s="9">
        <f>'[18]key-in(LO)'!AG315</f>
        <v>6579</v>
      </c>
      <c r="J317" s="10">
        <f>'[18]key-in(DCO)'!AN315</f>
        <v>34.07</v>
      </c>
      <c r="K317" s="10">
        <f>'[18]key-in(DCO)'!AO315</f>
        <v>33.299999999999997</v>
      </c>
      <c r="L317" s="9">
        <f>'[18]key-in(DCO)'!AR315</f>
        <v>8662</v>
      </c>
      <c r="M317" s="10">
        <f>[18]생산!AV314</f>
        <v>0</v>
      </c>
      <c r="N317" s="10">
        <f>[18]생산!AW314</f>
        <v>0</v>
      </c>
      <c r="O317" s="10">
        <f>[18]생산!AX314</f>
        <v>0</v>
      </c>
      <c r="P317" s="10">
        <f>[18]생산!AY314</f>
        <v>0</v>
      </c>
      <c r="Q317" s="10">
        <f>[19]생산!BE314</f>
        <v>0</v>
      </c>
      <c r="R317" s="10">
        <f>[18]생산!BA314</f>
        <v>0</v>
      </c>
      <c r="S317" s="9">
        <f>[18]운전시간외!C314</f>
        <v>0</v>
      </c>
      <c r="T317" s="9">
        <f>[18]운전시간외!D314</f>
        <v>0</v>
      </c>
      <c r="U317" s="9">
        <f>[18]운전시간외!E314</f>
        <v>0</v>
      </c>
      <c r="V317" s="9">
        <f>[18]운전시간외!F314</f>
        <v>0</v>
      </c>
      <c r="W317" s="11">
        <f>[18]생산!E314</f>
        <v>0</v>
      </c>
      <c r="X317" s="11">
        <f>[18]생산!F314</f>
        <v>0</v>
      </c>
      <c r="Y317" s="11">
        <f>[18]생산!G314</f>
        <v>0</v>
      </c>
      <c r="Z317" s="11">
        <f>[18]생산!H314</f>
        <v>0</v>
      </c>
      <c r="AA317" s="11">
        <f>[18]생산!I314</f>
        <v>0</v>
      </c>
      <c r="AB317" s="11">
        <f>[18]생산!J314</f>
        <v>0</v>
      </c>
      <c r="AC317" s="48">
        <f>ROUNDDOWN('[20]2025년'!G313/1000,1)</f>
        <v>0</v>
      </c>
    </row>
    <row r="318" spans="1:29">
      <c r="A318" s="6">
        <f t="shared" si="4"/>
        <v>45970</v>
      </c>
      <c r="B318" s="9">
        <f>'[18]key-in(LO)'!Z316</f>
        <v>372.9</v>
      </c>
      <c r="C318" s="9">
        <f>'[18]key-in(LO)'!AA316</f>
        <v>244870</v>
      </c>
      <c r="D318" s="9">
        <f>'[18]key-in(LO)'!AB316</f>
        <v>237765</v>
      </c>
      <c r="E318" s="9">
        <f>'[18]key-in(LO)'!AC316</f>
        <v>16744.490000000002</v>
      </c>
      <c r="F318" s="9">
        <f>'[18]key-in(LO)'!AD316</f>
        <v>13511.27</v>
      </c>
      <c r="G318" s="9">
        <f>'[18]key-in(LO)'!AE316</f>
        <v>3982.4</v>
      </c>
      <c r="H318" s="9">
        <f>'[18]key-in(LO)'!AF316</f>
        <v>26991</v>
      </c>
      <c r="I318" s="9">
        <f>'[18]key-in(LO)'!AG316</f>
        <v>6645</v>
      </c>
      <c r="J318" s="10">
        <f>'[18]key-in(DCO)'!AN316</f>
        <v>33.979999999999997</v>
      </c>
      <c r="K318" s="10">
        <f>'[18]key-in(DCO)'!AO316</f>
        <v>33.270000000000003</v>
      </c>
      <c r="L318" s="9">
        <f>'[18]key-in(DCO)'!AR316</f>
        <v>8662</v>
      </c>
      <c r="M318" s="10">
        <f>[18]생산!AV315</f>
        <v>0</v>
      </c>
      <c r="N318" s="10">
        <f>[18]생산!AW315</f>
        <v>0</v>
      </c>
      <c r="O318" s="10">
        <f>[18]생산!AX315</f>
        <v>0</v>
      </c>
      <c r="P318" s="10">
        <f>[18]생산!AY315</f>
        <v>0</v>
      </c>
      <c r="Q318" s="10">
        <f>[19]생산!BE315</f>
        <v>0</v>
      </c>
      <c r="R318" s="10">
        <f>[18]생산!BA315</f>
        <v>0</v>
      </c>
      <c r="S318" s="9">
        <f>[18]운전시간외!C315</f>
        <v>0</v>
      </c>
      <c r="T318" s="9">
        <f>[18]운전시간외!D315</f>
        <v>0</v>
      </c>
      <c r="U318" s="9">
        <f>[18]운전시간외!E315</f>
        <v>0</v>
      </c>
      <c r="V318" s="9">
        <f>[18]운전시간외!F315</f>
        <v>0</v>
      </c>
      <c r="W318" s="11">
        <f>[18]생산!E315</f>
        <v>0</v>
      </c>
      <c r="X318" s="11">
        <f>[18]생산!F315</f>
        <v>0</v>
      </c>
      <c r="Y318" s="11">
        <f>[18]생산!G315</f>
        <v>0</v>
      </c>
      <c r="Z318" s="11">
        <f>[18]생산!H315</f>
        <v>0</v>
      </c>
      <c r="AA318" s="11">
        <f>[18]생산!I315</f>
        <v>0</v>
      </c>
      <c r="AB318" s="11">
        <f>[18]생산!J315</f>
        <v>0</v>
      </c>
      <c r="AC318" s="48">
        <f>ROUNDDOWN('[20]2025년'!G314/1000,1)</f>
        <v>0</v>
      </c>
    </row>
    <row r="319" spans="1:29">
      <c r="A319" s="6">
        <f t="shared" si="4"/>
        <v>45971</v>
      </c>
      <c r="B319" s="9">
        <f>'[18]key-in(LO)'!Z317</f>
        <v>372.9</v>
      </c>
      <c r="C319" s="9">
        <f>'[18]key-in(LO)'!AA317</f>
        <v>244907</v>
      </c>
      <c r="D319" s="9">
        <f>'[18]key-in(LO)'!AB317</f>
        <v>237837</v>
      </c>
      <c r="E319" s="9">
        <f>'[18]key-in(LO)'!AC317</f>
        <v>16751.3</v>
      </c>
      <c r="F319" s="9">
        <f>'[18]key-in(LO)'!AD317</f>
        <v>13512.85</v>
      </c>
      <c r="G319" s="9">
        <f>'[18]key-in(LO)'!AE317</f>
        <v>3983.3</v>
      </c>
      <c r="H319" s="9">
        <f>'[18]key-in(LO)'!AF317</f>
        <v>27110</v>
      </c>
      <c r="I319" s="9">
        <f>'[18]key-in(LO)'!AG317</f>
        <v>6810</v>
      </c>
      <c r="J319" s="10">
        <f>'[18]key-in(DCO)'!AN317</f>
        <v>33.78</v>
      </c>
      <c r="K319" s="10">
        <f>'[18]key-in(DCO)'!AO317</f>
        <v>33.25</v>
      </c>
      <c r="L319" s="9">
        <f>'[18]key-in(DCO)'!AR317</f>
        <v>8598</v>
      </c>
      <c r="M319" s="10">
        <f>[18]생산!AV316</f>
        <v>31.119999997317791</v>
      </c>
      <c r="N319" s="10">
        <f>[18]생산!AW316</f>
        <v>0</v>
      </c>
      <c r="O319" s="10">
        <f>[18]생산!AX316</f>
        <v>0</v>
      </c>
      <c r="P319" s="10">
        <f>[18]생산!AY316</f>
        <v>0</v>
      </c>
      <c r="Q319" s="10">
        <f>[19]생산!BE316</f>
        <v>0</v>
      </c>
      <c r="R319" s="10">
        <f>[18]생산!BA316</f>
        <v>0</v>
      </c>
      <c r="S319" s="9">
        <f>[18]운전시간외!C316</f>
        <v>0</v>
      </c>
      <c r="T319" s="9">
        <f>[18]운전시간외!D316</f>
        <v>0</v>
      </c>
      <c r="U319" s="9">
        <f>[18]운전시간외!E316</f>
        <v>0</v>
      </c>
      <c r="V319" s="9">
        <f>[18]운전시간외!F316</f>
        <v>0</v>
      </c>
      <c r="W319" s="11">
        <f>[18]생산!E316</f>
        <v>0</v>
      </c>
      <c r="X319" s="11">
        <f>[18]생산!F316</f>
        <v>0</v>
      </c>
      <c r="Y319" s="11">
        <f>[18]생산!G316</f>
        <v>0</v>
      </c>
      <c r="Z319" s="11">
        <f>[18]생산!H316</f>
        <v>0</v>
      </c>
      <c r="AA319" s="11">
        <f>[18]생산!I316</f>
        <v>0</v>
      </c>
      <c r="AB319" s="11">
        <f>[18]생산!J316</f>
        <v>0</v>
      </c>
      <c r="AC319" s="48">
        <f>ROUNDDOWN('[20]2025년'!G315/1000,1)</f>
        <v>0</v>
      </c>
    </row>
    <row r="320" spans="1:29">
      <c r="A320" s="6">
        <f t="shared" si="4"/>
        <v>45972</v>
      </c>
      <c r="B320" s="9">
        <f>'[18]key-in(LO)'!Z318</f>
        <v>372.9</v>
      </c>
      <c r="C320" s="9">
        <f>'[18]key-in(LO)'!AA318</f>
        <v>244947</v>
      </c>
      <c r="D320" s="9">
        <f>'[18]key-in(LO)'!AB318</f>
        <v>237859</v>
      </c>
      <c r="E320" s="9">
        <f>'[18]key-in(LO)'!AC318</f>
        <v>16755.62</v>
      </c>
      <c r="F320" s="9">
        <f>'[18]key-in(LO)'!AD318</f>
        <v>13512.85</v>
      </c>
      <c r="G320" s="9">
        <f>'[18]key-in(LO)'!AE318</f>
        <v>3984.2</v>
      </c>
      <c r="H320" s="9">
        <f>'[18]key-in(LO)'!AF318</f>
        <v>27203</v>
      </c>
      <c r="I320" s="9">
        <f>'[18]key-in(LO)'!AG318</f>
        <v>6906</v>
      </c>
      <c r="J320" s="10">
        <f>'[18]key-in(DCO)'!AN318</f>
        <v>33.83</v>
      </c>
      <c r="K320" s="10">
        <f>'[18]key-in(DCO)'!AO318</f>
        <v>33.270000000000003</v>
      </c>
      <c r="L320" s="9">
        <f>'[18]key-in(DCO)'!AR318</f>
        <v>8667</v>
      </c>
      <c r="M320" s="10">
        <f>[18]생산!AV317</f>
        <v>0</v>
      </c>
      <c r="N320" s="10">
        <f>[18]생산!AW317</f>
        <v>0</v>
      </c>
      <c r="O320" s="10">
        <f>[18]생산!AX317</f>
        <v>0</v>
      </c>
      <c r="P320" s="10">
        <f>[18]생산!AY317</f>
        <v>0</v>
      </c>
      <c r="Q320" s="10">
        <f>[19]생산!BE317</f>
        <v>0</v>
      </c>
      <c r="R320" s="10">
        <f>[18]생산!BA317</f>
        <v>0</v>
      </c>
      <c r="S320" s="9">
        <f>[18]운전시간외!C317</f>
        <v>0</v>
      </c>
      <c r="T320" s="9">
        <f>[18]운전시간외!D317</f>
        <v>0</v>
      </c>
      <c r="U320" s="9">
        <f>[18]운전시간외!E317</f>
        <v>0</v>
      </c>
      <c r="V320" s="9">
        <f>[18]운전시간외!F317</f>
        <v>0</v>
      </c>
      <c r="W320" s="11">
        <f>[18]생산!E317</f>
        <v>0</v>
      </c>
      <c r="X320" s="11">
        <f>[18]생산!F317</f>
        <v>0</v>
      </c>
      <c r="Y320" s="11">
        <f>[18]생산!G317</f>
        <v>0</v>
      </c>
      <c r="Z320" s="11">
        <f>[18]생산!H317</f>
        <v>0</v>
      </c>
      <c r="AA320" s="11">
        <f>[18]생산!I317</f>
        <v>0</v>
      </c>
      <c r="AB320" s="11">
        <f>[18]생산!J317</f>
        <v>0</v>
      </c>
      <c r="AC320" s="48">
        <f>ROUNDDOWN('[20]2025년'!G316/1000,1)</f>
        <v>0</v>
      </c>
    </row>
    <row r="321" spans="1:29">
      <c r="A321" s="6">
        <f t="shared" si="4"/>
        <v>45973</v>
      </c>
      <c r="B321" s="9">
        <f>'[18]key-in(LO)'!Z319</f>
        <v>372.9</v>
      </c>
      <c r="C321" s="9">
        <f>'[18]key-in(LO)'!AA319</f>
        <v>245003</v>
      </c>
      <c r="D321" s="9">
        <f>'[18]key-in(LO)'!AB319</f>
        <v>237859</v>
      </c>
      <c r="E321" s="9">
        <f>'[18]key-in(LO)'!AC319</f>
        <v>16759.78</v>
      </c>
      <c r="F321" s="9">
        <f>'[18]key-in(LO)'!AD319</f>
        <v>13512.86</v>
      </c>
      <c r="G321" s="9">
        <f>'[18]key-in(LO)'!AE319</f>
        <v>3985.4</v>
      </c>
      <c r="H321" s="9">
        <f>'[18]key-in(LO)'!AF319</f>
        <v>27286</v>
      </c>
      <c r="I321" s="9">
        <f>'[18]key-in(LO)'!AG319</f>
        <v>7031</v>
      </c>
      <c r="J321" s="10">
        <f>'[18]key-in(DCO)'!AN319</f>
        <v>34.03</v>
      </c>
      <c r="K321" s="10">
        <f>'[18]key-in(DCO)'!AO319</f>
        <v>33.229999999999997</v>
      </c>
      <c r="L321" s="9">
        <f>'[18]key-in(DCO)'!AR319</f>
        <v>8603</v>
      </c>
      <c r="M321" s="10">
        <f>[18]생산!AV318</f>
        <v>0</v>
      </c>
      <c r="N321" s="10">
        <f>[18]생산!AW318</f>
        <v>0</v>
      </c>
      <c r="O321" s="10">
        <f>[18]생산!AX318</f>
        <v>0</v>
      </c>
      <c r="P321" s="10">
        <f>[18]생산!AY318</f>
        <v>0</v>
      </c>
      <c r="Q321" s="10">
        <f>[19]생산!BE318</f>
        <v>0</v>
      </c>
      <c r="R321" s="10">
        <f>[18]생산!BA318</f>
        <v>0</v>
      </c>
      <c r="S321" s="9">
        <f>[18]운전시간외!C318</f>
        <v>0</v>
      </c>
      <c r="T321" s="9">
        <f>[18]운전시간외!D318</f>
        <v>0</v>
      </c>
      <c r="U321" s="9">
        <f>[18]운전시간외!E318</f>
        <v>0</v>
      </c>
      <c r="V321" s="9">
        <f>[18]운전시간외!F318</f>
        <v>0</v>
      </c>
      <c r="W321" s="11">
        <f>[18]생산!E318</f>
        <v>0</v>
      </c>
      <c r="X321" s="11">
        <f>[18]생산!F318</f>
        <v>0</v>
      </c>
      <c r="Y321" s="11">
        <f>[18]생산!G318</f>
        <v>0</v>
      </c>
      <c r="Z321" s="11">
        <f>[18]생산!H318</f>
        <v>0</v>
      </c>
      <c r="AA321" s="11">
        <f>[18]생산!I318</f>
        <v>0</v>
      </c>
      <c r="AB321" s="11">
        <f>[18]생산!J318</f>
        <v>0</v>
      </c>
      <c r="AC321" s="48">
        <f>ROUNDDOWN('[20]2025년'!G317/1000,1)</f>
        <v>0</v>
      </c>
    </row>
    <row r="322" spans="1:29">
      <c r="A322" s="6">
        <f t="shared" si="4"/>
        <v>45974</v>
      </c>
      <c r="B322" s="9">
        <f>'[18]key-in(LO)'!Z320</f>
        <v>372.9</v>
      </c>
      <c r="C322" s="9">
        <f>'[18]key-in(LO)'!AA320</f>
        <v>245073</v>
      </c>
      <c r="D322" s="9">
        <f>'[18]key-in(LO)'!AB320</f>
        <v>237883</v>
      </c>
      <c r="E322" s="9">
        <f>'[18]key-in(LO)'!AC320</f>
        <v>16763.77</v>
      </c>
      <c r="F322" s="9">
        <f>'[18]key-in(LO)'!AD320</f>
        <v>13515.6</v>
      </c>
      <c r="G322" s="9">
        <f>'[18]key-in(LO)'!AE320</f>
        <v>3986.2</v>
      </c>
      <c r="H322" s="9">
        <f>'[18]key-in(LO)'!AF320</f>
        <v>27367</v>
      </c>
      <c r="I322" s="9">
        <f>'[18]key-in(LO)'!AG320</f>
        <v>7157</v>
      </c>
      <c r="J322" s="10">
        <f>'[18]key-in(DCO)'!AN320</f>
        <v>34.049999999999997</v>
      </c>
      <c r="K322" s="10">
        <f>'[18]key-in(DCO)'!AO320</f>
        <v>33.24</v>
      </c>
      <c r="L322" s="9">
        <f>'[18]key-in(DCO)'!AR320</f>
        <v>8633</v>
      </c>
      <c r="M322" s="10">
        <f>[18]생산!AV319</f>
        <v>0</v>
      </c>
      <c r="N322" s="10">
        <f>[18]생산!AW319</f>
        <v>0</v>
      </c>
      <c r="O322" s="10">
        <f>[18]생산!AX319</f>
        <v>0</v>
      </c>
      <c r="P322" s="10">
        <f>[18]생산!AY319</f>
        <v>0</v>
      </c>
      <c r="Q322" s="10">
        <f>[19]생산!BE319</f>
        <v>0</v>
      </c>
      <c r="R322" s="10">
        <f>[18]생산!BA319</f>
        <v>0</v>
      </c>
      <c r="S322" s="9">
        <f>[18]운전시간외!C319</f>
        <v>0</v>
      </c>
      <c r="T322" s="9">
        <f>[18]운전시간외!D319</f>
        <v>0</v>
      </c>
      <c r="U322" s="9">
        <f>[18]운전시간외!E319</f>
        <v>0</v>
      </c>
      <c r="V322" s="9">
        <f>[18]운전시간외!F319</f>
        <v>0</v>
      </c>
      <c r="W322" s="11">
        <f>[18]생산!E319</f>
        <v>0</v>
      </c>
      <c r="X322" s="11">
        <f>[18]생산!F319</f>
        <v>0</v>
      </c>
      <c r="Y322" s="11">
        <f>[18]생산!G319</f>
        <v>0</v>
      </c>
      <c r="Z322" s="11">
        <f>[18]생산!H319</f>
        <v>0</v>
      </c>
      <c r="AA322" s="11">
        <f>[18]생산!I319</f>
        <v>0</v>
      </c>
      <c r="AB322" s="11">
        <f>[18]생산!J319</f>
        <v>0</v>
      </c>
      <c r="AC322" s="48">
        <f>ROUNDDOWN('[20]2025년'!G318/1000,1)</f>
        <v>0</v>
      </c>
    </row>
    <row r="323" spans="1:29">
      <c r="A323" s="6">
        <f t="shared" si="4"/>
        <v>45975</v>
      </c>
      <c r="B323" s="9">
        <f>'[18]key-in(LO)'!Z321</f>
        <v>372.9</v>
      </c>
      <c r="C323" s="9">
        <f>'[18]key-in(LO)'!AA321</f>
        <v>245073</v>
      </c>
      <c r="D323" s="9">
        <f>'[18]key-in(LO)'!AB321</f>
        <v>237945</v>
      </c>
      <c r="E323" s="9">
        <f>'[18]key-in(LO)'!AC321</f>
        <v>16767.98</v>
      </c>
      <c r="F323" s="9">
        <f>'[18]key-in(LO)'!AD321</f>
        <v>13515.6</v>
      </c>
      <c r="G323" s="9">
        <f>'[18]key-in(LO)'!AE321</f>
        <v>3987.3</v>
      </c>
      <c r="H323" s="9">
        <f>'[18]key-in(LO)'!AF321</f>
        <v>27383</v>
      </c>
      <c r="I323" s="9">
        <f>'[18]key-in(LO)'!AG321</f>
        <v>7234</v>
      </c>
      <c r="J323" s="10">
        <f>'[18]key-in(DCO)'!AN321</f>
        <v>33.840000000000003</v>
      </c>
      <c r="K323" s="10">
        <f>'[18]key-in(DCO)'!AO321</f>
        <v>33.22</v>
      </c>
      <c r="L323" s="9">
        <f>'[18]key-in(DCO)'!AR321</f>
        <v>8624</v>
      </c>
      <c r="M323" s="10">
        <f>[18]생산!AV320</f>
        <v>0</v>
      </c>
      <c r="N323" s="10">
        <f>[18]생산!AW320</f>
        <v>0</v>
      </c>
      <c r="O323" s="10">
        <f>[18]생산!AX320</f>
        <v>0</v>
      </c>
      <c r="P323" s="10">
        <f>[18]생산!AY320</f>
        <v>0</v>
      </c>
      <c r="Q323" s="10">
        <f>[19]생산!BE320</f>
        <v>0</v>
      </c>
      <c r="R323" s="10">
        <f>[18]생산!BA320</f>
        <v>0</v>
      </c>
      <c r="S323" s="9">
        <f>[18]운전시간외!C320</f>
        <v>0</v>
      </c>
      <c r="T323" s="9">
        <f>[18]운전시간외!D320</f>
        <v>0</v>
      </c>
      <c r="U323" s="9">
        <f>[18]운전시간외!E320</f>
        <v>0</v>
      </c>
      <c r="V323" s="9">
        <f>[18]운전시간외!F320</f>
        <v>0</v>
      </c>
      <c r="W323" s="11">
        <f>[18]생산!E320</f>
        <v>0</v>
      </c>
      <c r="X323" s="11">
        <f>[18]생산!F320</f>
        <v>0</v>
      </c>
      <c r="Y323" s="11">
        <f>[18]생산!G320</f>
        <v>0</v>
      </c>
      <c r="Z323" s="11">
        <f>[18]생산!H320</f>
        <v>0</v>
      </c>
      <c r="AA323" s="11">
        <f>[18]생산!I320</f>
        <v>0</v>
      </c>
      <c r="AB323" s="11">
        <f>[18]생산!J320</f>
        <v>0</v>
      </c>
      <c r="AC323" s="48">
        <f>ROUNDDOWN('[20]2025년'!G319/1000,1)</f>
        <v>0</v>
      </c>
    </row>
    <row r="324" spans="1:29">
      <c r="A324" s="6">
        <f t="shared" si="4"/>
        <v>45976</v>
      </c>
      <c r="B324" s="9">
        <f>'[18]key-in(LO)'!Z322</f>
        <v>372.9</v>
      </c>
      <c r="C324" s="9">
        <f>'[18]key-in(LO)'!AA322</f>
        <v>245073</v>
      </c>
      <c r="D324" s="9">
        <f>'[18]key-in(LO)'!AB322</f>
        <v>237945</v>
      </c>
      <c r="E324" s="9">
        <f>'[18]key-in(LO)'!AC322</f>
        <v>16769.849999999999</v>
      </c>
      <c r="F324" s="9">
        <f>'[18]key-in(LO)'!AD322</f>
        <v>13515.6</v>
      </c>
      <c r="G324" s="9">
        <f>'[18]key-in(LO)'!AE322</f>
        <v>3988.5</v>
      </c>
      <c r="H324" s="9">
        <f>'[18]key-in(LO)'!AF322</f>
        <v>27481</v>
      </c>
      <c r="I324" s="9">
        <f>'[18]key-in(LO)'!AG322</f>
        <v>7257</v>
      </c>
      <c r="J324" s="10">
        <f>'[18]key-in(DCO)'!AN322</f>
        <v>33.72</v>
      </c>
      <c r="K324" s="10">
        <f>'[18]key-in(DCO)'!AO322</f>
        <v>33.200000000000003</v>
      </c>
      <c r="L324" s="9">
        <f>'[18]key-in(DCO)'!AR322</f>
        <v>8292</v>
      </c>
      <c r="M324" s="10">
        <f>[18]생산!AV321</f>
        <v>0</v>
      </c>
      <c r="N324" s="10">
        <f>[18]생산!AW321</f>
        <v>0</v>
      </c>
      <c r="O324" s="10">
        <f>[18]생산!AX321</f>
        <v>0</v>
      </c>
      <c r="P324" s="10">
        <f>[18]생산!AY321</f>
        <v>0</v>
      </c>
      <c r="Q324" s="10">
        <f>[19]생산!BE321</f>
        <v>0</v>
      </c>
      <c r="R324" s="10">
        <f>[18]생산!BA321</f>
        <v>0</v>
      </c>
      <c r="S324" s="9">
        <f>[18]운전시간외!C321</f>
        <v>0</v>
      </c>
      <c r="T324" s="9">
        <f>[18]운전시간외!D321</f>
        <v>0</v>
      </c>
      <c r="U324" s="9">
        <f>[18]운전시간외!E321</f>
        <v>0</v>
      </c>
      <c r="V324" s="9">
        <f>[18]운전시간외!F321</f>
        <v>0</v>
      </c>
      <c r="W324" s="11">
        <f>[18]생산!E321</f>
        <v>0</v>
      </c>
      <c r="X324" s="11">
        <f>[18]생산!F321</f>
        <v>0</v>
      </c>
      <c r="Y324" s="11">
        <f>[18]생산!G321</f>
        <v>0</v>
      </c>
      <c r="Z324" s="11">
        <f>[18]생산!H321</f>
        <v>0</v>
      </c>
      <c r="AA324" s="11">
        <f>[18]생산!I321</f>
        <v>0</v>
      </c>
      <c r="AB324" s="11">
        <f>[18]생산!J321</f>
        <v>0</v>
      </c>
      <c r="AC324" s="48">
        <f>ROUNDDOWN('[20]2025년'!G320/1000,1)</f>
        <v>0</v>
      </c>
    </row>
    <row r="325" spans="1:29">
      <c r="A325" s="6">
        <f t="shared" si="4"/>
        <v>45977</v>
      </c>
      <c r="B325" s="9">
        <f>'[18]key-in(LO)'!Z323</f>
        <v>372.9</v>
      </c>
      <c r="C325" s="9">
        <f>'[18]key-in(LO)'!AA323</f>
        <v>245073</v>
      </c>
      <c r="D325" s="9">
        <f>'[18]key-in(LO)'!AB323</f>
        <v>237962</v>
      </c>
      <c r="E325" s="9">
        <f>'[18]key-in(LO)'!AC323</f>
        <v>16771.099999999999</v>
      </c>
      <c r="F325" s="9">
        <f>'[18]key-in(LO)'!AD323</f>
        <v>13515.6</v>
      </c>
      <c r="G325" s="9">
        <f>'[18]key-in(LO)'!AE323</f>
        <v>3989</v>
      </c>
      <c r="H325" s="9">
        <f>'[18]key-in(LO)'!AF323</f>
        <v>27490</v>
      </c>
      <c r="I325" s="9">
        <f>'[18]key-in(LO)'!AG323</f>
        <v>7279</v>
      </c>
      <c r="J325" s="10">
        <f>'[18]key-in(DCO)'!AN323</f>
        <v>33.619999999999997</v>
      </c>
      <c r="K325" s="10">
        <f>'[18]key-in(DCO)'!AO323</f>
        <v>33.19</v>
      </c>
      <c r="L325" s="9">
        <f>'[18]key-in(DCO)'!AR323</f>
        <v>8683</v>
      </c>
      <c r="M325" s="10">
        <f>[18]생산!AV322</f>
        <v>0</v>
      </c>
      <c r="N325" s="10">
        <f>[18]생산!AW322</f>
        <v>0</v>
      </c>
      <c r="O325" s="10">
        <f>[18]생산!AX322</f>
        <v>0</v>
      </c>
      <c r="P325" s="10">
        <f>[18]생산!AY322</f>
        <v>0</v>
      </c>
      <c r="Q325" s="10">
        <f>[19]생산!BE322</f>
        <v>0</v>
      </c>
      <c r="R325" s="10">
        <f>[18]생산!BA322</f>
        <v>0</v>
      </c>
      <c r="S325" s="9">
        <f>[18]운전시간외!C322</f>
        <v>0</v>
      </c>
      <c r="T325" s="9">
        <f>[18]운전시간외!D322</f>
        <v>0</v>
      </c>
      <c r="U325" s="9">
        <f>[18]운전시간외!E322</f>
        <v>0</v>
      </c>
      <c r="V325" s="9">
        <f>[18]운전시간외!F322</f>
        <v>0</v>
      </c>
      <c r="W325" s="11">
        <f>[18]생산!E322</f>
        <v>0</v>
      </c>
      <c r="X325" s="11">
        <f>[18]생산!F322</f>
        <v>0</v>
      </c>
      <c r="Y325" s="11">
        <f>[18]생산!G322</f>
        <v>0</v>
      </c>
      <c r="Z325" s="11">
        <f>[18]생산!H322</f>
        <v>0</v>
      </c>
      <c r="AA325" s="11">
        <f>[18]생산!I322</f>
        <v>0</v>
      </c>
      <c r="AB325" s="11">
        <f>[18]생산!J322</f>
        <v>0</v>
      </c>
      <c r="AC325" s="48">
        <f>ROUNDDOWN('[20]2025년'!G321/1000,1)</f>
        <v>0</v>
      </c>
    </row>
    <row r="326" spans="1:29">
      <c r="A326" s="6">
        <f t="shared" si="4"/>
        <v>45978</v>
      </c>
      <c r="B326" s="9">
        <f>'[18]key-in(LO)'!Z324</f>
        <v>391.9</v>
      </c>
      <c r="C326" s="9">
        <f>'[18]key-in(LO)'!AA324</f>
        <v>245199</v>
      </c>
      <c r="D326" s="9">
        <f>'[18]key-in(LO)'!AB324</f>
        <v>237963</v>
      </c>
      <c r="E326" s="9">
        <f>'[18]key-in(LO)'!AC324</f>
        <v>16775.43</v>
      </c>
      <c r="F326" s="9">
        <f>'[18]key-in(LO)'!AD324</f>
        <v>13524.5</v>
      </c>
      <c r="G326" s="9">
        <f>'[18]key-in(LO)'!AE324</f>
        <v>3989.8</v>
      </c>
      <c r="H326" s="9">
        <f>'[18]key-in(LO)'!AF324</f>
        <v>27523</v>
      </c>
      <c r="I326" s="9">
        <f>'[18]key-in(LO)'!AG324</f>
        <v>7471</v>
      </c>
      <c r="J326" s="10">
        <f>'[18]key-in(DCO)'!AN324</f>
        <v>33.409999999999997</v>
      </c>
      <c r="K326" s="10">
        <f>'[18]key-in(DCO)'!AO324</f>
        <v>33.299999999999997</v>
      </c>
      <c r="L326" s="9">
        <f>'[18]key-in(DCO)'!AR324</f>
        <v>7803</v>
      </c>
      <c r="M326" s="10">
        <f>[18]생산!AV323</f>
        <v>94613.740000002086</v>
      </c>
      <c r="N326" s="10">
        <f>[18]생산!AW323</f>
        <v>0</v>
      </c>
      <c r="O326" s="10">
        <f>[18]생산!AX323</f>
        <v>0</v>
      </c>
      <c r="P326" s="10">
        <f>[18]생산!AY323</f>
        <v>0</v>
      </c>
      <c r="Q326" s="10">
        <f>[19]생산!BE323</f>
        <v>0</v>
      </c>
      <c r="R326" s="10">
        <f>[18]생산!BA323</f>
        <v>0</v>
      </c>
      <c r="S326" s="9">
        <f>[18]운전시간외!C323</f>
        <v>18</v>
      </c>
      <c r="T326" s="9">
        <f>[18]운전시간외!D323</f>
        <v>0</v>
      </c>
      <c r="U326" s="9">
        <f>[18]운전시간외!E323</f>
        <v>0</v>
      </c>
      <c r="V326" s="9">
        <f>[18]운전시간외!F323</f>
        <v>0</v>
      </c>
      <c r="W326" s="11">
        <f>[18]생산!E323</f>
        <v>573</v>
      </c>
      <c r="X326" s="11">
        <f>[18]생산!F323</f>
        <v>0</v>
      </c>
      <c r="Y326" s="11">
        <f>[18]생산!G323</f>
        <v>0</v>
      </c>
      <c r="Z326" s="11">
        <f>[18]생산!H323</f>
        <v>0</v>
      </c>
      <c r="AA326" s="11">
        <f>[18]생산!I323</f>
        <v>0</v>
      </c>
      <c r="AB326" s="11">
        <f>[18]생산!J323</f>
        <v>573</v>
      </c>
      <c r="AC326" s="48">
        <f>ROUNDDOWN('[20]2025년'!G322/1000,1)</f>
        <v>30.6</v>
      </c>
    </row>
    <row r="327" spans="1:29">
      <c r="A327" s="6">
        <f t="shared" si="4"/>
        <v>45979</v>
      </c>
      <c r="B327" s="9">
        <f>'[18]key-in(LO)'!Z325</f>
        <v>391.9</v>
      </c>
      <c r="C327" s="9">
        <f>'[18]key-in(LO)'!AA325</f>
        <v>245265</v>
      </c>
      <c r="D327" s="9">
        <f>'[18]key-in(LO)'!AB325</f>
        <v>237996</v>
      </c>
      <c r="E327" s="9">
        <f>'[18]key-in(LO)'!AC325</f>
        <v>16795.5</v>
      </c>
      <c r="F327" s="9">
        <f>'[18]key-in(LO)'!AD325</f>
        <v>13537.7</v>
      </c>
      <c r="G327" s="9">
        <f>'[18]key-in(LO)'!AE325</f>
        <v>3990.9</v>
      </c>
      <c r="H327" s="9">
        <f>'[18]key-in(LO)'!AF325</f>
        <v>27639</v>
      </c>
      <c r="I327" s="9">
        <f>'[18]key-in(LO)'!AG325</f>
        <v>7670</v>
      </c>
      <c r="J327" s="10">
        <f>'[18]key-in(DCO)'!AN325</f>
        <v>33.799999999999997</v>
      </c>
      <c r="K327" s="10">
        <f>'[18]key-in(DCO)'!AO325</f>
        <v>33.229999999999997</v>
      </c>
      <c r="L327" s="9">
        <f>'[18]key-in(DCO)'!AR325</f>
        <v>8313</v>
      </c>
      <c r="M327" s="10">
        <f>[18]생산!AV324</f>
        <v>185693.47999999672</v>
      </c>
      <c r="N327" s="10">
        <f>[18]생산!AW324</f>
        <v>0</v>
      </c>
      <c r="O327" s="10">
        <f>[18]생산!AX324</f>
        <v>0</v>
      </c>
      <c r="P327" s="10">
        <f>[18]생산!AY324</f>
        <v>0</v>
      </c>
      <c r="Q327" s="10">
        <f>[19]생산!BE324</f>
        <v>0</v>
      </c>
      <c r="R327" s="10">
        <f>[18]생산!BA324</f>
        <v>0</v>
      </c>
      <c r="S327" s="9">
        <f>[18]운전시간외!C324</f>
        <v>24</v>
      </c>
      <c r="T327" s="9">
        <f>[18]운전시간외!D324</f>
        <v>0</v>
      </c>
      <c r="U327" s="9">
        <f>[18]운전시간외!E324</f>
        <v>0</v>
      </c>
      <c r="V327" s="9">
        <f>[18]운전시간외!F324</f>
        <v>0</v>
      </c>
      <c r="W327" s="11">
        <f>[18]생산!E324</f>
        <v>1165</v>
      </c>
      <c r="X327" s="11">
        <f>[18]생산!F324</f>
        <v>0</v>
      </c>
      <c r="Y327" s="11">
        <f>[18]생산!G324</f>
        <v>0</v>
      </c>
      <c r="Z327" s="11">
        <f>[18]생산!H324</f>
        <v>0</v>
      </c>
      <c r="AA327" s="11">
        <f>[18]생산!I324</f>
        <v>0</v>
      </c>
      <c r="AB327" s="11">
        <f>[18]생산!J324</f>
        <v>1165</v>
      </c>
      <c r="AC327" s="48">
        <f>ROUNDDOWN('[20]2025년'!G323/1000,1)</f>
        <v>51.1</v>
      </c>
    </row>
    <row r="328" spans="1:29">
      <c r="A328" s="6">
        <f t="shared" ref="A328:A370" si="5">A327+1</f>
        <v>45980</v>
      </c>
      <c r="B328" s="9">
        <f>'[18]key-in(LO)'!Z326</f>
        <v>391.9</v>
      </c>
      <c r="C328" s="9">
        <f>'[18]key-in(LO)'!AA326</f>
        <v>245282</v>
      </c>
      <c r="D328" s="9">
        <f>'[18]key-in(LO)'!AB326</f>
        <v>238075</v>
      </c>
      <c r="E328" s="9">
        <f>'[18]key-in(LO)'!AC326</f>
        <v>16804.939999999999</v>
      </c>
      <c r="F328" s="9">
        <f>'[18]key-in(LO)'!AD326</f>
        <v>13550.55</v>
      </c>
      <c r="G328" s="9">
        <f>'[18]key-in(LO)'!AE326</f>
        <v>3992</v>
      </c>
      <c r="H328" s="9">
        <f>'[18]key-in(LO)'!AF326</f>
        <v>27818</v>
      </c>
      <c r="I328" s="9">
        <f>'[18]key-in(LO)'!AG326</f>
        <v>7837</v>
      </c>
      <c r="J328" s="10">
        <f>'[18]key-in(DCO)'!AN326</f>
        <v>33.86</v>
      </c>
      <c r="K328" s="10">
        <f>'[18]key-in(DCO)'!AO326</f>
        <v>33.15</v>
      </c>
      <c r="L328" s="9">
        <f>'[18]key-in(DCO)'!AR326</f>
        <v>8679</v>
      </c>
      <c r="M328" s="10">
        <f>[18]생산!AV325</f>
        <v>122856.78000000119</v>
      </c>
      <c r="N328" s="10">
        <f>[18]생산!AW325</f>
        <v>0</v>
      </c>
      <c r="O328" s="10">
        <f>[18]생산!AX325</f>
        <v>0</v>
      </c>
      <c r="P328" s="10">
        <f>[18]생산!AY325</f>
        <v>0</v>
      </c>
      <c r="Q328" s="10">
        <f>[19]생산!BE325</f>
        <v>0</v>
      </c>
      <c r="R328" s="10">
        <f>[18]생산!BA325</f>
        <v>0</v>
      </c>
      <c r="S328" s="9">
        <f>[18]운전시간외!C325</f>
        <v>18</v>
      </c>
      <c r="T328" s="9">
        <f>[18]운전시간외!D325</f>
        <v>0</v>
      </c>
      <c r="U328" s="9">
        <f>[18]운전시간외!E325</f>
        <v>0</v>
      </c>
      <c r="V328" s="9">
        <f>[18]운전시간외!F325</f>
        <v>0</v>
      </c>
      <c r="W328" s="11">
        <f>[18]생산!E325</f>
        <v>774</v>
      </c>
      <c r="X328" s="11">
        <f>[18]생산!F325</f>
        <v>0</v>
      </c>
      <c r="Y328" s="11">
        <f>[18]생산!G325</f>
        <v>0</v>
      </c>
      <c r="Z328" s="11">
        <f>[18]생산!H325</f>
        <v>0</v>
      </c>
      <c r="AA328" s="11">
        <f>[18]생산!I325</f>
        <v>0</v>
      </c>
      <c r="AB328" s="11">
        <f>[18]생산!J325</f>
        <v>774</v>
      </c>
      <c r="AC328" s="48">
        <f>ROUNDDOWN('[20]2025년'!G324/1000,1)</f>
        <v>36</v>
      </c>
    </row>
    <row r="329" spans="1:29">
      <c r="A329" s="6">
        <f t="shared" si="5"/>
        <v>45981</v>
      </c>
      <c r="B329" s="9">
        <f>'[18]key-in(LO)'!Z327</f>
        <v>391.9</v>
      </c>
      <c r="C329" s="9">
        <f>'[18]key-in(LO)'!AA327</f>
        <v>245309</v>
      </c>
      <c r="D329" s="9">
        <f>'[18]key-in(LO)'!AB327</f>
        <v>238104</v>
      </c>
      <c r="E329" s="9">
        <f>'[18]key-in(LO)'!AC327</f>
        <v>16820.07</v>
      </c>
      <c r="F329" s="9">
        <f>'[18]key-in(LO)'!AD327</f>
        <v>13555.02</v>
      </c>
      <c r="G329" s="9">
        <f>'[18]key-in(LO)'!AE327</f>
        <v>3992.7</v>
      </c>
      <c r="H329" s="9">
        <f>'[18]key-in(LO)'!AF327</f>
        <v>27902</v>
      </c>
      <c r="I329" s="9">
        <f>'[18]key-in(LO)'!AG327</f>
        <v>7939</v>
      </c>
      <c r="J329" s="10">
        <f>'[18]key-in(DCO)'!AN327</f>
        <v>33.74</v>
      </c>
      <c r="K329" s="10">
        <f>'[18]key-in(DCO)'!AO327</f>
        <v>33.17</v>
      </c>
      <c r="L329" s="9">
        <f>'[18]key-in(DCO)'!AR327</f>
        <v>8661</v>
      </c>
      <c r="M329" s="10">
        <f>[18]생산!AV326</f>
        <v>84943.5</v>
      </c>
      <c r="N329" s="10">
        <f>[18]생산!AW326</f>
        <v>0</v>
      </c>
      <c r="O329" s="10">
        <f>[18]생산!AX326</f>
        <v>0</v>
      </c>
      <c r="P329" s="10">
        <f>[18]생산!AY326</f>
        <v>0</v>
      </c>
      <c r="Q329" s="10">
        <f>[19]생산!BE326</f>
        <v>0</v>
      </c>
      <c r="R329" s="10">
        <f>[18]생산!BA326</f>
        <v>0</v>
      </c>
      <c r="S329" s="9">
        <f>[18]운전시간외!C326</f>
        <v>13</v>
      </c>
      <c r="T329" s="9">
        <f>[18]운전시간외!D326</f>
        <v>0</v>
      </c>
      <c r="U329" s="9">
        <f>[18]운전시간외!E326</f>
        <v>0</v>
      </c>
      <c r="V329" s="9">
        <f>[18]운전시간외!F326</f>
        <v>0</v>
      </c>
      <c r="W329" s="11">
        <f>[18]생산!E326</f>
        <v>540</v>
      </c>
      <c r="X329" s="11">
        <f>[18]생산!F326</f>
        <v>0</v>
      </c>
      <c r="Y329" s="11">
        <f>[18]생산!G326</f>
        <v>0</v>
      </c>
      <c r="Z329" s="11">
        <f>[18]생산!H326</f>
        <v>0</v>
      </c>
      <c r="AA329" s="11">
        <f>[18]생산!I326</f>
        <v>0</v>
      </c>
      <c r="AB329" s="11">
        <f>[18]생산!J326</f>
        <v>540</v>
      </c>
      <c r="AC329" s="48">
        <f>ROUNDDOWN('[20]2025년'!G325/1000,1)</f>
        <v>26.3</v>
      </c>
    </row>
    <row r="330" spans="1:29">
      <c r="A330" s="6">
        <f t="shared" si="5"/>
        <v>45982</v>
      </c>
      <c r="B330" s="9">
        <f>'[18]key-in(LO)'!Z328</f>
        <v>392.3</v>
      </c>
      <c r="C330" s="9">
        <f>'[18]key-in(LO)'!AA328</f>
        <v>245433</v>
      </c>
      <c r="D330" s="9">
        <f>'[18]key-in(LO)'!AB328</f>
        <v>238104</v>
      </c>
      <c r="E330" s="9">
        <f>'[18]key-in(LO)'!AC328</f>
        <v>16824.78</v>
      </c>
      <c r="F330" s="9">
        <f>'[18]key-in(LO)'!AD328</f>
        <v>13570.52</v>
      </c>
      <c r="G330" s="9">
        <f>'[18]key-in(LO)'!AE328</f>
        <v>3993.7</v>
      </c>
      <c r="H330" s="9">
        <f>'[18]key-in(LO)'!AF328</f>
        <v>28027</v>
      </c>
      <c r="I330" s="9">
        <f>'[18]key-in(LO)'!AG328</f>
        <v>8138</v>
      </c>
      <c r="J330" s="10">
        <f>'[18]key-in(DCO)'!AN328</f>
        <v>33.97</v>
      </c>
      <c r="K330" s="10">
        <f>'[18]key-in(DCO)'!AO328</f>
        <v>33.1</v>
      </c>
      <c r="L330" s="9">
        <f>'[18]key-in(DCO)'!AR328</f>
        <v>7973</v>
      </c>
      <c r="M330" s="10">
        <f>[18]생산!AV327</f>
        <v>120596.89999999851</v>
      </c>
      <c r="N330" s="10">
        <f>[18]생산!AW327</f>
        <v>0</v>
      </c>
      <c r="O330" s="10">
        <f>[18]생산!AX327</f>
        <v>0</v>
      </c>
      <c r="P330" s="10">
        <f>[18]생산!AY327</f>
        <v>0</v>
      </c>
      <c r="Q330" s="10">
        <f>[19]생산!BE327</f>
        <v>0</v>
      </c>
      <c r="R330" s="10">
        <f>[18]생산!BA327</f>
        <v>0</v>
      </c>
      <c r="S330" s="9">
        <f>[18]운전시간외!C327</f>
        <v>17</v>
      </c>
      <c r="T330" s="9">
        <f>[18]운전시간외!D327</f>
        <v>0</v>
      </c>
      <c r="U330" s="9">
        <f>[18]운전시간외!E327</f>
        <v>0</v>
      </c>
      <c r="V330" s="9">
        <f>[18]운전시간외!F327</f>
        <v>0</v>
      </c>
      <c r="W330" s="11">
        <f>[18]생산!E327</f>
        <v>768</v>
      </c>
      <c r="X330" s="11">
        <f>[18]생산!F327</f>
        <v>0</v>
      </c>
      <c r="Y330" s="11">
        <f>[18]생산!G327</f>
        <v>0</v>
      </c>
      <c r="Z330" s="11">
        <f>[18]생산!H327</f>
        <v>0</v>
      </c>
      <c r="AA330" s="11">
        <f>[18]생산!I327</f>
        <v>0</v>
      </c>
      <c r="AB330" s="11">
        <f>[18]생산!J327</f>
        <v>768</v>
      </c>
      <c r="AC330" s="48">
        <f>ROUNDDOWN('[20]2025년'!G326/1000,1)</f>
        <v>41.9</v>
      </c>
    </row>
    <row r="331" spans="1:29">
      <c r="A331" s="6">
        <f t="shared" si="5"/>
        <v>45983</v>
      </c>
      <c r="B331" s="9">
        <f>'[18]key-in(LO)'!Z329</f>
        <v>392.3</v>
      </c>
      <c r="C331" s="9">
        <f>'[18]key-in(LO)'!AA329</f>
        <v>245433</v>
      </c>
      <c r="D331" s="9">
        <f>'[18]key-in(LO)'!AB329</f>
        <v>238212</v>
      </c>
      <c r="E331" s="9">
        <f>'[18]key-in(LO)'!AC329</f>
        <v>16826.63</v>
      </c>
      <c r="F331" s="9">
        <f>'[18]key-in(LO)'!AD329</f>
        <v>13586.14</v>
      </c>
      <c r="G331" s="9">
        <f>'[18]key-in(LO)'!AE329</f>
        <v>3995</v>
      </c>
      <c r="H331" s="9">
        <f>'[18]key-in(LO)'!AF329</f>
        <v>28250</v>
      </c>
      <c r="I331" s="9">
        <f>'[18]key-in(LO)'!AG329</f>
        <v>8303</v>
      </c>
      <c r="J331" s="10">
        <f>'[18]key-in(DCO)'!AN329</f>
        <v>33.96</v>
      </c>
      <c r="K331" s="10">
        <f>'[18]key-in(DCO)'!AO329</f>
        <v>33.14</v>
      </c>
      <c r="L331" s="9">
        <f>'[18]key-in(DCO)'!AR329</f>
        <v>8535</v>
      </c>
      <c r="M331" s="10">
        <f>[18]생산!AV328</f>
        <v>61794.1</v>
      </c>
      <c r="N331" s="10">
        <f>[18]생산!AW328</f>
        <v>0</v>
      </c>
      <c r="O331" s="10">
        <f>[18]생산!AX328</f>
        <v>0</v>
      </c>
      <c r="P331" s="10">
        <f>[18]생산!AY328</f>
        <v>0</v>
      </c>
      <c r="Q331" s="10">
        <f>[19]생산!BE328</f>
        <v>0</v>
      </c>
      <c r="R331" s="10">
        <f>[18]생산!BA328</f>
        <v>0</v>
      </c>
      <c r="S331" s="9">
        <f>[18]운전시간외!C328</f>
        <v>10</v>
      </c>
      <c r="T331" s="9">
        <f>[18]운전시간외!D328</f>
        <v>0</v>
      </c>
      <c r="U331" s="9">
        <f>[18]운전시간외!E328</f>
        <v>0</v>
      </c>
      <c r="V331" s="9">
        <f>[18]운전시간외!F328</f>
        <v>0</v>
      </c>
      <c r="W331" s="11">
        <f>[18]생산!E328</f>
        <v>379</v>
      </c>
      <c r="X331" s="11">
        <f>[18]생산!F328</f>
        <v>0</v>
      </c>
      <c r="Y331" s="11">
        <f>[18]생산!G328</f>
        <v>0</v>
      </c>
      <c r="Z331" s="11">
        <f>[18]생산!H328</f>
        <v>0</v>
      </c>
      <c r="AA331" s="11">
        <f>[18]생산!I328</f>
        <v>0</v>
      </c>
      <c r="AB331" s="11">
        <f>[18]생산!J328</f>
        <v>379</v>
      </c>
      <c r="AC331" s="48">
        <f>ROUNDDOWN('[20]2025년'!G327/1000,1)</f>
        <v>15.2</v>
      </c>
    </row>
    <row r="332" spans="1:29">
      <c r="A332" s="6">
        <f t="shared" si="5"/>
        <v>45984</v>
      </c>
      <c r="B332" s="9">
        <f>'[18]key-in(LO)'!Z330</f>
        <v>449.4</v>
      </c>
      <c r="C332" s="9">
        <f>'[18]key-in(LO)'!AA330</f>
        <v>245433</v>
      </c>
      <c r="D332" s="9">
        <f>'[18]key-in(LO)'!AB330</f>
        <v>238280</v>
      </c>
      <c r="E332" s="9">
        <f>'[18]key-in(LO)'!AC330</f>
        <v>16827.8</v>
      </c>
      <c r="F332" s="9">
        <f>'[18]key-in(LO)'!AD330</f>
        <v>13593.04</v>
      </c>
      <c r="G332" s="9">
        <f>'[18]key-in(LO)'!AE330</f>
        <v>3995.6</v>
      </c>
      <c r="H332" s="9">
        <f>'[18]key-in(LO)'!AF330</f>
        <v>28322</v>
      </c>
      <c r="I332" s="9">
        <f>'[18]key-in(LO)'!AG330</f>
        <v>8429</v>
      </c>
      <c r="J332" s="10">
        <f>'[18]key-in(DCO)'!AN330</f>
        <v>33.6</v>
      </c>
      <c r="K332" s="10">
        <f>'[18]key-in(DCO)'!AO330</f>
        <v>33.15</v>
      </c>
      <c r="L332" s="9">
        <f>'[18]key-in(DCO)'!AR330</f>
        <v>8186</v>
      </c>
      <c r="M332" s="10">
        <f>[18]생산!AV329</f>
        <v>0</v>
      </c>
      <c r="N332" s="10">
        <f>[18]생산!AW329</f>
        <v>0</v>
      </c>
      <c r="O332" s="10">
        <f>[18]생산!AX329</f>
        <v>0</v>
      </c>
      <c r="P332" s="10">
        <f>[18]생산!AY329</f>
        <v>0</v>
      </c>
      <c r="Q332" s="10">
        <f>[19]생산!BE329</f>
        <v>0</v>
      </c>
      <c r="R332" s="10">
        <f>[18]생산!BA329</f>
        <v>0</v>
      </c>
      <c r="S332" s="9">
        <f>[18]운전시간외!C329</f>
        <v>0</v>
      </c>
      <c r="T332" s="9">
        <f>[18]운전시간외!D329</f>
        <v>0</v>
      </c>
      <c r="U332" s="9">
        <f>[18]운전시간외!E329</f>
        <v>0</v>
      </c>
      <c r="V332" s="9">
        <f>[18]운전시간외!F329</f>
        <v>0</v>
      </c>
      <c r="W332" s="11">
        <f>[18]생산!E329</f>
        <v>0</v>
      </c>
      <c r="X332" s="11">
        <f>[18]생산!F329</f>
        <v>0</v>
      </c>
      <c r="Y332" s="11">
        <f>[18]생산!G329</f>
        <v>0</v>
      </c>
      <c r="Z332" s="11">
        <f>[18]생산!H329</f>
        <v>0</v>
      </c>
      <c r="AA332" s="11">
        <f>[18]생산!I329</f>
        <v>0</v>
      </c>
      <c r="AB332" s="11">
        <f>[18]생산!J329</f>
        <v>0</v>
      </c>
      <c r="AC332" s="48">
        <f>ROUNDDOWN('[20]2025년'!G328/1000,1)</f>
        <v>0</v>
      </c>
    </row>
    <row r="333" spans="1:29">
      <c r="A333" s="6">
        <f t="shared" si="5"/>
        <v>45985</v>
      </c>
      <c r="B333" s="9">
        <f>'[18]key-in(LO)'!Z331</f>
        <v>461</v>
      </c>
      <c r="C333" s="9">
        <f>'[18]key-in(LO)'!AA331</f>
        <v>245577</v>
      </c>
      <c r="D333" s="9">
        <f>'[18]key-in(LO)'!AB331</f>
        <v>238280</v>
      </c>
      <c r="E333" s="9">
        <f>'[18]key-in(LO)'!AC331</f>
        <v>16832.57</v>
      </c>
      <c r="F333" s="9">
        <f>'[18]key-in(LO)'!AD331</f>
        <v>13612</v>
      </c>
      <c r="G333" s="9">
        <f>'[18]key-in(LO)'!AE331</f>
        <v>3996.6</v>
      </c>
      <c r="H333" s="9">
        <f>'[18]key-in(LO)'!AF331</f>
        <v>28461</v>
      </c>
      <c r="I333" s="9">
        <f>'[18]key-in(LO)'!AG331</f>
        <v>8626</v>
      </c>
      <c r="J333" s="10">
        <f>'[18]key-in(DCO)'!AN331</f>
        <v>33.840000000000003</v>
      </c>
      <c r="K333" s="10">
        <f>'[18]key-in(DCO)'!AO331</f>
        <v>33.18</v>
      </c>
      <c r="L333" s="9">
        <f>'[18]key-in(DCO)'!AR331</f>
        <v>8683</v>
      </c>
      <c r="M333" s="10">
        <f>[18]생산!AV330</f>
        <v>108039.94000000507</v>
      </c>
      <c r="N333" s="10">
        <f>[18]생산!AW330</f>
        <v>0</v>
      </c>
      <c r="O333" s="10">
        <f>[18]생산!AX330</f>
        <v>0</v>
      </c>
      <c r="P333" s="10">
        <f>[18]생산!AY330</f>
        <v>0</v>
      </c>
      <c r="Q333" s="10">
        <f>[19]생산!BE330</f>
        <v>0</v>
      </c>
      <c r="R333" s="10">
        <f>[18]생산!BA330</f>
        <v>0</v>
      </c>
      <c r="S333" s="9">
        <f>[18]운전시간외!C330</f>
        <v>16</v>
      </c>
      <c r="T333" s="9">
        <f>[18]운전시간외!D330</f>
        <v>0</v>
      </c>
      <c r="U333" s="9">
        <f>[18]운전시간외!E330</f>
        <v>0</v>
      </c>
      <c r="V333" s="9">
        <f>[18]운전시간외!F330</f>
        <v>0</v>
      </c>
      <c r="W333" s="11">
        <f>[18]생산!E330</f>
        <v>674</v>
      </c>
      <c r="X333" s="11">
        <f>[18]생산!F330</f>
        <v>0</v>
      </c>
      <c r="Y333" s="11">
        <f>[18]생산!G330</f>
        <v>0</v>
      </c>
      <c r="Z333" s="11">
        <f>[18]생산!H330</f>
        <v>0</v>
      </c>
      <c r="AA333" s="11">
        <f>[18]생산!I330</f>
        <v>0</v>
      </c>
      <c r="AB333" s="11">
        <f>[18]생산!J330</f>
        <v>674</v>
      </c>
      <c r="AC333" s="48">
        <f>ROUNDDOWN('[20]2025년'!G329/1000,1)</f>
        <v>39.299999999999997</v>
      </c>
    </row>
    <row r="334" spans="1:29">
      <c r="A334" s="6">
        <f t="shared" si="5"/>
        <v>45986</v>
      </c>
      <c r="B334" s="9">
        <f>'[18]key-in(LO)'!Z332</f>
        <v>461</v>
      </c>
      <c r="C334" s="9">
        <f>'[18]key-in(LO)'!AA332</f>
        <v>245590</v>
      </c>
      <c r="D334" s="9">
        <f>'[18]key-in(LO)'!AB332</f>
        <v>238357</v>
      </c>
      <c r="E334" s="9">
        <f>'[18]key-in(LO)'!AC332</f>
        <v>16836.62</v>
      </c>
      <c r="F334" s="9">
        <f>'[18]key-in(LO)'!AD332</f>
        <v>13628.34</v>
      </c>
      <c r="G334" s="9">
        <f>'[18]key-in(LO)'!AE332</f>
        <v>3997.5</v>
      </c>
      <c r="H334" s="9">
        <f>'[18]key-in(LO)'!AF332</f>
        <v>28513</v>
      </c>
      <c r="I334" s="9">
        <f>'[18]key-in(LO)'!AG332</f>
        <v>8807</v>
      </c>
      <c r="J334" s="10">
        <f>'[18]key-in(DCO)'!AN332</f>
        <v>33.82</v>
      </c>
      <c r="K334" s="10">
        <f>'[18]key-in(DCO)'!AO332</f>
        <v>33.15</v>
      </c>
      <c r="L334" s="9">
        <f>'[18]key-in(DCO)'!AR332</f>
        <v>8015</v>
      </c>
      <c r="M334" s="10">
        <f>[18]생산!AV331</f>
        <v>108252.71999999881</v>
      </c>
      <c r="N334" s="10">
        <f>[18]생산!AW331</f>
        <v>0</v>
      </c>
      <c r="O334" s="10">
        <f>[18]생산!AX331</f>
        <v>0</v>
      </c>
      <c r="P334" s="10">
        <f>[18]생산!AY331</f>
        <v>0</v>
      </c>
      <c r="Q334" s="10">
        <f>[19]생산!BE331</f>
        <v>0</v>
      </c>
      <c r="R334" s="10">
        <f>[18]생산!BA331</f>
        <v>0</v>
      </c>
      <c r="S334" s="9">
        <f>[18]운전시간외!C331</f>
        <v>15</v>
      </c>
      <c r="T334" s="9">
        <f>[18]운전시간외!D331</f>
        <v>0</v>
      </c>
      <c r="U334" s="9">
        <f>[18]운전시간외!E331</f>
        <v>0</v>
      </c>
      <c r="V334" s="9">
        <f>[18]운전시간외!F331</f>
        <v>0</v>
      </c>
      <c r="W334" s="11">
        <f>[18]생산!E331</f>
        <v>686</v>
      </c>
      <c r="X334" s="11">
        <f>[18]생산!F331</f>
        <v>0</v>
      </c>
      <c r="Y334" s="11">
        <f>[18]생산!G331</f>
        <v>0</v>
      </c>
      <c r="Z334" s="11">
        <f>[18]생산!H331</f>
        <v>0</v>
      </c>
      <c r="AA334" s="11">
        <f>[18]생산!I331</f>
        <v>0</v>
      </c>
      <c r="AB334" s="11">
        <f>[18]생산!J331</f>
        <v>686</v>
      </c>
      <c r="AC334" s="48">
        <f>ROUNDDOWN('[20]2025년'!G330/1000,1)</f>
        <v>38</v>
      </c>
    </row>
    <row r="335" spans="1:29">
      <c r="A335" s="6">
        <f t="shared" si="5"/>
        <v>45987</v>
      </c>
      <c r="B335" s="9">
        <f>'[18]key-in(LO)'!Z333</f>
        <v>461</v>
      </c>
      <c r="C335" s="9">
        <f>'[18]key-in(LO)'!AA333</f>
        <v>245671</v>
      </c>
      <c r="D335" s="9">
        <f>'[18]key-in(LO)'!AB333</f>
        <v>238375</v>
      </c>
      <c r="E335" s="9">
        <f>'[18]key-in(LO)'!AC333</f>
        <v>16841.04</v>
      </c>
      <c r="F335" s="9">
        <f>'[18]key-in(LO)'!AD333</f>
        <v>13646.69</v>
      </c>
      <c r="G335" s="9">
        <f>'[18]key-in(LO)'!AE333</f>
        <v>3998.9</v>
      </c>
      <c r="H335" s="9">
        <f>'[18]key-in(LO)'!AF333</f>
        <v>28666</v>
      </c>
      <c r="I335" s="9">
        <f>'[18]key-in(LO)'!AG333</f>
        <v>8964</v>
      </c>
      <c r="J335" s="10">
        <f>'[18]key-in(DCO)'!AN333</f>
        <v>33.74</v>
      </c>
      <c r="K335" s="10">
        <f>'[18]key-in(DCO)'!AO333</f>
        <v>33.130000000000003</v>
      </c>
      <c r="L335" s="9">
        <f>'[18]key-in(DCO)'!AR333</f>
        <v>7769</v>
      </c>
      <c r="M335" s="10">
        <f>[18]생산!AV332</f>
        <v>104215.21999999881</v>
      </c>
      <c r="N335" s="10">
        <f>[18]생산!AW332</f>
        <v>0</v>
      </c>
      <c r="O335" s="10">
        <f>[18]생산!AX332</f>
        <v>0</v>
      </c>
      <c r="P335" s="10">
        <f>[18]생산!AY332</f>
        <v>0</v>
      </c>
      <c r="Q335" s="10">
        <f>[19]생산!BE332</f>
        <v>0</v>
      </c>
      <c r="R335" s="10">
        <f>[18]생산!BA332</f>
        <v>0</v>
      </c>
      <c r="S335" s="9">
        <f>[18]운전시간외!C332</f>
        <v>15</v>
      </c>
      <c r="T335" s="9">
        <f>[18]운전시간외!D332</f>
        <v>0</v>
      </c>
      <c r="U335" s="9">
        <f>[18]운전시간외!E332</f>
        <v>0</v>
      </c>
      <c r="V335" s="9">
        <f>[18]운전시간외!F332</f>
        <v>0</v>
      </c>
      <c r="W335" s="11">
        <f>[18]생산!E332</f>
        <v>658</v>
      </c>
      <c r="X335" s="11">
        <f>[18]생산!F332</f>
        <v>0</v>
      </c>
      <c r="Y335" s="11">
        <f>[18]생산!G332</f>
        <v>0</v>
      </c>
      <c r="Z335" s="11">
        <f>[18]생산!H332</f>
        <v>0</v>
      </c>
      <c r="AA335" s="11">
        <f>[18]생산!I332</f>
        <v>0</v>
      </c>
      <c r="AB335" s="11">
        <f>[18]생산!J332</f>
        <v>658</v>
      </c>
      <c r="AC335" s="48">
        <f>ROUNDDOWN('[20]2025년'!G331/1000,1)</f>
        <v>30.3</v>
      </c>
    </row>
    <row r="336" spans="1:29">
      <c r="A336" s="6">
        <f t="shared" si="5"/>
        <v>45988</v>
      </c>
      <c r="B336" s="9">
        <f>'[18]key-in(LO)'!Z334</f>
        <v>461</v>
      </c>
      <c r="C336" s="9">
        <f>'[18]key-in(LO)'!AA334</f>
        <v>245823</v>
      </c>
      <c r="D336" s="9">
        <f>'[18]key-in(LO)'!AB334</f>
        <v>238375</v>
      </c>
      <c r="E336" s="9">
        <f>'[18]key-in(LO)'!AC334</f>
        <v>16848.96</v>
      </c>
      <c r="F336" s="9">
        <f>'[18]key-in(LO)'!AD334</f>
        <v>13663.33</v>
      </c>
      <c r="G336" s="9">
        <f>'[18]key-in(LO)'!AE334</f>
        <v>3999.8</v>
      </c>
      <c r="H336" s="9">
        <f>'[18]key-in(LO)'!AF334</f>
        <v>28737</v>
      </c>
      <c r="I336" s="9">
        <f>'[18]key-in(LO)'!AG334</f>
        <v>9189</v>
      </c>
      <c r="J336" s="10">
        <f>'[18]key-in(DCO)'!AN334</f>
        <v>33.47</v>
      </c>
      <c r="K336" s="10">
        <f>'[18]key-in(DCO)'!AO334</f>
        <v>32.99</v>
      </c>
      <c r="L336" s="9">
        <f>'[18]key-in(DCO)'!AR334</f>
        <v>8443</v>
      </c>
      <c r="M336" s="10">
        <f>[18]생산!AV333</f>
        <v>106953.59000000358</v>
      </c>
      <c r="N336" s="10">
        <f>[18]생산!AW333</f>
        <v>0</v>
      </c>
      <c r="O336" s="10">
        <f>[18]생산!AX333</f>
        <v>0</v>
      </c>
      <c r="P336" s="10">
        <f>[18]생산!AY333</f>
        <v>0</v>
      </c>
      <c r="Q336" s="10">
        <f>[19]생산!BE333</f>
        <v>0</v>
      </c>
      <c r="R336" s="10">
        <f>[18]생산!BA333</f>
        <v>0</v>
      </c>
      <c r="S336" s="9">
        <f>[18]운전시간외!C333</f>
        <v>15</v>
      </c>
      <c r="T336" s="9">
        <f>[18]운전시간외!D333</f>
        <v>0</v>
      </c>
      <c r="U336" s="9">
        <f>[18]운전시간외!E333</f>
        <v>0</v>
      </c>
      <c r="V336" s="9">
        <f>[18]운전시간외!F333</f>
        <v>0</v>
      </c>
      <c r="W336" s="11">
        <f>[18]생산!E333</f>
        <v>679</v>
      </c>
      <c r="X336" s="11">
        <f>[18]생산!F333</f>
        <v>0</v>
      </c>
      <c r="Y336" s="11">
        <f>[18]생산!G333</f>
        <v>0</v>
      </c>
      <c r="Z336" s="11">
        <f>[18]생산!H333</f>
        <v>0</v>
      </c>
      <c r="AA336" s="11">
        <f>[18]생산!I333</f>
        <v>0</v>
      </c>
      <c r="AB336" s="11">
        <f>[18]생산!J333</f>
        <v>679</v>
      </c>
      <c r="AC336" s="48">
        <f>ROUNDDOWN('[20]2025년'!G332/1000,1)</f>
        <v>32.1</v>
      </c>
    </row>
    <row r="337" spans="1:29">
      <c r="A337" s="6">
        <f t="shared" si="5"/>
        <v>45989</v>
      </c>
      <c r="B337" s="9">
        <f>'[18]key-in(LO)'!Z335</f>
        <v>461</v>
      </c>
      <c r="C337" s="9">
        <f>'[18]key-in(LO)'!AA335</f>
        <v>245833</v>
      </c>
      <c r="D337" s="9">
        <f>'[18]key-in(LO)'!AB335</f>
        <v>238417</v>
      </c>
      <c r="E337" s="9">
        <f>'[18]key-in(LO)'!AC335</f>
        <v>16856.419999999998</v>
      </c>
      <c r="F337" s="9">
        <f>'[18]key-in(LO)'!AD335</f>
        <v>13683.99</v>
      </c>
      <c r="G337" s="9">
        <f>'[18]key-in(LO)'!AE335</f>
        <v>4001.1</v>
      </c>
      <c r="H337" s="9">
        <f>'[18]key-in(LO)'!AF335</f>
        <v>28892</v>
      </c>
      <c r="I337" s="9">
        <f>'[18]key-in(LO)'!AG335</f>
        <v>9272</v>
      </c>
      <c r="J337" s="10">
        <f>'[18]key-in(DCO)'!AN335</f>
        <v>33.71</v>
      </c>
      <c r="K337" s="10">
        <f>'[18]key-in(DCO)'!AO335</f>
        <v>33.090000000000003</v>
      </c>
      <c r="L337" s="9">
        <f>'[18]key-in(DCO)'!AR335</f>
        <v>8237</v>
      </c>
      <c r="M337" s="10">
        <f>[18]생산!AV334</f>
        <v>131915.64999999851</v>
      </c>
      <c r="N337" s="10">
        <f>[18]생산!AW334</f>
        <v>0</v>
      </c>
      <c r="O337" s="10">
        <f>[18]생산!AX334</f>
        <v>0</v>
      </c>
      <c r="P337" s="10">
        <f>[18]생산!AY334</f>
        <v>0</v>
      </c>
      <c r="Q337" s="10">
        <f>[19]생산!BE334</f>
        <v>0</v>
      </c>
      <c r="R337" s="10">
        <f>[18]생산!BA334</f>
        <v>0</v>
      </c>
      <c r="S337" s="9">
        <f>[18]운전시간외!C334</f>
        <v>17</v>
      </c>
      <c r="T337" s="9">
        <f>[18]운전시간외!D334</f>
        <v>0</v>
      </c>
      <c r="U337" s="9">
        <f>[18]운전시간외!E334</f>
        <v>0</v>
      </c>
      <c r="V337" s="9">
        <f>[18]운전시간외!F334</f>
        <v>0</v>
      </c>
      <c r="W337" s="11">
        <f>[18]생산!E334</f>
        <v>836</v>
      </c>
      <c r="X337" s="11">
        <f>[18]생산!F334</f>
        <v>0</v>
      </c>
      <c r="Y337" s="11">
        <f>[18]생산!G334</f>
        <v>0</v>
      </c>
      <c r="Z337" s="11">
        <f>[18]생산!H334</f>
        <v>0</v>
      </c>
      <c r="AA337" s="11">
        <f>[18]생산!I334</f>
        <v>0</v>
      </c>
      <c r="AB337" s="11">
        <f>[18]생산!J334</f>
        <v>836</v>
      </c>
      <c r="AC337" s="48">
        <f>ROUNDDOWN('[20]2025년'!G333/1000,1)</f>
        <v>45.2</v>
      </c>
    </row>
    <row r="338" spans="1:29">
      <c r="A338" s="6">
        <f t="shared" si="5"/>
        <v>45990</v>
      </c>
      <c r="B338" s="9">
        <f>'[18]key-in(LO)'!Z336</f>
        <v>461</v>
      </c>
      <c r="C338" s="9">
        <f>'[18]key-in(LO)'!AA336</f>
        <v>245873</v>
      </c>
      <c r="D338" s="9">
        <f>'[18]key-in(LO)'!AB336</f>
        <v>238468</v>
      </c>
      <c r="E338" s="9">
        <f>'[18]key-in(LO)'!AC336</f>
        <v>16858.38</v>
      </c>
      <c r="F338" s="9">
        <f>'[18]key-in(LO)'!AD336</f>
        <v>13691.36</v>
      </c>
      <c r="G338" s="9">
        <f>'[18]key-in(LO)'!AE336</f>
        <v>4002.4</v>
      </c>
      <c r="H338" s="9">
        <f>'[18]key-in(LO)'!AF336</f>
        <v>28995</v>
      </c>
      <c r="I338" s="9">
        <f>'[18]key-in(LO)'!AG336</f>
        <v>9440</v>
      </c>
      <c r="J338" s="10">
        <f>'[18]key-in(DCO)'!AN336</f>
        <v>33.78</v>
      </c>
      <c r="K338" s="10">
        <f>'[18]key-in(DCO)'!AO336</f>
        <v>33.1</v>
      </c>
      <c r="L338" s="9">
        <f>'[18]key-in(DCO)'!AR336</f>
        <v>7990</v>
      </c>
      <c r="M338" s="10">
        <f>[18]생산!AV335</f>
        <v>5113.1999999955297</v>
      </c>
      <c r="N338" s="10">
        <f>[18]생산!AW335</f>
        <v>0</v>
      </c>
      <c r="O338" s="10">
        <f>[18]생산!AX335</f>
        <v>0</v>
      </c>
      <c r="P338" s="10">
        <f>[18]생산!AY335</f>
        <v>0</v>
      </c>
      <c r="Q338" s="10">
        <f>[19]생산!BE335</f>
        <v>0</v>
      </c>
      <c r="R338" s="10">
        <f>[18]생산!BA335</f>
        <v>0</v>
      </c>
      <c r="S338" s="9">
        <f>[18]운전시간외!C335</f>
        <v>1</v>
      </c>
      <c r="T338" s="9">
        <f>[18]운전시간외!D335</f>
        <v>0</v>
      </c>
      <c r="U338" s="9">
        <f>[18]운전시간외!E335</f>
        <v>0</v>
      </c>
      <c r="V338" s="9">
        <f>[18]운전시간외!F335</f>
        <v>0</v>
      </c>
      <c r="W338" s="11">
        <f>[18]생산!E335</f>
        <v>38</v>
      </c>
      <c r="X338" s="11">
        <f>[18]생산!F335</f>
        <v>0</v>
      </c>
      <c r="Y338" s="11">
        <f>[18]생산!G335</f>
        <v>0</v>
      </c>
      <c r="Z338" s="11">
        <f>[18]생산!H335</f>
        <v>0</v>
      </c>
      <c r="AA338" s="11">
        <f>[18]생산!I335</f>
        <v>0</v>
      </c>
      <c r="AB338" s="11">
        <f>[18]생산!J335</f>
        <v>38</v>
      </c>
      <c r="AC338" s="48">
        <f>ROUNDDOWN('[20]2025년'!G334/1000,1)</f>
        <v>1.5</v>
      </c>
    </row>
    <row r="339" spans="1:29">
      <c r="A339" s="6">
        <f t="shared" si="5"/>
        <v>45991</v>
      </c>
      <c r="B339" s="9">
        <f>'[18]key-in(LO)'!Z337</f>
        <v>461</v>
      </c>
      <c r="C339" s="9">
        <f>'[18]key-in(LO)'!AA337</f>
        <v>245984</v>
      </c>
      <c r="D339" s="9">
        <f>'[18]key-in(LO)'!AB337</f>
        <v>238468</v>
      </c>
      <c r="E339" s="9">
        <f>'[18]key-in(LO)'!AC337</f>
        <v>16859.830000000002</v>
      </c>
      <c r="F339" s="9">
        <f>'[18]key-in(LO)'!AD337</f>
        <v>13698.01</v>
      </c>
      <c r="G339" s="9">
        <f>'[18]key-in(LO)'!AE337</f>
        <v>4003.7</v>
      </c>
      <c r="H339" s="9">
        <f>'[18]key-in(LO)'!AF337</f>
        <v>29153</v>
      </c>
      <c r="I339" s="9">
        <f>'[18]key-in(LO)'!AG337</f>
        <v>9551</v>
      </c>
      <c r="J339" s="10">
        <f>'[18]key-in(DCO)'!AN337</f>
        <v>33.5</v>
      </c>
      <c r="K339" s="10">
        <f>'[18]key-in(DCO)'!AO337</f>
        <v>33.020000000000003</v>
      </c>
      <c r="L339" s="9">
        <f>'[18]key-in(DCO)'!AR337</f>
        <v>8242</v>
      </c>
      <c r="M339" s="10">
        <f>[18]생산!AV336</f>
        <v>0</v>
      </c>
      <c r="N339" s="10">
        <f>[18]생산!AW336</f>
        <v>0</v>
      </c>
      <c r="O339" s="10">
        <f>[18]생산!AX336</f>
        <v>0</v>
      </c>
      <c r="P339" s="10">
        <f>[18]생산!AY336</f>
        <v>0</v>
      </c>
      <c r="Q339" s="10">
        <f>[19]생산!BE336</f>
        <v>0</v>
      </c>
      <c r="R339" s="10">
        <f>[18]생산!BA336</f>
        <v>0</v>
      </c>
      <c r="S339" s="9">
        <f>[18]운전시간외!C336</f>
        <v>0</v>
      </c>
      <c r="T339" s="9">
        <f>[18]운전시간외!D336</f>
        <v>0</v>
      </c>
      <c r="U339" s="9">
        <f>[18]운전시간외!E336</f>
        <v>0</v>
      </c>
      <c r="V339" s="9">
        <f>[18]운전시간외!F336</f>
        <v>0</v>
      </c>
      <c r="W339" s="11">
        <f>[18]생산!E336</f>
        <v>0</v>
      </c>
      <c r="X339" s="11">
        <f>[18]생산!F336</f>
        <v>0</v>
      </c>
      <c r="Y339" s="11">
        <f>[18]생산!G336</f>
        <v>0</v>
      </c>
      <c r="Z339" s="11">
        <f>[18]생산!H336</f>
        <v>0</v>
      </c>
      <c r="AA339" s="11">
        <f>[18]생산!I336</f>
        <v>0</v>
      </c>
      <c r="AB339" s="11">
        <f>[18]생산!J336</f>
        <v>0</v>
      </c>
      <c r="AC339" s="48">
        <f>ROUNDDOWN('[20]2025년'!G335/1000,1)</f>
        <v>0</v>
      </c>
    </row>
    <row r="340" spans="1:29">
      <c r="A340" s="6">
        <f t="shared" si="5"/>
        <v>45992</v>
      </c>
      <c r="B340" s="9">
        <f>'[18]key-in(LO)'!Z338</f>
        <v>461</v>
      </c>
      <c r="C340" s="9">
        <f>'[18]key-in(LO)'!AA338</f>
        <v>246009</v>
      </c>
      <c r="D340" s="9">
        <f>'[18]key-in(LO)'!AB338</f>
        <v>238486</v>
      </c>
      <c r="E340" s="9">
        <f>'[18]key-in(LO)'!AC338</f>
        <v>16865.59</v>
      </c>
      <c r="F340" s="9">
        <f>'[18]key-in(LO)'!AD338</f>
        <v>13716.29</v>
      </c>
      <c r="G340" s="9">
        <f>'[18]key-in(LO)'!AE338</f>
        <v>4004.6</v>
      </c>
      <c r="H340" s="9">
        <f>'[18]key-in(LO)'!AF338</f>
        <v>29290</v>
      </c>
      <c r="I340" s="9">
        <f>'[18]key-in(LO)'!AG338</f>
        <v>9644</v>
      </c>
      <c r="J340" s="10">
        <f>'[18]key-in(DCO)'!AN338</f>
        <v>33.619999999999997</v>
      </c>
      <c r="K340" s="10">
        <f>'[18]key-in(DCO)'!AO338</f>
        <v>33.020000000000003</v>
      </c>
      <c r="L340" s="9">
        <f>'[18]key-in(DCO)'!AR338</f>
        <v>8692</v>
      </c>
      <c r="M340" s="10">
        <f>[18]생산!AV337</f>
        <v>107252.7</v>
      </c>
      <c r="N340" s="10">
        <f>[18]생산!AW337</f>
        <v>0</v>
      </c>
      <c r="O340" s="10">
        <f>[18]생산!AX337</f>
        <v>0</v>
      </c>
      <c r="P340" s="10">
        <f>[18]생산!AY337</f>
        <v>0</v>
      </c>
      <c r="Q340" s="10">
        <f>[19]생산!BE337</f>
        <v>0</v>
      </c>
      <c r="R340" s="10">
        <f>[18]생산!BA337</f>
        <v>0</v>
      </c>
      <c r="S340" s="9">
        <f>[18]운전시간외!C337</f>
        <v>17</v>
      </c>
      <c r="T340" s="9">
        <f>[18]운전시간외!D337</f>
        <v>0</v>
      </c>
      <c r="U340" s="9">
        <f>[18]운전시간외!E337</f>
        <v>0</v>
      </c>
      <c r="V340" s="9">
        <f>[18]운전시간외!F337</f>
        <v>0</v>
      </c>
      <c r="W340" s="11">
        <f>[18]생산!E337</f>
        <v>667</v>
      </c>
      <c r="X340" s="11">
        <f>[18]생산!F337</f>
        <v>0</v>
      </c>
      <c r="Y340" s="11">
        <f>[18]생산!G337</f>
        <v>0</v>
      </c>
      <c r="Z340" s="11">
        <f>[18]생산!H337</f>
        <v>0</v>
      </c>
      <c r="AA340" s="11">
        <f>[18]생산!I337</f>
        <v>0</v>
      </c>
      <c r="AB340" s="11">
        <f>[18]생산!J337</f>
        <v>667</v>
      </c>
      <c r="AC340" s="48">
        <f>ROUNDDOWN('[20]2025년'!G336/1000,1)</f>
        <v>42.7</v>
      </c>
    </row>
    <row r="341" spans="1:29">
      <c r="A341" s="6">
        <f t="shared" si="5"/>
        <v>45993</v>
      </c>
      <c r="B341" s="9">
        <f>'[18]key-in(LO)'!Z339</f>
        <v>461</v>
      </c>
      <c r="C341" s="9">
        <f>'[18]key-in(LO)'!AA339</f>
        <v>246009</v>
      </c>
      <c r="D341" s="9">
        <f>'[18]key-in(LO)'!AB339</f>
        <v>238564</v>
      </c>
      <c r="E341" s="9">
        <f>'[18]key-in(LO)'!AC339</f>
        <v>16870.099999999999</v>
      </c>
      <c r="F341" s="9">
        <f>'[18]key-in(LO)'!AD339</f>
        <v>13735.18</v>
      </c>
      <c r="G341" s="9">
        <f>'[18]key-in(LO)'!AE339</f>
        <v>4005.6</v>
      </c>
      <c r="H341" s="9">
        <f>'[18]key-in(LO)'!AF339</f>
        <v>29369</v>
      </c>
      <c r="I341" s="9">
        <f>'[18]key-in(LO)'!AG339</f>
        <v>9813</v>
      </c>
      <c r="J341" s="10">
        <f>'[18]key-in(DCO)'!AN339</f>
        <v>33.68</v>
      </c>
      <c r="K341" s="10">
        <f>'[18]key-in(DCO)'!AO339</f>
        <v>33.020000000000003</v>
      </c>
      <c r="L341" s="9">
        <f>'[18]key-in(DCO)'!AR339</f>
        <v>8359</v>
      </c>
      <c r="M341" s="10">
        <f>[18]생산!AV338</f>
        <v>128560.22000000626</v>
      </c>
      <c r="N341" s="10">
        <f>[18]생산!AW338</f>
        <v>0</v>
      </c>
      <c r="O341" s="10">
        <f>[18]생산!AX338</f>
        <v>0</v>
      </c>
      <c r="P341" s="10">
        <f>[18]생산!AY338</f>
        <v>0</v>
      </c>
      <c r="Q341" s="10">
        <f>[19]생산!BE338</f>
        <v>0</v>
      </c>
      <c r="R341" s="10">
        <f>[18]생산!BA338</f>
        <v>0</v>
      </c>
      <c r="S341" s="9">
        <f>[18]운전시간외!C338</f>
        <v>18</v>
      </c>
      <c r="T341" s="9">
        <f>[18]운전시간외!D338</f>
        <v>0</v>
      </c>
      <c r="U341" s="9">
        <f>[18]운전시간외!E338</f>
        <v>0</v>
      </c>
      <c r="V341" s="9">
        <f>[18]운전시간외!F338</f>
        <v>0</v>
      </c>
      <c r="W341" s="11">
        <f>[18]생산!E338</f>
        <v>814</v>
      </c>
      <c r="X341" s="11">
        <f>[18]생산!F338</f>
        <v>0</v>
      </c>
      <c r="Y341" s="11">
        <f>[18]생산!G338</f>
        <v>0</v>
      </c>
      <c r="Z341" s="11">
        <f>[18]생산!H338</f>
        <v>0</v>
      </c>
      <c r="AA341" s="11">
        <f>[18]생산!I338</f>
        <v>0</v>
      </c>
      <c r="AB341" s="11">
        <f>[18]생산!J338</f>
        <v>814</v>
      </c>
      <c r="AC341" s="48">
        <f>ROUNDDOWN('[20]2025년'!G337/1000,1)</f>
        <v>49.5</v>
      </c>
    </row>
    <row r="342" spans="1:29">
      <c r="A342" s="6">
        <f t="shared" si="5"/>
        <v>45994</v>
      </c>
      <c r="B342" s="9">
        <f>'[18]key-in(LO)'!Z340</f>
        <v>461</v>
      </c>
      <c r="C342" s="9">
        <f>'[18]key-in(LO)'!AA340</f>
        <v>246129</v>
      </c>
      <c r="D342" s="9">
        <f>'[18]key-in(LO)'!AB340</f>
        <v>238584</v>
      </c>
      <c r="E342" s="9">
        <f>'[18]key-in(LO)'!AC340</f>
        <v>16875.8</v>
      </c>
      <c r="F342" s="9">
        <f>'[18]key-in(LO)'!AD340</f>
        <v>13762.67</v>
      </c>
      <c r="G342" s="9">
        <f>'[18]key-in(LO)'!AE340</f>
        <v>4006.8</v>
      </c>
      <c r="H342" s="9">
        <f>'[18]key-in(LO)'!AF340</f>
        <v>29554</v>
      </c>
      <c r="I342" s="9">
        <f>'[18]key-in(LO)'!AG340</f>
        <v>10061</v>
      </c>
      <c r="J342" s="10">
        <f>'[18]key-in(DCO)'!AN340</f>
        <v>33.549999999999997</v>
      </c>
      <c r="K342" s="10">
        <f>'[18]key-in(DCO)'!AO340</f>
        <v>33.03</v>
      </c>
      <c r="L342" s="9">
        <f>'[18]key-in(DCO)'!AR340</f>
        <v>8496</v>
      </c>
      <c r="M342" s="10">
        <f>[18]생산!AV339</f>
        <v>175848.48999999464</v>
      </c>
      <c r="N342" s="10">
        <f>[18]생산!AW339</f>
        <v>0</v>
      </c>
      <c r="O342" s="10">
        <f>[18]생산!AX339</f>
        <v>0</v>
      </c>
      <c r="P342" s="10">
        <f>[18]생산!AY339</f>
        <v>0</v>
      </c>
      <c r="Q342" s="10">
        <f>[19]생산!BE339</f>
        <v>0</v>
      </c>
      <c r="R342" s="10">
        <f>[18]생산!BA339</f>
        <v>0</v>
      </c>
      <c r="S342" s="9">
        <f>[18]운전시간외!C339</f>
        <v>24</v>
      </c>
      <c r="T342" s="9">
        <f>[18]운전시간외!D339</f>
        <v>0</v>
      </c>
      <c r="U342" s="9">
        <f>[18]운전시간외!E339</f>
        <v>0</v>
      </c>
      <c r="V342" s="9">
        <f>[18]운전시간외!F339</f>
        <v>0</v>
      </c>
      <c r="W342" s="11">
        <f>[18]생산!E339</f>
        <v>1123</v>
      </c>
      <c r="X342" s="11">
        <f>[18]생산!F339</f>
        <v>0</v>
      </c>
      <c r="Y342" s="11">
        <f>[18]생산!G339</f>
        <v>0</v>
      </c>
      <c r="Z342" s="11">
        <f>[18]생산!H339</f>
        <v>0</v>
      </c>
      <c r="AA342" s="11">
        <f>[18]생산!I339</f>
        <v>0</v>
      </c>
      <c r="AB342" s="11">
        <f>[18]생산!J339</f>
        <v>1123</v>
      </c>
      <c r="AC342" s="48">
        <f>ROUNDDOWN('[20]2025년'!G338/1000,1)</f>
        <v>52.6</v>
      </c>
    </row>
    <row r="343" spans="1:29">
      <c r="A343" s="6">
        <f t="shared" si="5"/>
        <v>45995</v>
      </c>
      <c r="B343" s="9">
        <f>'[18]key-in(LO)'!Z341</f>
        <v>461</v>
      </c>
      <c r="C343" s="9">
        <f>'[18]key-in(LO)'!AA341</f>
        <v>246194</v>
      </c>
      <c r="D343" s="9">
        <f>'[18]key-in(LO)'!AB341</f>
        <v>238584</v>
      </c>
      <c r="E343" s="9">
        <f>'[18]key-in(LO)'!AC341</f>
        <v>16881.52</v>
      </c>
      <c r="F343" s="9">
        <f>'[18]key-in(LO)'!AD341</f>
        <v>13785.42</v>
      </c>
      <c r="G343" s="9">
        <f>'[18]key-in(LO)'!AE341</f>
        <v>4007.8</v>
      </c>
      <c r="H343" s="9">
        <f>'[18]key-in(LO)'!AF341</f>
        <v>29704</v>
      </c>
      <c r="I343" s="9">
        <f>'[18]key-in(LO)'!AG341</f>
        <v>10184</v>
      </c>
      <c r="J343" s="10">
        <f>'[18]key-in(DCO)'!AN341</f>
        <v>33.369999999999997</v>
      </c>
      <c r="K343" s="10">
        <f>'[18]key-in(DCO)'!AO341</f>
        <v>33</v>
      </c>
      <c r="L343" s="9">
        <f>'[18]key-in(DCO)'!AR341</f>
        <v>8092</v>
      </c>
      <c r="M343" s="10">
        <f>[18]생산!AV340</f>
        <v>185569.09000000358</v>
      </c>
      <c r="N343" s="10">
        <f>[18]생산!AW340</f>
        <v>0</v>
      </c>
      <c r="O343" s="10">
        <f>[18]생산!AX340</f>
        <v>0</v>
      </c>
      <c r="P343" s="10">
        <f>[18]생산!AY340</f>
        <v>0</v>
      </c>
      <c r="Q343" s="10">
        <f>[19]생산!BE340</f>
        <v>0</v>
      </c>
      <c r="R343" s="10">
        <f>[18]생산!BA340</f>
        <v>0</v>
      </c>
      <c r="S343" s="9">
        <f>[18]운전시간외!C340</f>
        <v>24</v>
      </c>
      <c r="T343" s="9">
        <f>[18]운전시간외!D340</f>
        <v>0</v>
      </c>
      <c r="U343" s="9">
        <f>[18]운전시간외!E340</f>
        <v>0</v>
      </c>
      <c r="V343" s="9">
        <f>[18]운전시간외!F340</f>
        <v>0</v>
      </c>
      <c r="W343" s="11">
        <f>[18]생산!E340</f>
        <v>1164</v>
      </c>
      <c r="X343" s="11">
        <f>[18]생산!F340</f>
        <v>0</v>
      </c>
      <c r="Y343" s="11">
        <f>[18]생산!G340</f>
        <v>0</v>
      </c>
      <c r="Z343" s="11">
        <f>[18]생산!H340</f>
        <v>0</v>
      </c>
      <c r="AA343" s="11">
        <f>[18]생산!I340</f>
        <v>0</v>
      </c>
      <c r="AB343" s="11">
        <f>[18]생산!J340</f>
        <v>1164</v>
      </c>
      <c r="AC343" s="48">
        <f>ROUNDDOWN('[20]2025년'!G339/1000,1)</f>
        <v>56.4</v>
      </c>
    </row>
    <row r="344" spans="1:29">
      <c r="A344" s="6">
        <f t="shared" si="5"/>
        <v>45996</v>
      </c>
      <c r="B344" s="9">
        <f>'[18]key-in(LO)'!Z342</f>
        <v>461</v>
      </c>
      <c r="C344" s="9">
        <f>'[18]key-in(LO)'!AA342</f>
        <v>246194</v>
      </c>
      <c r="D344" s="9">
        <f>'[18]key-in(LO)'!AB342</f>
        <v>238727</v>
      </c>
      <c r="E344" s="9">
        <f>'[18]key-in(LO)'!AC342</f>
        <v>16887.39</v>
      </c>
      <c r="F344" s="9">
        <f>'[18]key-in(LO)'!AD342</f>
        <v>13809.06</v>
      </c>
      <c r="G344" s="9">
        <f>'[18]key-in(LO)'!AE342</f>
        <v>4008.9</v>
      </c>
      <c r="H344" s="9">
        <f>'[18]key-in(LO)'!AF342</f>
        <v>29874</v>
      </c>
      <c r="I344" s="9">
        <f>'[18]key-in(LO)'!AG342</f>
        <v>10390</v>
      </c>
      <c r="J344" s="10">
        <f>'[18]key-in(DCO)'!AN342</f>
        <v>33.35</v>
      </c>
      <c r="K344" s="10">
        <f>'[18]key-in(DCO)'!AO342</f>
        <v>32.96</v>
      </c>
      <c r="L344" s="9">
        <f>'[18]key-in(DCO)'!AR342</f>
        <v>8451</v>
      </c>
      <c r="M344" s="10">
        <f>[18]생산!AV341</f>
        <v>189215.46999999881</v>
      </c>
      <c r="N344" s="10">
        <f>[18]생산!AW341</f>
        <v>0</v>
      </c>
      <c r="O344" s="10">
        <f>[18]생산!AX341</f>
        <v>0</v>
      </c>
      <c r="P344" s="10">
        <f>[18]생산!AY341</f>
        <v>0</v>
      </c>
      <c r="Q344" s="10">
        <f>[19]생산!BE341</f>
        <v>0</v>
      </c>
      <c r="R344" s="10">
        <f>[18]생산!BA341</f>
        <v>0</v>
      </c>
      <c r="S344" s="9">
        <f>[18]운전시간외!C341</f>
        <v>24</v>
      </c>
      <c r="T344" s="9">
        <f>[18]운전시간외!D341</f>
        <v>0</v>
      </c>
      <c r="U344" s="9">
        <f>[18]운전시간외!E341</f>
        <v>0</v>
      </c>
      <c r="V344" s="9">
        <f>[18]운전시간외!F341</f>
        <v>0</v>
      </c>
      <c r="W344" s="11">
        <f>[18]생산!E341</f>
        <v>1189</v>
      </c>
      <c r="X344" s="11">
        <f>[18]생산!F341</f>
        <v>0</v>
      </c>
      <c r="Y344" s="11">
        <f>[18]생산!G341</f>
        <v>0</v>
      </c>
      <c r="Z344" s="11">
        <f>[18]생산!H341</f>
        <v>0</v>
      </c>
      <c r="AA344" s="11">
        <f>[18]생산!I341</f>
        <v>0</v>
      </c>
      <c r="AB344" s="11">
        <f>[18]생산!J341</f>
        <v>1189</v>
      </c>
      <c r="AC344" s="48">
        <f>ROUNDDOWN('[20]2025년'!G340/1000,1)</f>
        <v>65.5</v>
      </c>
    </row>
    <row r="345" spans="1:29">
      <c r="A345" s="6">
        <f t="shared" si="5"/>
        <v>45997</v>
      </c>
      <c r="B345" s="9">
        <f>'[18]key-in(LO)'!Z343</f>
        <v>461</v>
      </c>
      <c r="C345" s="9">
        <f>'[18]key-in(LO)'!AA343</f>
        <v>246303</v>
      </c>
      <c r="D345" s="9">
        <f>'[18]key-in(LO)'!AB343</f>
        <v>238731</v>
      </c>
      <c r="E345" s="9">
        <f>'[18]key-in(LO)'!AC343</f>
        <v>16892.43</v>
      </c>
      <c r="F345" s="9">
        <f>'[18]key-in(LO)'!AD343</f>
        <v>13827.92</v>
      </c>
      <c r="G345" s="9">
        <f>'[18]key-in(LO)'!AE343</f>
        <v>4009.6</v>
      </c>
      <c r="H345" s="9">
        <f>'[18]key-in(LO)'!AF343</f>
        <v>29941</v>
      </c>
      <c r="I345" s="9">
        <f>'[18]key-in(LO)'!AG343</f>
        <v>10598</v>
      </c>
      <c r="J345" s="10">
        <f>'[18]key-in(DCO)'!AN343</f>
        <v>33.53</v>
      </c>
      <c r="K345" s="10">
        <f>'[18]key-in(DCO)'!AO343</f>
        <v>33.04</v>
      </c>
      <c r="L345" s="9">
        <f>'[18]key-in(DCO)'!AR343</f>
        <v>8581</v>
      </c>
      <c r="M345" s="10">
        <f>[18]생산!AV342</f>
        <v>147299.88000000268</v>
      </c>
      <c r="N345" s="10">
        <f>[18]생산!AW342</f>
        <v>0</v>
      </c>
      <c r="O345" s="10">
        <f>[18]생산!AX342</f>
        <v>0</v>
      </c>
      <c r="P345" s="10">
        <f>[18]생산!AY342</f>
        <v>0</v>
      </c>
      <c r="Q345" s="10">
        <f>[19]생산!BE342</f>
        <v>0</v>
      </c>
      <c r="R345" s="10">
        <f>[18]생산!BA342</f>
        <v>0</v>
      </c>
      <c r="S345" s="9">
        <f>[18]운전시간외!C342</f>
        <v>20</v>
      </c>
      <c r="T345" s="9">
        <f>[18]운전시간외!D342</f>
        <v>0</v>
      </c>
      <c r="U345" s="9">
        <f>[18]운전시간외!E342</f>
        <v>0</v>
      </c>
      <c r="V345" s="9">
        <f>[18]운전시간외!F342</f>
        <v>0</v>
      </c>
      <c r="W345" s="11">
        <f>[18]생산!E342</f>
        <v>931</v>
      </c>
      <c r="X345" s="11">
        <f>[18]생산!F342</f>
        <v>0</v>
      </c>
      <c r="Y345" s="11">
        <f>[18]생산!G342</f>
        <v>0</v>
      </c>
      <c r="Z345" s="11">
        <f>[18]생산!H342</f>
        <v>0</v>
      </c>
      <c r="AA345" s="11">
        <f>[18]생산!I342</f>
        <v>0</v>
      </c>
      <c r="AB345" s="11">
        <f>[18]생산!J342</f>
        <v>931</v>
      </c>
      <c r="AC345" s="48">
        <f>ROUNDDOWN('[20]2025년'!G341/1000,1)</f>
        <v>47.3</v>
      </c>
    </row>
    <row r="346" spans="1:29">
      <c r="A346" s="6">
        <f t="shared" si="5"/>
        <v>45998</v>
      </c>
      <c r="B346" s="9">
        <f>'[18]key-in(LO)'!Z344</f>
        <v>461</v>
      </c>
      <c r="C346" s="9">
        <f>'[18]key-in(LO)'!AA344</f>
        <v>246331</v>
      </c>
      <c r="D346" s="9">
        <f>'[18]key-in(LO)'!AB344</f>
        <v>238731</v>
      </c>
      <c r="E346" s="9">
        <f>'[18]key-in(LO)'!AC344</f>
        <v>16897.36</v>
      </c>
      <c r="F346" s="9">
        <f>'[18]key-in(LO)'!AD344</f>
        <v>13830.74</v>
      </c>
      <c r="G346" s="9">
        <f>'[18]key-in(LO)'!AE344</f>
        <v>4010.4</v>
      </c>
      <c r="H346" s="9">
        <f>'[18]key-in(LO)'!AF344</f>
        <v>30031</v>
      </c>
      <c r="I346" s="9">
        <f>'[18]key-in(LO)'!AG344</f>
        <v>10625</v>
      </c>
      <c r="J346" s="10">
        <f>'[18]key-in(DCO)'!AN344</f>
        <v>33.450000000000003</v>
      </c>
      <c r="K346" s="10">
        <f>'[18]key-in(DCO)'!AO344</f>
        <v>32.880000000000003</v>
      </c>
      <c r="L346" s="9">
        <f>'[18]key-in(DCO)'!AR344</f>
        <v>8537</v>
      </c>
      <c r="M346" s="10">
        <f>[18]생산!AV343</f>
        <v>7724.6199999973178</v>
      </c>
      <c r="N346" s="10">
        <f>[18]생산!AW343</f>
        <v>0</v>
      </c>
      <c r="O346" s="10">
        <f>[18]생산!AX343</f>
        <v>0</v>
      </c>
      <c r="P346" s="10">
        <f>[18]생산!AY343</f>
        <v>0</v>
      </c>
      <c r="Q346" s="10">
        <f>[19]생산!BE343</f>
        <v>0</v>
      </c>
      <c r="R346" s="10">
        <f>[18]생산!BA343</f>
        <v>0</v>
      </c>
      <c r="S346" s="9">
        <f>[18]운전시간외!C343</f>
        <v>2</v>
      </c>
      <c r="T346" s="9">
        <f>[18]운전시간외!D343</f>
        <v>0</v>
      </c>
      <c r="U346" s="9">
        <f>[18]운전시간외!E343</f>
        <v>0</v>
      </c>
      <c r="V346" s="9">
        <f>[18]운전시간외!F343</f>
        <v>0</v>
      </c>
      <c r="W346" s="11">
        <f>[18]생산!E343</f>
        <v>57</v>
      </c>
      <c r="X346" s="11">
        <f>[18]생산!F343</f>
        <v>0</v>
      </c>
      <c r="Y346" s="11">
        <f>[18]생산!G343</f>
        <v>0</v>
      </c>
      <c r="Z346" s="11">
        <f>[18]생산!H343</f>
        <v>0</v>
      </c>
      <c r="AA346" s="11">
        <f>[18]생산!I343</f>
        <v>0</v>
      </c>
      <c r="AB346" s="11">
        <f>[18]생산!J343</f>
        <v>57</v>
      </c>
      <c r="AC346" s="48">
        <f>ROUNDDOWN('[20]2025년'!G342/1000,1)</f>
        <v>2.2000000000000002</v>
      </c>
    </row>
    <row r="347" spans="1:29">
      <c r="A347" s="6">
        <f t="shared" si="5"/>
        <v>45999</v>
      </c>
      <c r="B347" s="9">
        <f>'[18]key-in(LO)'!Z345</f>
        <v>486.7</v>
      </c>
      <c r="C347" s="9">
        <f>'[18]key-in(LO)'!AA345</f>
        <v>246353</v>
      </c>
      <c r="D347" s="9">
        <f>'[18]key-in(LO)'!AB345</f>
        <v>238854</v>
      </c>
      <c r="E347" s="9">
        <f>'[18]key-in(LO)'!AC345</f>
        <v>16904.12</v>
      </c>
      <c r="F347" s="9">
        <f>'[18]key-in(LO)'!AD345</f>
        <v>13848.69</v>
      </c>
      <c r="G347" s="9">
        <f>'[18]key-in(LO)'!AE345</f>
        <v>4011.4</v>
      </c>
      <c r="H347" s="9">
        <f>'[18]key-in(LO)'!AF345</f>
        <v>30181</v>
      </c>
      <c r="I347" s="9">
        <f>'[18]key-in(LO)'!AG345</f>
        <v>10844</v>
      </c>
      <c r="J347" s="10">
        <f>'[18]key-in(DCO)'!AN345</f>
        <v>33.32</v>
      </c>
      <c r="K347" s="10">
        <f>'[18]key-in(DCO)'!AO345</f>
        <v>32.880000000000003</v>
      </c>
      <c r="L347" s="9">
        <f>'[18]key-in(DCO)'!AR345</f>
        <v>8295</v>
      </c>
      <c r="M347" s="10">
        <f>[18]생산!AV344</f>
        <v>134413.45000000298</v>
      </c>
      <c r="N347" s="10">
        <f>[18]생산!AW344</f>
        <v>0</v>
      </c>
      <c r="O347" s="10">
        <f>[18]생산!AX344</f>
        <v>0</v>
      </c>
      <c r="P347" s="10">
        <f>[18]생산!AY344</f>
        <v>0</v>
      </c>
      <c r="Q347" s="10">
        <f>[19]생산!BE344</f>
        <v>0</v>
      </c>
      <c r="R347" s="10">
        <f>[18]생산!BA344</f>
        <v>0</v>
      </c>
      <c r="S347" s="9">
        <f>[18]운전시간외!C344</f>
        <v>20</v>
      </c>
      <c r="T347" s="9">
        <f>[18]운전시간외!D344</f>
        <v>0</v>
      </c>
      <c r="U347" s="9">
        <f>[18]운전시간외!E344</f>
        <v>0</v>
      </c>
      <c r="V347" s="9">
        <f>[18]운전시간외!F344</f>
        <v>0</v>
      </c>
      <c r="W347" s="11">
        <f>[18]생산!E344</f>
        <v>837</v>
      </c>
      <c r="X347" s="11">
        <f>[18]생산!F344</f>
        <v>0</v>
      </c>
      <c r="Y347" s="11">
        <f>[18]생산!G344</f>
        <v>0</v>
      </c>
      <c r="Z347" s="11">
        <f>[18]생산!H344</f>
        <v>0</v>
      </c>
      <c r="AA347" s="11">
        <f>[18]생산!I344</f>
        <v>0</v>
      </c>
      <c r="AB347" s="11">
        <f>[18]생산!J344</f>
        <v>837</v>
      </c>
      <c r="AC347" s="48">
        <f>ROUNDDOWN('[20]2025년'!G343/1000,1)</f>
        <v>44.8</v>
      </c>
    </row>
    <row r="348" spans="1:29">
      <c r="A348" s="6">
        <f t="shared" si="5"/>
        <v>46000</v>
      </c>
      <c r="B348" s="9">
        <f>'[18]key-in(LO)'!Z346</f>
        <v>568</v>
      </c>
      <c r="C348" s="9">
        <f>'[18]key-in(LO)'!AA346</f>
        <v>246482</v>
      </c>
      <c r="D348" s="9">
        <f>'[18]key-in(LO)'!AB346</f>
        <v>238896</v>
      </c>
      <c r="E348" s="9">
        <f>'[18]key-in(LO)'!AC346</f>
        <v>16908.990000000002</v>
      </c>
      <c r="F348" s="9">
        <f>'[18]key-in(LO)'!AD346</f>
        <v>13863.53</v>
      </c>
      <c r="G348" s="9">
        <f>'[18]key-in(LO)'!AE346</f>
        <v>4012.4</v>
      </c>
      <c r="H348" s="9">
        <f>'[18]key-in(LO)'!AF346</f>
        <v>30330</v>
      </c>
      <c r="I348" s="9">
        <f>'[18]key-in(LO)'!AG346</f>
        <v>11101</v>
      </c>
      <c r="J348" s="10">
        <f>'[18]key-in(DCO)'!AN346</f>
        <v>33.51</v>
      </c>
      <c r="K348" s="10">
        <f>'[18]key-in(DCO)'!AO346</f>
        <v>33</v>
      </c>
      <c r="L348" s="9">
        <f>'[18]key-in(DCO)'!AR346</f>
        <v>8619</v>
      </c>
      <c r="M348" s="10">
        <f>[18]생산!AV345</f>
        <v>98792.29999999702</v>
      </c>
      <c r="N348" s="10">
        <f>[18]생산!AW345</f>
        <v>0</v>
      </c>
      <c r="O348" s="10">
        <f>[18]생산!AX345</f>
        <v>0</v>
      </c>
      <c r="P348" s="10">
        <f>[18]생산!AY345</f>
        <v>0</v>
      </c>
      <c r="Q348" s="10">
        <f>[19]생산!BE345</f>
        <v>0</v>
      </c>
      <c r="R348" s="10">
        <f>[18]생산!BA345</f>
        <v>0</v>
      </c>
      <c r="S348" s="9">
        <f>[18]운전시간외!C345</f>
        <v>15</v>
      </c>
      <c r="T348" s="9">
        <f>[18]운전시간외!D345</f>
        <v>0</v>
      </c>
      <c r="U348" s="9">
        <f>[18]운전시간외!E345</f>
        <v>0</v>
      </c>
      <c r="V348" s="9">
        <f>[18]운전시간외!F345</f>
        <v>0</v>
      </c>
      <c r="W348" s="11">
        <f>[18]생산!E345</f>
        <v>619</v>
      </c>
      <c r="X348" s="11">
        <f>[18]생산!F345</f>
        <v>0</v>
      </c>
      <c r="Y348" s="11">
        <f>[18]생산!G345</f>
        <v>0</v>
      </c>
      <c r="Z348" s="11">
        <f>[18]생산!H345</f>
        <v>0</v>
      </c>
      <c r="AA348" s="11">
        <f>[18]생산!I345</f>
        <v>0</v>
      </c>
      <c r="AB348" s="11">
        <f>[18]생산!J345</f>
        <v>619</v>
      </c>
      <c r="AC348" s="48">
        <f>ROUNDDOWN('[20]2025년'!G344/1000,1)</f>
        <v>25.6</v>
      </c>
    </row>
    <row r="349" spans="1:29">
      <c r="A349" s="6">
        <f t="shared" si="5"/>
        <v>46001</v>
      </c>
      <c r="B349" s="9">
        <f>'[18]key-in(LO)'!Z347</f>
        <v>568</v>
      </c>
      <c r="C349" s="9">
        <f>'[18]key-in(LO)'!AA347</f>
        <v>246529</v>
      </c>
      <c r="D349" s="9">
        <f>'[18]key-in(LO)'!AB347</f>
        <v>238896</v>
      </c>
      <c r="E349" s="9">
        <f>'[18]key-in(LO)'!AC347</f>
        <v>16913.34</v>
      </c>
      <c r="F349" s="9">
        <f>'[18]key-in(LO)'!AD347</f>
        <v>13880.37</v>
      </c>
      <c r="G349" s="9">
        <f>'[18]key-in(LO)'!AE347</f>
        <v>4013.5</v>
      </c>
      <c r="H349" s="9">
        <f>'[18]key-in(LO)'!AF347</f>
        <v>30513</v>
      </c>
      <c r="I349" s="9">
        <f>'[18]key-in(LO)'!AG347</f>
        <v>11173</v>
      </c>
      <c r="J349" s="10">
        <f>'[18]key-in(DCO)'!AN347</f>
        <v>33.590000000000003</v>
      </c>
      <c r="K349" s="10">
        <f>'[18]key-in(DCO)'!AO347</f>
        <v>32.979999999999997</v>
      </c>
      <c r="L349" s="9">
        <f>'[18]key-in(DCO)'!AR347</f>
        <v>4815</v>
      </c>
      <c r="M349" s="10">
        <f>[18]생산!AV346</f>
        <v>131662.54999999702</v>
      </c>
      <c r="N349" s="10">
        <f>[18]생산!AW346</f>
        <v>0</v>
      </c>
      <c r="O349" s="10">
        <f>[18]생산!AX346</f>
        <v>0</v>
      </c>
      <c r="P349" s="10">
        <f>[18]생산!AY346</f>
        <v>0</v>
      </c>
      <c r="Q349" s="10">
        <f>[19]생산!BE346</f>
        <v>0</v>
      </c>
      <c r="R349" s="10">
        <f>[18]생산!BA346</f>
        <v>0</v>
      </c>
      <c r="S349" s="9">
        <f>[18]운전시간외!C346</f>
        <v>18</v>
      </c>
      <c r="T349" s="9">
        <f>[18]운전시간외!D346</f>
        <v>0</v>
      </c>
      <c r="U349" s="9">
        <f>[18]운전시간외!E346</f>
        <v>0</v>
      </c>
      <c r="V349" s="9">
        <f>[18]운전시간외!F346</f>
        <v>0</v>
      </c>
      <c r="W349" s="11">
        <f>[18]생산!E346</f>
        <v>847</v>
      </c>
      <c r="X349" s="11">
        <f>[18]생산!F346</f>
        <v>0</v>
      </c>
      <c r="Y349" s="11">
        <f>[18]생산!G346</f>
        <v>0</v>
      </c>
      <c r="Z349" s="11">
        <f>[18]생산!H346</f>
        <v>0</v>
      </c>
      <c r="AA349" s="11">
        <f>[18]생산!I346</f>
        <v>0</v>
      </c>
      <c r="AB349" s="11">
        <f>[18]생산!J346</f>
        <v>847</v>
      </c>
      <c r="AC349" s="48">
        <f>ROUNDDOWN('[20]2025년'!G345/1000,1)</f>
        <v>43.8</v>
      </c>
    </row>
    <row r="350" spans="1:29">
      <c r="A350" s="6">
        <f t="shared" si="5"/>
        <v>46002</v>
      </c>
      <c r="B350" s="9">
        <f>'[18]key-in(LO)'!Z348</f>
        <v>568</v>
      </c>
      <c r="C350" s="9">
        <f>'[18]key-in(LO)'!AA348</f>
        <v>246644</v>
      </c>
      <c r="D350" s="9">
        <f>'[18]key-in(LO)'!AB348</f>
        <v>238956</v>
      </c>
      <c r="E350" s="9">
        <f>'[18]key-in(LO)'!AC348</f>
        <v>16917.919999999998</v>
      </c>
      <c r="F350" s="9">
        <f>'[18]key-in(LO)'!AD348</f>
        <v>13901.29</v>
      </c>
      <c r="G350" s="9">
        <f>'[18]key-in(LO)'!AE348</f>
        <v>4014.4</v>
      </c>
      <c r="H350" s="9">
        <f>'[18]key-in(LO)'!AF348</f>
        <v>30630</v>
      </c>
      <c r="I350" s="9">
        <f>'[18]key-in(LO)'!AG348</f>
        <v>11437</v>
      </c>
      <c r="J350" s="10">
        <f>'[18]key-in(DCO)'!AN348</f>
        <v>33.409999999999997</v>
      </c>
      <c r="K350" s="10">
        <f>'[18]key-in(DCO)'!AO348</f>
        <v>32.94</v>
      </c>
      <c r="L350" s="9">
        <f>'[18]key-in(DCO)'!AR348</f>
        <v>8638</v>
      </c>
      <c r="M350" s="10">
        <f>[18]생산!AV347</f>
        <v>160763.66000000387</v>
      </c>
      <c r="N350" s="10">
        <f>[18]생산!AW347</f>
        <v>0</v>
      </c>
      <c r="O350" s="10">
        <f>[18]생산!AX347</f>
        <v>0</v>
      </c>
      <c r="P350" s="10">
        <f>[18]생산!AY347</f>
        <v>0</v>
      </c>
      <c r="Q350" s="10">
        <f>[19]생산!BE347</f>
        <v>0</v>
      </c>
      <c r="R350" s="10">
        <f>[18]생산!BA347</f>
        <v>0</v>
      </c>
      <c r="S350" s="9">
        <f>[18]운전시간외!C347</f>
        <v>21</v>
      </c>
      <c r="T350" s="9">
        <f>[18]운전시간외!D347</f>
        <v>0</v>
      </c>
      <c r="U350" s="9">
        <f>[18]운전시간외!E347</f>
        <v>0</v>
      </c>
      <c r="V350" s="9">
        <f>[18]운전시간외!F347</f>
        <v>0</v>
      </c>
      <c r="W350" s="11">
        <f>[18]생산!E347</f>
        <v>991</v>
      </c>
      <c r="X350" s="11">
        <f>[18]생산!F347</f>
        <v>0</v>
      </c>
      <c r="Y350" s="11">
        <f>[18]생산!G347</f>
        <v>0</v>
      </c>
      <c r="Z350" s="11">
        <f>[18]생산!H347</f>
        <v>0</v>
      </c>
      <c r="AA350" s="11">
        <f>[18]생산!I347</f>
        <v>0</v>
      </c>
      <c r="AB350" s="11">
        <f>[18]생산!J347</f>
        <v>991</v>
      </c>
      <c r="AC350" s="48">
        <f>ROUNDDOWN('[20]2025년'!G346/1000,1)</f>
        <v>53.7</v>
      </c>
    </row>
    <row r="351" spans="1:29">
      <c r="A351" s="6">
        <f t="shared" si="5"/>
        <v>46003</v>
      </c>
      <c r="B351" s="9">
        <f>'[18]key-in(LO)'!Z349</f>
        <v>568</v>
      </c>
      <c r="C351" s="9">
        <f>'[18]key-in(LO)'!AA349</f>
        <v>246680</v>
      </c>
      <c r="D351" s="9">
        <f>'[18]key-in(LO)'!AB349</f>
        <v>238968</v>
      </c>
      <c r="E351" s="9">
        <f>'[18]key-in(LO)'!AC349</f>
        <v>16923.55</v>
      </c>
      <c r="F351" s="9">
        <f>'[18]key-in(LO)'!AD349</f>
        <v>13919.83</v>
      </c>
      <c r="G351" s="9">
        <f>'[18]key-in(LO)'!AE349</f>
        <v>4015.1</v>
      </c>
      <c r="H351" s="9">
        <f>'[18]key-in(LO)'!AF349</f>
        <v>30705</v>
      </c>
      <c r="I351" s="9">
        <f>'[18]key-in(LO)'!AG349</f>
        <v>11553</v>
      </c>
      <c r="J351" s="10">
        <f>'[18]key-in(DCO)'!AN349</f>
        <v>33.81</v>
      </c>
      <c r="K351" s="10">
        <f>'[18]key-in(DCO)'!AO349</f>
        <v>33.06</v>
      </c>
      <c r="L351" s="9">
        <f>'[18]key-in(DCO)'!AR349</f>
        <v>8444</v>
      </c>
      <c r="M351" s="10">
        <f>[18]생산!AV348</f>
        <v>143627.8599999994</v>
      </c>
      <c r="N351" s="10">
        <f>[18]생산!AW348</f>
        <v>0</v>
      </c>
      <c r="O351" s="10">
        <f>[18]생산!AX348</f>
        <v>0</v>
      </c>
      <c r="P351" s="10">
        <f>[18]생산!AY348</f>
        <v>0</v>
      </c>
      <c r="Q351" s="10">
        <f>[19]생산!BE348</f>
        <v>0</v>
      </c>
      <c r="R351" s="10">
        <f>[18]생산!BA348</f>
        <v>0</v>
      </c>
      <c r="S351" s="9">
        <f>[18]운전시간외!C348</f>
        <v>18</v>
      </c>
      <c r="T351" s="9">
        <f>[18]운전시간외!D348</f>
        <v>0</v>
      </c>
      <c r="U351" s="9">
        <f>[18]운전시간외!E348</f>
        <v>0</v>
      </c>
      <c r="V351" s="9">
        <f>[18]운전시간외!F348</f>
        <v>0</v>
      </c>
      <c r="W351" s="11">
        <f>[18]생산!E348</f>
        <v>907</v>
      </c>
      <c r="X351" s="11">
        <f>[18]생산!F348</f>
        <v>0</v>
      </c>
      <c r="Y351" s="11">
        <f>[18]생산!G348</f>
        <v>0</v>
      </c>
      <c r="Z351" s="11">
        <f>[18]생산!H348</f>
        <v>0</v>
      </c>
      <c r="AA351" s="11">
        <f>[18]생산!I348</f>
        <v>0</v>
      </c>
      <c r="AB351" s="11">
        <f>[18]생산!J348</f>
        <v>907</v>
      </c>
      <c r="AC351" s="48">
        <f>ROUNDDOWN('[20]2025년'!G347/1000,1)</f>
        <v>41.4</v>
      </c>
    </row>
    <row r="352" spans="1:29">
      <c r="A352" s="6">
        <f t="shared" si="5"/>
        <v>46004</v>
      </c>
      <c r="B352" s="9">
        <f>'[18]key-in(LO)'!Z350</f>
        <v>568</v>
      </c>
      <c r="C352" s="9">
        <f>'[18]key-in(LO)'!AA350</f>
        <v>246680</v>
      </c>
      <c r="D352" s="9">
        <f>'[18]key-in(LO)'!AB350</f>
        <v>238993</v>
      </c>
      <c r="E352" s="9">
        <f>'[18]key-in(LO)'!AC350</f>
        <v>16926.75</v>
      </c>
      <c r="F352" s="9">
        <f>'[18]key-in(LO)'!AD350</f>
        <v>13928.26</v>
      </c>
      <c r="G352" s="9">
        <f>'[18]key-in(LO)'!AE350</f>
        <v>4015.7</v>
      </c>
      <c r="H352" s="9">
        <f>'[18]key-in(LO)'!AF350</f>
        <v>30752</v>
      </c>
      <c r="I352" s="9">
        <f>'[18]key-in(LO)'!AG350</f>
        <v>11622</v>
      </c>
      <c r="J352" s="10">
        <f>'[18]key-in(DCO)'!AN350</f>
        <v>33.67</v>
      </c>
      <c r="K352" s="10">
        <f>'[18]key-in(DCO)'!AO350</f>
        <v>33.03</v>
      </c>
      <c r="L352" s="9">
        <f>'[18]key-in(DCO)'!AR350</f>
        <v>8171</v>
      </c>
      <c r="M352" s="10">
        <f>[18]생산!AV349</f>
        <v>69954.85000000149</v>
      </c>
      <c r="N352" s="10">
        <f>[18]생산!AW349</f>
        <v>0</v>
      </c>
      <c r="O352" s="10">
        <f>[18]생산!AX349</f>
        <v>0</v>
      </c>
      <c r="P352" s="10">
        <f>[18]생산!AY349</f>
        <v>0</v>
      </c>
      <c r="Q352" s="10">
        <f>[19]생산!BE349</f>
        <v>0</v>
      </c>
      <c r="R352" s="10">
        <f>[18]생산!BA349</f>
        <v>0</v>
      </c>
      <c r="S352" s="9">
        <f>[18]운전시간외!C349</f>
        <v>11</v>
      </c>
      <c r="T352" s="9">
        <f>[18]운전시간외!D349</f>
        <v>0</v>
      </c>
      <c r="U352" s="9">
        <f>[18]운전시간외!E349</f>
        <v>0</v>
      </c>
      <c r="V352" s="9">
        <f>[18]운전시간외!F349</f>
        <v>0</v>
      </c>
      <c r="W352" s="11">
        <f>[18]생산!E349</f>
        <v>446</v>
      </c>
      <c r="X352" s="11">
        <f>[18]생산!F349</f>
        <v>0</v>
      </c>
      <c r="Y352" s="11">
        <f>[18]생산!G349</f>
        <v>0</v>
      </c>
      <c r="Z352" s="11">
        <f>[18]생산!H349</f>
        <v>0</v>
      </c>
      <c r="AA352" s="11">
        <f>[18]생산!I349</f>
        <v>0</v>
      </c>
      <c r="AB352" s="11">
        <f>[18]생산!J349</f>
        <v>446</v>
      </c>
      <c r="AC352" s="48">
        <f>ROUNDDOWN('[20]2025년'!G348/1000,1)</f>
        <v>16.5</v>
      </c>
    </row>
    <row r="353" spans="1:29">
      <c r="A353" s="6">
        <f t="shared" si="5"/>
        <v>46005</v>
      </c>
      <c r="B353" s="9">
        <f>'[18]key-in(LO)'!Z351</f>
        <v>568</v>
      </c>
      <c r="C353" s="9">
        <f>'[18]key-in(LO)'!AA351</f>
        <v>246680</v>
      </c>
      <c r="D353" s="9">
        <f>'[18]key-in(LO)'!AB351</f>
        <v>239094</v>
      </c>
      <c r="E353" s="9">
        <f>'[18]key-in(LO)'!AC351</f>
        <v>16929.59</v>
      </c>
      <c r="F353" s="9">
        <f>'[18]key-in(LO)'!AD351</f>
        <v>13938.51</v>
      </c>
      <c r="G353" s="9">
        <f>'[18]key-in(LO)'!AE351</f>
        <v>4016.7</v>
      </c>
      <c r="H353" s="9">
        <f>'[18]key-in(LO)'!AF351</f>
        <v>30905</v>
      </c>
      <c r="I353" s="9">
        <f>'[18]key-in(LO)'!AG351</f>
        <v>11826</v>
      </c>
      <c r="J353" s="10">
        <f>'[18]key-in(DCO)'!AN351</f>
        <v>33.46</v>
      </c>
      <c r="K353" s="10">
        <f>'[18]key-in(DCO)'!AO351</f>
        <v>32.97</v>
      </c>
      <c r="L353" s="9">
        <f>'[18]key-in(DCO)'!AR351</f>
        <v>8515</v>
      </c>
      <c r="M353" s="10">
        <f>[18]생산!AV350</f>
        <v>70998.609999999404</v>
      </c>
      <c r="N353" s="10">
        <f>[18]생산!AW350</f>
        <v>0</v>
      </c>
      <c r="O353" s="10">
        <f>[18]생산!AX350</f>
        <v>0</v>
      </c>
      <c r="P353" s="10">
        <f>[18]생산!AY350</f>
        <v>0</v>
      </c>
      <c r="Q353" s="10">
        <f>[19]생산!BE350</f>
        <v>0</v>
      </c>
      <c r="R353" s="10">
        <f>[18]생산!BA350</f>
        <v>0</v>
      </c>
      <c r="S353" s="9">
        <f>[18]운전시간외!C350</f>
        <v>10</v>
      </c>
      <c r="T353" s="9">
        <f>[18]운전시간외!D350</f>
        <v>0</v>
      </c>
      <c r="U353" s="9">
        <f>[18]운전시간외!E350</f>
        <v>0</v>
      </c>
      <c r="V353" s="9">
        <f>[18]운전시간외!F350</f>
        <v>0</v>
      </c>
      <c r="W353" s="11">
        <f>[18]생산!E350</f>
        <v>448</v>
      </c>
      <c r="X353" s="11">
        <f>[18]생산!F350</f>
        <v>0</v>
      </c>
      <c r="Y353" s="11">
        <f>[18]생산!G350</f>
        <v>0</v>
      </c>
      <c r="Z353" s="11">
        <f>[18]생산!H350</f>
        <v>0</v>
      </c>
      <c r="AA353" s="11">
        <f>[18]생산!I350</f>
        <v>0</v>
      </c>
      <c r="AB353" s="11">
        <f>[18]생산!J350</f>
        <v>448</v>
      </c>
      <c r="AC353" s="48">
        <f>ROUNDDOWN('[20]2025년'!G349/1000,1)</f>
        <v>20.100000000000001</v>
      </c>
    </row>
    <row r="354" spans="1:29">
      <c r="A354" s="6">
        <f t="shared" si="5"/>
        <v>46006</v>
      </c>
      <c r="B354" s="9">
        <f>'[18]key-in(LO)'!Z352</f>
        <v>593.4</v>
      </c>
      <c r="C354" s="9">
        <f>'[18]key-in(LO)'!AA352</f>
        <v>246782</v>
      </c>
      <c r="D354" s="9">
        <f>'[18]key-in(LO)'!AB352</f>
        <v>239128</v>
      </c>
      <c r="E354" s="9">
        <f>'[18]key-in(LO)'!AC352</f>
        <v>16935.66</v>
      </c>
      <c r="F354" s="9">
        <f>'[18]key-in(LO)'!AD352</f>
        <v>13956.63</v>
      </c>
      <c r="G354" s="9">
        <f>'[18]key-in(LO)'!AE352</f>
        <v>4017.5</v>
      </c>
      <c r="H354" s="9">
        <f>'[18]key-in(LO)'!AF352</f>
        <v>30905</v>
      </c>
      <c r="I354" s="9">
        <f>'[18]key-in(LO)'!AG352</f>
        <v>12249</v>
      </c>
      <c r="J354" s="10">
        <f>'[18]key-in(DCO)'!AN352</f>
        <v>33.17</v>
      </c>
      <c r="K354" s="10">
        <f>'[18]key-in(DCO)'!AO352</f>
        <v>33.049999999999997</v>
      </c>
      <c r="L354" s="9">
        <f>'[18]key-in(DCO)'!AR352</f>
        <v>8598</v>
      </c>
      <c r="M354" s="10">
        <f>[18]생산!AV351</f>
        <v>140383.18999999762</v>
      </c>
      <c r="N354" s="10">
        <f>[18]생산!AW351</f>
        <v>0</v>
      </c>
      <c r="O354" s="10">
        <f>[18]생산!AX351</f>
        <v>0</v>
      </c>
      <c r="P354" s="10">
        <f>[18]생산!AY351</f>
        <v>0</v>
      </c>
      <c r="Q354" s="10">
        <f>[19]생산!BE351</f>
        <v>0</v>
      </c>
      <c r="R354" s="10">
        <f>[18]생산!BA351</f>
        <v>0</v>
      </c>
      <c r="S354" s="9">
        <f>[18]운전시간외!C351</f>
        <v>19</v>
      </c>
      <c r="T354" s="9">
        <f>[18]운전시간외!D351</f>
        <v>0</v>
      </c>
      <c r="U354" s="9">
        <f>[18]운전시간외!E351</f>
        <v>0</v>
      </c>
      <c r="V354" s="9">
        <f>[18]운전시간외!F351</f>
        <v>0</v>
      </c>
      <c r="W354" s="11">
        <f>[18]생산!E351</f>
        <v>887</v>
      </c>
      <c r="X354" s="11">
        <f>[18]생산!F351</f>
        <v>0</v>
      </c>
      <c r="Y354" s="11">
        <f>[18]생산!G351</f>
        <v>0</v>
      </c>
      <c r="Z354" s="11">
        <f>[18]생산!H351</f>
        <v>0</v>
      </c>
      <c r="AA354" s="11">
        <f>[18]생산!I351</f>
        <v>0</v>
      </c>
      <c r="AB354" s="11">
        <f>[18]생산!J351</f>
        <v>887</v>
      </c>
      <c r="AC354" s="48">
        <f>ROUNDDOWN('[20]2025년'!G350/1000,1)</f>
        <v>46.5</v>
      </c>
    </row>
    <row r="355" spans="1:29">
      <c r="A355" s="6">
        <f t="shared" si="5"/>
        <v>46007</v>
      </c>
      <c r="B355" s="9">
        <f>'[18]key-in(LO)'!Z353</f>
        <v>593.4</v>
      </c>
      <c r="C355" s="9">
        <f>'[18]key-in(LO)'!AA353</f>
        <v>246827</v>
      </c>
      <c r="D355" s="9">
        <f>'[18]key-in(LO)'!AB353</f>
        <v>239202</v>
      </c>
      <c r="E355" s="9">
        <f>'[18]key-in(LO)'!AC353</f>
        <v>16940.93</v>
      </c>
      <c r="F355" s="9">
        <f>'[18]key-in(LO)'!AD353</f>
        <v>13978.7</v>
      </c>
      <c r="G355" s="9">
        <f>'[18]key-in(LO)'!AE353</f>
        <v>4018.7</v>
      </c>
      <c r="H355" s="9">
        <f>'[18]key-in(LO)'!AF353</f>
        <v>31100</v>
      </c>
      <c r="I355" s="9">
        <f>'[18]key-in(LO)'!AG353</f>
        <v>12037</v>
      </c>
      <c r="J355" s="10">
        <f>'[18]key-in(DCO)'!AN353</f>
        <v>33.56</v>
      </c>
      <c r="K355" s="10">
        <f>'[18]key-in(DCO)'!AO353</f>
        <v>33.049999999999997</v>
      </c>
      <c r="L355" s="9">
        <f>'[18]key-in(DCO)'!AR353</f>
        <v>8526</v>
      </c>
      <c r="M355" s="10">
        <f>[18]생산!AV352</f>
        <v>178242.17000000179</v>
      </c>
      <c r="N355" s="10">
        <f>[18]생산!AW352</f>
        <v>0</v>
      </c>
      <c r="O355" s="10">
        <f>[18]생산!AX352</f>
        <v>0</v>
      </c>
      <c r="P355" s="10">
        <f>[18]생산!AY352</f>
        <v>0</v>
      </c>
      <c r="Q355" s="10">
        <f>[19]생산!BE352</f>
        <v>0</v>
      </c>
      <c r="R355" s="10">
        <f>[18]생산!BA352</f>
        <v>0</v>
      </c>
      <c r="S355" s="9">
        <f>[18]운전시간외!C352</f>
        <v>24</v>
      </c>
      <c r="T355" s="9">
        <f>[18]운전시간외!D352</f>
        <v>0</v>
      </c>
      <c r="U355" s="9">
        <f>[18]운전시간외!E352</f>
        <v>0</v>
      </c>
      <c r="V355" s="9">
        <f>[18]운전시간외!F352</f>
        <v>0</v>
      </c>
      <c r="W355" s="11">
        <f>[18]생산!E352</f>
        <v>1135</v>
      </c>
      <c r="X355" s="11">
        <f>[18]생산!F352</f>
        <v>0</v>
      </c>
      <c r="Y355" s="11">
        <f>[18]생산!G352</f>
        <v>0</v>
      </c>
      <c r="Z355" s="11">
        <f>[18]생산!H352</f>
        <v>0</v>
      </c>
      <c r="AA355" s="11">
        <f>[18]생산!I352</f>
        <v>0</v>
      </c>
      <c r="AB355" s="11">
        <f>[18]생산!J352</f>
        <v>1135</v>
      </c>
      <c r="AC355" s="48">
        <f>ROUNDDOWN('[20]2025년'!G351/1000,1)</f>
        <v>49.4</v>
      </c>
    </row>
    <row r="356" spans="1:29">
      <c r="A356" s="6">
        <f t="shared" si="5"/>
        <v>46008</v>
      </c>
      <c r="B356" s="9">
        <f>'[18]key-in(LO)'!Z354</f>
        <v>616.29999999999995</v>
      </c>
      <c r="C356" s="9">
        <f>'[18]key-in(LO)'!AA354</f>
        <v>246896</v>
      </c>
      <c r="D356" s="9">
        <f>'[18]key-in(LO)'!AB354</f>
        <v>239202</v>
      </c>
      <c r="E356" s="9">
        <f>'[18]key-in(LO)'!AC354</f>
        <v>16945.29</v>
      </c>
      <c r="F356" s="9">
        <f>'[18]key-in(LO)'!AD354</f>
        <v>13996.78</v>
      </c>
      <c r="G356" s="9">
        <f>'[18]key-in(LO)'!AE354</f>
        <v>4019.8</v>
      </c>
      <c r="H356" s="9">
        <f>'[18]key-in(LO)'!AF354</f>
        <v>31206</v>
      </c>
      <c r="I356" s="9">
        <f>'[18]key-in(LO)'!AG354</f>
        <v>12397</v>
      </c>
      <c r="J356" s="10">
        <f>'[18]key-in(DCO)'!AN354</f>
        <v>33.6</v>
      </c>
      <c r="K356" s="10">
        <f>'[18]key-in(DCO)'!AO354</f>
        <v>33.049999999999997</v>
      </c>
      <c r="L356" s="9">
        <f>'[18]key-in(DCO)'!AR354</f>
        <v>8158</v>
      </c>
      <c r="M356" s="10">
        <f>[18]생산!AV353</f>
        <v>139779.90999999642</v>
      </c>
      <c r="N356" s="10">
        <f>[18]생산!AW353</f>
        <v>0</v>
      </c>
      <c r="O356" s="10">
        <f>[18]생산!AX353</f>
        <v>0</v>
      </c>
      <c r="P356" s="10">
        <f>[18]생산!AY353</f>
        <v>0</v>
      </c>
      <c r="Q356" s="10">
        <f>[19]생산!BE353</f>
        <v>0</v>
      </c>
      <c r="R356" s="10">
        <f>[18]생산!BA353</f>
        <v>0</v>
      </c>
      <c r="S356" s="9">
        <f>[18]운전시간외!C353</f>
        <v>19</v>
      </c>
      <c r="T356" s="9">
        <f>[18]운전시간외!D353</f>
        <v>0</v>
      </c>
      <c r="U356" s="9">
        <f>[18]운전시간외!E353</f>
        <v>0</v>
      </c>
      <c r="V356" s="9">
        <f>[18]운전시간외!F353</f>
        <v>0</v>
      </c>
      <c r="W356" s="11">
        <f>[18]생산!E353</f>
        <v>894</v>
      </c>
      <c r="X356" s="11">
        <f>[18]생산!F353</f>
        <v>0</v>
      </c>
      <c r="Y356" s="11">
        <f>[18]생산!G353</f>
        <v>0</v>
      </c>
      <c r="Z356" s="11">
        <f>[18]생산!H353</f>
        <v>0</v>
      </c>
      <c r="AA356" s="11">
        <f>[18]생산!I353</f>
        <v>0</v>
      </c>
      <c r="AB356" s="11">
        <f>[18]생산!J353</f>
        <v>894</v>
      </c>
      <c r="AC356" s="48">
        <f>ROUNDDOWN('[20]2025년'!G352/1000,1)</f>
        <v>43.9</v>
      </c>
    </row>
    <row r="357" spans="1:29">
      <c r="A357" s="6">
        <f t="shared" si="5"/>
        <v>46009</v>
      </c>
      <c r="B357" s="9">
        <f>'[18]key-in(LO)'!Z355</f>
        <v>651.20000000000005</v>
      </c>
      <c r="C357" s="9">
        <f>'[18]key-in(LO)'!AA355</f>
        <v>246982</v>
      </c>
      <c r="D357" s="9">
        <f>'[18]key-in(LO)'!AB355</f>
        <v>239260</v>
      </c>
      <c r="E357" s="9">
        <f>'[18]key-in(LO)'!AC355</f>
        <v>16949.62</v>
      </c>
      <c r="F357" s="9">
        <f>'[18]key-in(LO)'!AD355</f>
        <v>14015.55</v>
      </c>
      <c r="G357" s="9">
        <f>'[18]key-in(LO)'!AE355</f>
        <v>4020.8</v>
      </c>
      <c r="H357" s="9">
        <f>'[18]key-in(LO)'!AF355</f>
        <v>31329</v>
      </c>
      <c r="I357" s="9">
        <f>'[18]key-in(LO)'!AG355</f>
        <v>12598</v>
      </c>
      <c r="J357" s="10">
        <f>'[18]key-in(DCO)'!AN355</f>
        <v>33.6</v>
      </c>
      <c r="K357" s="10">
        <f>'[18]key-in(DCO)'!AO355</f>
        <v>33.159999999999997</v>
      </c>
      <c r="L357" s="9">
        <f>'[18]key-in(DCO)'!AR355</f>
        <v>8077</v>
      </c>
      <c r="M357" s="10">
        <f>[18]생산!AV354</f>
        <v>141729.70000000298</v>
      </c>
      <c r="N357" s="10">
        <f>[18]생산!AW354</f>
        <v>0</v>
      </c>
      <c r="O357" s="10">
        <f>[18]생산!AX354</f>
        <v>0</v>
      </c>
      <c r="P357" s="10">
        <f>[18]생산!AY354</f>
        <v>0</v>
      </c>
      <c r="Q357" s="10">
        <f>[19]생산!BE354</f>
        <v>0</v>
      </c>
      <c r="R357" s="10">
        <f>[18]생산!BA354</f>
        <v>0</v>
      </c>
      <c r="S357" s="9">
        <f>[18]운전시간외!C354</f>
        <v>19</v>
      </c>
      <c r="T357" s="9">
        <f>[18]운전시간외!D354</f>
        <v>0</v>
      </c>
      <c r="U357" s="9">
        <f>[18]운전시간외!E354</f>
        <v>0</v>
      </c>
      <c r="V357" s="9">
        <f>[18]운전시간외!F354</f>
        <v>0</v>
      </c>
      <c r="W357" s="11">
        <f>[18]생산!E354</f>
        <v>905</v>
      </c>
      <c r="X357" s="11">
        <f>[18]생산!F354</f>
        <v>0</v>
      </c>
      <c r="Y357" s="11">
        <f>[18]생산!G354</f>
        <v>0</v>
      </c>
      <c r="Z357" s="11">
        <f>[18]생산!H354</f>
        <v>0</v>
      </c>
      <c r="AA357" s="11">
        <f>[18]생산!I354</f>
        <v>0</v>
      </c>
      <c r="AB357" s="11">
        <f>[18]생산!J354</f>
        <v>905</v>
      </c>
      <c r="AC357" s="48">
        <f>ROUNDDOWN('[20]2025년'!G353/1000,1)</f>
        <v>42.5</v>
      </c>
    </row>
    <row r="358" spans="1:29">
      <c r="A358" s="6">
        <f t="shared" si="5"/>
        <v>46010</v>
      </c>
      <c r="B358" s="9">
        <f>'[18]key-in(LO)'!Z356</f>
        <v>651.20000000000005</v>
      </c>
      <c r="C358" s="9">
        <f>'[18]key-in(LO)'!AA356</f>
        <v>247053</v>
      </c>
      <c r="D358" s="9">
        <f>'[18]key-in(LO)'!AB356</f>
        <v>239280</v>
      </c>
      <c r="E358" s="9">
        <f>'[18]key-in(LO)'!AC356</f>
        <v>16954.650000000001</v>
      </c>
      <c r="F358" s="9">
        <f>'[18]key-in(LO)'!AD356</f>
        <v>14033.17</v>
      </c>
      <c r="G358" s="9">
        <f>'[18]key-in(LO)'!AE356</f>
        <v>4021.6</v>
      </c>
      <c r="H358" s="9">
        <f>'[18]key-in(LO)'!AF356</f>
        <v>31433</v>
      </c>
      <c r="I358" s="9">
        <f>'[18]key-in(LO)'!AG356</f>
        <v>12794</v>
      </c>
      <c r="J358" s="10">
        <f>'[18]key-in(DCO)'!AN356</f>
        <v>33.729999999999997</v>
      </c>
      <c r="K358" s="10">
        <f>'[18]key-in(DCO)'!AO356</f>
        <v>33.1</v>
      </c>
      <c r="L358" s="9">
        <f>'[18]key-in(DCO)'!AR356</f>
        <v>6841</v>
      </c>
      <c r="M358" s="10">
        <f>[18]생산!AV355</f>
        <v>138293.6099999994</v>
      </c>
      <c r="N358" s="10">
        <f>[18]생산!AW355</f>
        <v>0</v>
      </c>
      <c r="O358" s="10">
        <f>[18]생산!AX355</f>
        <v>0</v>
      </c>
      <c r="P358" s="10">
        <f>[18]생산!AY355</f>
        <v>0</v>
      </c>
      <c r="Q358" s="10">
        <f>[19]생산!BE355</f>
        <v>0</v>
      </c>
      <c r="R358" s="10">
        <f>[18]생산!BA355</f>
        <v>0</v>
      </c>
      <c r="S358" s="9">
        <f>[18]운전시간외!C355</f>
        <v>19</v>
      </c>
      <c r="T358" s="9">
        <f>[18]운전시간외!D355</f>
        <v>0</v>
      </c>
      <c r="U358" s="9">
        <f>[18]운전시간외!E355</f>
        <v>0</v>
      </c>
      <c r="V358" s="9">
        <f>[18]운전시간외!F355</f>
        <v>0</v>
      </c>
      <c r="W358" s="11">
        <f>[18]생산!E355</f>
        <v>880</v>
      </c>
      <c r="X358" s="11">
        <f>[18]생산!F355</f>
        <v>0</v>
      </c>
      <c r="Y358" s="11">
        <f>[18]생산!G355</f>
        <v>0</v>
      </c>
      <c r="Z358" s="11">
        <f>[18]생산!H355</f>
        <v>0</v>
      </c>
      <c r="AA358" s="11">
        <f>[18]생산!I355</f>
        <v>0</v>
      </c>
      <c r="AB358" s="11">
        <f>[18]생산!J355</f>
        <v>880</v>
      </c>
      <c r="AC358" s="48">
        <f>ROUNDDOWN('[20]2025년'!G354/1000,1)</f>
        <v>48.1</v>
      </c>
    </row>
    <row r="359" spans="1:29">
      <c r="A359" s="6">
        <f t="shared" si="5"/>
        <v>46011</v>
      </c>
      <c r="B359" s="9">
        <f>'[18]key-in(LO)'!Z357</f>
        <v>651.20000000000005</v>
      </c>
      <c r="C359" s="9">
        <f>'[18]key-in(LO)'!AA357</f>
        <v>247133</v>
      </c>
      <c r="D359" s="9">
        <f>'[18]key-in(LO)'!AB357</f>
        <v>239286</v>
      </c>
      <c r="E359" s="9">
        <f>'[18]key-in(LO)'!AC357</f>
        <v>16956.8</v>
      </c>
      <c r="F359" s="9">
        <f>'[18]key-in(LO)'!AD357</f>
        <v>14042.25</v>
      </c>
      <c r="G359" s="9">
        <f>'[18]key-in(LO)'!AE357</f>
        <v>4022.9</v>
      </c>
      <c r="H359" s="9">
        <f>'[18]key-in(LO)'!AF357</f>
        <v>31617</v>
      </c>
      <c r="I359" s="9">
        <f>'[18]key-in(LO)'!AG357</f>
        <v>12946</v>
      </c>
      <c r="J359" s="10">
        <f>'[18]key-in(DCO)'!AN357</f>
        <v>33.65</v>
      </c>
      <c r="K359" s="10">
        <f>'[18]key-in(DCO)'!AO357</f>
        <v>33.090000000000003</v>
      </c>
      <c r="L359" s="9">
        <f>'[18]key-in(DCO)'!AR357</f>
        <v>8682</v>
      </c>
      <c r="M359" s="10">
        <f>[18]생산!AV356</f>
        <v>43357.329999998212</v>
      </c>
      <c r="N359" s="10">
        <f>[18]생산!AW356</f>
        <v>0</v>
      </c>
      <c r="O359" s="10">
        <f>[18]생산!AX356</f>
        <v>0</v>
      </c>
      <c r="P359" s="10">
        <f>[18]생산!AY356</f>
        <v>0</v>
      </c>
      <c r="Q359" s="10">
        <f>[19]생산!BE356</f>
        <v>0</v>
      </c>
      <c r="R359" s="10">
        <f>[18]생산!BA356</f>
        <v>0</v>
      </c>
      <c r="S359" s="9">
        <f>[18]운전시간외!C356</f>
        <v>8</v>
      </c>
      <c r="T359" s="9">
        <f>[18]운전시간외!D356</f>
        <v>0</v>
      </c>
      <c r="U359" s="9">
        <f>[18]운전시간외!E356</f>
        <v>0</v>
      </c>
      <c r="V359" s="9">
        <f>[18]운전시간외!F356</f>
        <v>0</v>
      </c>
      <c r="W359" s="11">
        <f>[18]생산!E356</f>
        <v>271</v>
      </c>
      <c r="X359" s="11">
        <f>[18]생산!F356</f>
        <v>0</v>
      </c>
      <c r="Y359" s="11">
        <f>[18]생산!G356</f>
        <v>0</v>
      </c>
      <c r="Z359" s="11">
        <f>[18]생산!H356</f>
        <v>0</v>
      </c>
      <c r="AA359" s="11">
        <f>[18]생산!I356</f>
        <v>0</v>
      </c>
      <c r="AB359" s="11">
        <f>[18]생산!J356</f>
        <v>271</v>
      </c>
      <c r="AC359" s="48">
        <f>ROUNDDOWN('[20]2025년'!G355/1000,1)</f>
        <v>11.5</v>
      </c>
    </row>
    <row r="360" spans="1:29">
      <c r="A360" s="6">
        <f t="shared" si="5"/>
        <v>46012</v>
      </c>
      <c r="B360" s="9">
        <f>'[18]key-in(LO)'!Z358</f>
        <v>651.20000000000005</v>
      </c>
      <c r="C360" s="9">
        <f>'[18]key-in(LO)'!AA358</f>
        <v>247133</v>
      </c>
      <c r="D360" s="9">
        <f>'[18]key-in(LO)'!AB358</f>
        <v>239286</v>
      </c>
      <c r="E360" s="9">
        <f>'[18]key-in(LO)'!AC358</f>
        <v>16959.16</v>
      </c>
      <c r="F360" s="9">
        <f>'[18]key-in(LO)'!AD358</f>
        <v>14051.45</v>
      </c>
      <c r="G360" s="9">
        <f>'[18]key-in(LO)'!AE358</f>
        <v>4023.6</v>
      </c>
      <c r="H360" s="9">
        <f>'[18]key-in(LO)'!AF358</f>
        <v>31685</v>
      </c>
      <c r="I360" s="9">
        <f>'[18]key-in(LO)'!AG358</f>
        <v>12969</v>
      </c>
      <c r="J360" s="10">
        <f>'[18]key-in(DCO)'!AN358</f>
        <v>33.64</v>
      </c>
      <c r="K360" s="10">
        <f>'[18]key-in(DCO)'!AO358</f>
        <v>33.119999999999997</v>
      </c>
      <c r="L360" s="9">
        <f>'[18]key-in(DCO)'!AR358</f>
        <v>8067</v>
      </c>
      <c r="M360" s="10">
        <f>[18]생산!AV357</f>
        <v>58833.840000003576</v>
      </c>
      <c r="N360" s="10">
        <f>[18]생산!AW357</f>
        <v>0</v>
      </c>
      <c r="O360" s="10">
        <f>[18]생산!AX357</f>
        <v>0</v>
      </c>
      <c r="P360" s="10">
        <f>[18]생산!AY357</f>
        <v>0</v>
      </c>
      <c r="Q360" s="10">
        <f>[19]생산!BE357</f>
        <v>0</v>
      </c>
      <c r="R360" s="10">
        <f>[18]생산!BA357</f>
        <v>0</v>
      </c>
      <c r="S360" s="9">
        <f>[18]운전시간외!C357</f>
        <v>10</v>
      </c>
      <c r="T360" s="9">
        <f>[18]운전시간외!D357</f>
        <v>0</v>
      </c>
      <c r="U360" s="9">
        <f>[18]운전시간외!E357</f>
        <v>0</v>
      </c>
      <c r="V360" s="9">
        <f>[18]운전시간외!F357</f>
        <v>0</v>
      </c>
      <c r="W360" s="11">
        <f>[18]생산!E357</f>
        <v>367</v>
      </c>
      <c r="X360" s="11">
        <f>[18]생산!F357</f>
        <v>0</v>
      </c>
      <c r="Y360" s="11">
        <f>[18]생산!G357</f>
        <v>0</v>
      </c>
      <c r="Z360" s="11">
        <f>[18]생산!H357</f>
        <v>0</v>
      </c>
      <c r="AA360" s="11">
        <f>[18]생산!I357</f>
        <v>0</v>
      </c>
      <c r="AB360" s="11">
        <f>[18]생산!J357</f>
        <v>367</v>
      </c>
      <c r="AC360" s="48">
        <f>ROUNDDOWN('[20]2025년'!G356/1000,1)</f>
        <v>23</v>
      </c>
    </row>
    <row r="361" spans="1:29">
      <c r="A361" s="6">
        <f t="shared" si="5"/>
        <v>46013</v>
      </c>
      <c r="B361" s="9">
        <f>'[18]key-in(LO)'!Z359</f>
        <v>651.20000000000005</v>
      </c>
      <c r="C361" s="9">
        <f>'[18]key-in(LO)'!AA359</f>
        <v>247211</v>
      </c>
      <c r="D361" s="9">
        <f>'[18]key-in(LO)'!AB359</f>
        <v>239326</v>
      </c>
      <c r="E361" s="9">
        <f>'[18]key-in(LO)'!AC359</f>
        <v>16963.32</v>
      </c>
      <c r="F361" s="9">
        <f>'[18]key-in(LO)'!AD359</f>
        <v>14074.35</v>
      </c>
      <c r="G361" s="9">
        <f>'[18]key-in(LO)'!AE359</f>
        <v>4024.6</v>
      </c>
      <c r="H361" s="9">
        <f>'[18]key-in(LO)'!AF359</f>
        <v>31847</v>
      </c>
      <c r="I361" s="9">
        <f>'[18]key-in(LO)'!AG359</f>
        <v>13212</v>
      </c>
      <c r="J361" s="10">
        <f>'[18]key-in(DCO)'!AN359</f>
        <v>33.369999999999997</v>
      </c>
      <c r="K361" s="10">
        <f>'[18]key-in(DCO)'!AO359</f>
        <v>33.119999999999997</v>
      </c>
      <c r="L361" s="9">
        <f>'[18]key-in(DCO)'!AR359</f>
        <v>8575</v>
      </c>
      <c r="M361" s="10">
        <f>[18]생산!AV358</f>
        <v>180382.43999999762</v>
      </c>
      <c r="N361" s="10">
        <f>[18]생산!AW358</f>
        <v>0</v>
      </c>
      <c r="O361" s="10">
        <f>[18]생산!AX358</f>
        <v>0</v>
      </c>
      <c r="P361" s="10">
        <f>[18]생산!AY358</f>
        <v>0</v>
      </c>
      <c r="Q361" s="10">
        <f>[19]생산!BE358</f>
        <v>0</v>
      </c>
      <c r="R361" s="10">
        <f>[18]생산!BA358</f>
        <v>0</v>
      </c>
      <c r="S361" s="9">
        <f>[18]운전시간외!C358</f>
        <v>24</v>
      </c>
      <c r="T361" s="9">
        <f>[18]운전시간외!D358</f>
        <v>0</v>
      </c>
      <c r="U361" s="9">
        <f>[18]운전시간외!E358</f>
        <v>0</v>
      </c>
      <c r="V361" s="9">
        <f>[18]운전시간외!F358</f>
        <v>0</v>
      </c>
      <c r="W361" s="11">
        <f>[18]생산!E358</f>
        <v>1138</v>
      </c>
      <c r="X361" s="11">
        <f>[18]생산!F358</f>
        <v>0</v>
      </c>
      <c r="Y361" s="11">
        <f>[18]생산!G358</f>
        <v>0</v>
      </c>
      <c r="Z361" s="11">
        <f>[18]생산!H358</f>
        <v>0</v>
      </c>
      <c r="AA361" s="11">
        <f>[18]생산!I358</f>
        <v>0</v>
      </c>
      <c r="AB361" s="11">
        <f>[18]생산!J358</f>
        <v>1138</v>
      </c>
      <c r="AC361" s="48">
        <f>ROUNDDOWN('[20]2025년'!G357/1000,1)</f>
        <v>61.3</v>
      </c>
    </row>
    <row r="362" spans="1:29">
      <c r="A362" s="6">
        <f t="shared" si="5"/>
        <v>46014</v>
      </c>
      <c r="B362" s="9">
        <f>'[18]key-in(LO)'!Z360</f>
        <v>651.20000000000005</v>
      </c>
      <c r="C362" s="9">
        <f>'[18]key-in(LO)'!AA360</f>
        <v>247312</v>
      </c>
      <c r="D362" s="9">
        <f>'[18]key-in(LO)'!AB360</f>
        <v>239326</v>
      </c>
      <c r="E362" s="9">
        <f>'[18]key-in(LO)'!AC360</f>
        <v>16968.07</v>
      </c>
      <c r="F362" s="9">
        <f>'[18]key-in(LO)'!AD360</f>
        <v>14095.73</v>
      </c>
      <c r="G362" s="9">
        <f>'[18]key-in(LO)'!AE360</f>
        <v>4025.7</v>
      </c>
      <c r="H362" s="9">
        <f>'[18]key-in(LO)'!AF360</f>
        <v>31921</v>
      </c>
      <c r="I362" s="9">
        <f>'[18]key-in(LO)'!AG360</f>
        <v>13368</v>
      </c>
      <c r="J362" s="10">
        <f>'[18]key-in(DCO)'!AN360</f>
        <v>33.6</v>
      </c>
      <c r="K362" s="10">
        <f>'[18]key-in(DCO)'!AO360</f>
        <v>33.11</v>
      </c>
      <c r="L362" s="9">
        <f>'[18]key-in(DCO)'!AR360</f>
        <v>8130</v>
      </c>
      <c r="M362" s="10">
        <f>[18]생산!AV359</f>
        <v>161707</v>
      </c>
      <c r="N362" s="10">
        <f>[18]생산!AW359</f>
        <v>0</v>
      </c>
      <c r="O362" s="10">
        <f>[18]생산!AX359</f>
        <v>0</v>
      </c>
      <c r="P362" s="10">
        <f>[18]생산!AY359</f>
        <v>0</v>
      </c>
      <c r="Q362" s="10">
        <f>[19]생산!BE359</f>
        <v>0</v>
      </c>
      <c r="R362" s="10">
        <f>[18]생산!BA359</f>
        <v>0</v>
      </c>
      <c r="S362" s="9">
        <f>[18]운전시간외!C359</f>
        <v>22</v>
      </c>
      <c r="T362" s="9">
        <f>[18]운전시간외!D359</f>
        <v>0</v>
      </c>
      <c r="U362" s="9">
        <f>[18]운전시간외!E359</f>
        <v>0</v>
      </c>
      <c r="V362" s="9">
        <f>[18]운전시간외!F359</f>
        <v>0</v>
      </c>
      <c r="W362" s="11">
        <f>[18]생산!E359</f>
        <v>1035</v>
      </c>
      <c r="X362" s="11">
        <f>[18]생산!F359</f>
        <v>0</v>
      </c>
      <c r="Y362" s="11">
        <f>[18]생산!G359</f>
        <v>0</v>
      </c>
      <c r="Z362" s="11">
        <f>[18]생산!H359</f>
        <v>0</v>
      </c>
      <c r="AA362" s="11">
        <f>[18]생산!I359</f>
        <v>0</v>
      </c>
      <c r="AB362" s="11">
        <f>[18]생산!J359</f>
        <v>1035</v>
      </c>
      <c r="AC362" s="48">
        <f>ROUNDDOWN('[20]2025년'!G358/1000,1)</f>
        <v>50.9</v>
      </c>
    </row>
    <row r="363" spans="1:29">
      <c r="A363" s="6">
        <f t="shared" si="5"/>
        <v>46015</v>
      </c>
      <c r="B363" s="9">
        <f>'[18]key-in(LO)'!Z361</f>
        <v>651.20000000000005</v>
      </c>
      <c r="C363" s="9">
        <f>'[18]key-in(LO)'!AA361</f>
        <v>247373</v>
      </c>
      <c r="D363" s="9">
        <f>'[18]key-in(LO)'!AB361</f>
        <v>239365</v>
      </c>
      <c r="E363" s="9">
        <f>'[18]key-in(LO)'!AC361</f>
        <v>16972.41</v>
      </c>
      <c r="F363" s="9">
        <f>'[18]key-in(LO)'!AD361</f>
        <v>14112.2</v>
      </c>
      <c r="G363" s="9">
        <f>'[18]key-in(LO)'!AE361</f>
        <v>4026.8</v>
      </c>
      <c r="H363" s="9">
        <f>'[18]key-in(LO)'!AF361</f>
        <v>31998</v>
      </c>
      <c r="I363" s="9">
        <f>'[18]key-in(LO)'!AG361</f>
        <v>13578</v>
      </c>
      <c r="J363" s="10">
        <f>'[18]key-in(DCO)'!AN361</f>
        <v>33.729999999999997</v>
      </c>
      <c r="K363" s="10">
        <f>'[18]key-in(DCO)'!AO361</f>
        <v>33.11</v>
      </c>
      <c r="L363" s="9">
        <f>'[18]key-in(DCO)'!AR361</f>
        <v>8349</v>
      </c>
      <c r="M363" s="10">
        <f>[18]생산!AV360</f>
        <v>133724.37000000477</v>
      </c>
      <c r="N363" s="10">
        <f>[18]생산!AW360</f>
        <v>0</v>
      </c>
      <c r="O363" s="10">
        <f>[18]생산!AX360</f>
        <v>0</v>
      </c>
      <c r="P363" s="10">
        <f>[18]생산!AY360</f>
        <v>0</v>
      </c>
      <c r="Q363" s="10">
        <f>[19]생산!BE360</f>
        <v>0</v>
      </c>
      <c r="R363" s="10">
        <f>[18]생산!BA360</f>
        <v>0</v>
      </c>
      <c r="S363" s="9">
        <f>[18]운전시간외!C360</f>
        <v>18</v>
      </c>
      <c r="T363" s="9">
        <f>[18]운전시간외!D360</f>
        <v>0</v>
      </c>
      <c r="U363" s="9">
        <f>[18]운전시간외!E360</f>
        <v>0</v>
      </c>
      <c r="V363" s="9">
        <f>[18]운전시간외!F360</f>
        <v>0</v>
      </c>
      <c r="W363" s="11">
        <f>[18]생산!E360</f>
        <v>846</v>
      </c>
      <c r="X363" s="11">
        <f>[18]생산!F360</f>
        <v>0</v>
      </c>
      <c r="Y363" s="11">
        <f>[18]생산!G360</f>
        <v>0</v>
      </c>
      <c r="Z363" s="11">
        <f>[18]생산!H360</f>
        <v>0</v>
      </c>
      <c r="AA363" s="11">
        <f>[18]생산!I360</f>
        <v>0</v>
      </c>
      <c r="AB363" s="11">
        <f>[18]생산!J360</f>
        <v>846</v>
      </c>
      <c r="AC363" s="48">
        <f>ROUNDDOWN('[20]2025년'!G359/1000,1)</f>
        <v>43.4</v>
      </c>
    </row>
    <row r="364" spans="1:29">
      <c r="A364" s="6">
        <f t="shared" si="5"/>
        <v>46016</v>
      </c>
      <c r="B364" s="9">
        <f>'[18]key-in(LO)'!Z362</f>
        <v>651.20000000000005</v>
      </c>
      <c r="C364" s="9">
        <f>'[18]key-in(LO)'!AA362</f>
        <v>247437</v>
      </c>
      <c r="D364" s="9">
        <f>'[18]key-in(LO)'!AB362</f>
        <v>239365</v>
      </c>
      <c r="E364" s="9">
        <f>'[18]key-in(LO)'!AC362</f>
        <v>16974.990000000002</v>
      </c>
      <c r="F364" s="9">
        <f>'[18]key-in(LO)'!AD362</f>
        <v>14136.21</v>
      </c>
      <c r="G364" s="9">
        <f>'[18]key-in(LO)'!AE362</f>
        <v>4028.1</v>
      </c>
      <c r="H364" s="9">
        <f>'[18]key-in(LO)'!AF362</f>
        <v>32213</v>
      </c>
      <c r="I364" s="9">
        <f>'[18]key-in(LO)'!AG362</f>
        <v>13776</v>
      </c>
      <c r="J364" s="10">
        <f>'[18]key-in(DCO)'!AN362</f>
        <v>33.43</v>
      </c>
      <c r="K364" s="10">
        <f>'[18]key-in(DCO)'!AO362</f>
        <v>33.03</v>
      </c>
      <c r="L364" s="9">
        <f>'[18]key-in(DCO)'!AR362</f>
        <v>8387</v>
      </c>
      <c r="M364" s="10">
        <f>[18]생산!AV361</f>
        <v>197988.26999999583</v>
      </c>
      <c r="N364" s="10">
        <f>[18]생산!AW361</f>
        <v>0</v>
      </c>
      <c r="O364" s="10">
        <f>[18]생산!AX361</f>
        <v>0</v>
      </c>
      <c r="P364" s="10">
        <f>[18]생산!AY361</f>
        <v>0</v>
      </c>
      <c r="Q364" s="10">
        <f>[19]생산!BE361</f>
        <v>0</v>
      </c>
      <c r="R364" s="10">
        <f>[18]생산!BA361</f>
        <v>0</v>
      </c>
      <c r="S364" s="9">
        <f>[18]운전시간외!C361</f>
        <v>24</v>
      </c>
      <c r="T364" s="9">
        <f>[18]운전시간외!D361</f>
        <v>0</v>
      </c>
      <c r="U364" s="9">
        <f>[18]운전시간외!E361</f>
        <v>0</v>
      </c>
      <c r="V364" s="9">
        <f>[18]운전시간외!F361</f>
        <v>0</v>
      </c>
      <c r="W364" s="11">
        <f>[18]생산!E361</f>
        <v>1236</v>
      </c>
      <c r="X364" s="11">
        <f>[18]생산!F361</f>
        <v>0</v>
      </c>
      <c r="Y364" s="11">
        <f>[18]생산!G361</f>
        <v>0</v>
      </c>
      <c r="Z364" s="11">
        <f>[18]생산!H361</f>
        <v>0</v>
      </c>
      <c r="AA364" s="11">
        <f>[18]생산!I361</f>
        <v>0</v>
      </c>
      <c r="AB364" s="11">
        <f>[18]생산!J361</f>
        <v>1236</v>
      </c>
      <c r="AC364" s="48">
        <f>ROUNDDOWN('[20]2025년'!G360/1000,1)</f>
        <v>73.8</v>
      </c>
    </row>
    <row r="365" spans="1:29">
      <c r="A365" s="6">
        <f t="shared" si="5"/>
        <v>46017</v>
      </c>
      <c r="B365" s="9">
        <f>'[18]key-in(LO)'!Z363</f>
        <v>651.20000000000005</v>
      </c>
      <c r="C365" s="9">
        <f>'[18]key-in(LO)'!AA363</f>
        <v>247460</v>
      </c>
      <c r="D365" s="9">
        <f>'[18]key-in(LO)'!AB363</f>
        <v>239475</v>
      </c>
      <c r="E365" s="9">
        <f>'[18]key-in(LO)'!AC363</f>
        <v>16980.23</v>
      </c>
      <c r="F365" s="9">
        <f>'[18]key-in(LO)'!AD363</f>
        <v>14157.34</v>
      </c>
      <c r="G365" s="9">
        <f>'[18]key-in(LO)'!AE363</f>
        <v>4029.5</v>
      </c>
      <c r="H365" s="9">
        <f>'[18]key-in(LO)'!AF363</f>
        <v>32460</v>
      </c>
      <c r="I365" s="9">
        <f>'[18]key-in(LO)'!AG363</f>
        <v>14034</v>
      </c>
      <c r="J365" s="10">
        <f>'[18]key-in(DCO)'!AN363</f>
        <v>33.24</v>
      </c>
      <c r="K365" s="10">
        <f>'[18]key-in(DCO)'!AO363</f>
        <v>33.04</v>
      </c>
      <c r="L365" s="9">
        <f>'[18]key-in(DCO)'!AR363</f>
        <v>8581</v>
      </c>
      <c r="M365" s="10">
        <f>[18]생산!AV362</f>
        <v>195624.1400000006</v>
      </c>
      <c r="N365" s="10">
        <f>[18]생산!AW362</f>
        <v>0</v>
      </c>
      <c r="O365" s="10">
        <f>[18]생산!AX362</f>
        <v>0</v>
      </c>
      <c r="P365" s="10">
        <f>[18]생산!AY362</f>
        <v>53820</v>
      </c>
      <c r="Q365" s="10">
        <f>[19]생산!BE362</f>
        <v>0</v>
      </c>
      <c r="R365" s="10">
        <f>[18]생산!BA362</f>
        <v>53820</v>
      </c>
      <c r="S365" s="9">
        <f>[18]운전시간외!C362</f>
        <v>24</v>
      </c>
      <c r="T365" s="9">
        <f>[18]운전시간외!D362</f>
        <v>0</v>
      </c>
      <c r="U365" s="9">
        <f>[18]운전시간외!E362</f>
        <v>0</v>
      </c>
      <c r="V365" s="9">
        <f>[18]운전시간외!F362</f>
        <v>8</v>
      </c>
      <c r="W365" s="11">
        <f>[18]생산!E362</f>
        <v>1243</v>
      </c>
      <c r="X365" s="11">
        <f>[18]생산!F362</f>
        <v>0</v>
      </c>
      <c r="Y365" s="11">
        <f>[18]생산!G362</f>
        <v>0</v>
      </c>
      <c r="Z365" s="11">
        <f>[18]생산!H362</f>
        <v>475</v>
      </c>
      <c r="AA365" s="11">
        <f>[18]생산!I362</f>
        <v>475</v>
      </c>
      <c r="AB365" s="11">
        <f>[18]생산!J362</f>
        <v>1718</v>
      </c>
      <c r="AC365" s="48">
        <f>ROUNDDOWN('[20]2025년'!G361/1000,1)</f>
        <v>75.5</v>
      </c>
    </row>
    <row r="366" spans="1:29">
      <c r="A366" s="6">
        <f t="shared" si="5"/>
        <v>46018</v>
      </c>
      <c r="B366" s="9">
        <f>'[18]key-in(LO)'!Z364</f>
        <v>651.20000000000005</v>
      </c>
      <c r="C366" s="9">
        <f>'[18]key-in(LO)'!AA364</f>
        <v>247460</v>
      </c>
      <c r="D366" s="9">
        <f>'[18]key-in(LO)'!AB364</f>
        <v>239517</v>
      </c>
      <c r="E366" s="9">
        <f>'[18]key-in(LO)'!AC364</f>
        <v>16984.12</v>
      </c>
      <c r="F366" s="9">
        <f>'[18]key-in(LO)'!AD364</f>
        <v>14179.24</v>
      </c>
      <c r="G366" s="9">
        <f>'[18]key-in(LO)'!AE364</f>
        <v>4030.2</v>
      </c>
      <c r="H366" s="9">
        <f>'[18]key-in(LO)'!AF364</f>
        <v>32546</v>
      </c>
      <c r="I366" s="9">
        <f>'[18]key-in(LO)'!AG364</f>
        <v>14150</v>
      </c>
      <c r="J366" s="10">
        <f>'[18]key-in(DCO)'!AN364</f>
        <v>33.33</v>
      </c>
      <c r="K366" s="10">
        <f>'[18]key-in(DCO)'!AO364</f>
        <v>33.090000000000003</v>
      </c>
      <c r="L366" s="9">
        <f>'[18]key-in(DCO)'!AR364</f>
        <v>8595</v>
      </c>
      <c r="M366" s="10">
        <f>[18]생산!AV363</f>
        <v>198232.20000000298</v>
      </c>
      <c r="N366" s="10">
        <f>[18]생산!AW363</f>
        <v>0</v>
      </c>
      <c r="O366" s="10">
        <f>[18]생산!AX363</f>
        <v>0</v>
      </c>
      <c r="P366" s="10">
        <f>[18]생산!AY363</f>
        <v>25426.799999999814</v>
      </c>
      <c r="Q366" s="10">
        <f>[19]생산!BE363</f>
        <v>0</v>
      </c>
      <c r="R366" s="10">
        <f>[18]생산!BA363</f>
        <v>25426.799999999814</v>
      </c>
      <c r="S366" s="9">
        <f>[18]운전시간외!C363</f>
        <v>24</v>
      </c>
      <c r="T366" s="9">
        <f>[18]운전시간외!D363</f>
        <v>0</v>
      </c>
      <c r="U366" s="9">
        <f>[18]운전시간외!E363</f>
        <v>0</v>
      </c>
      <c r="V366" s="9">
        <f>[18]운전시간외!F363</f>
        <v>4</v>
      </c>
      <c r="W366" s="11">
        <f>[18]생산!E363</f>
        <v>1250</v>
      </c>
      <c r="X366" s="11">
        <f>[18]생산!F363</f>
        <v>0</v>
      </c>
      <c r="Y366" s="11">
        <f>[18]생산!G363</f>
        <v>0</v>
      </c>
      <c r="Z366" s="11">
        <f>[18]생산!H363</f>
        <v>225</v>
      </c>
      <c r="AA366" s="11">
        <f>[18]생산!I363</f>
        <v>225</v>
      </c>
      <c r="AB366" s="11">
        <f>[18]생산!J363</f>
        <v>1475</v>
      </c>
      <c r="AC366" s="48">
        <f>ROUNDDOWN('[20]2025년'!G362/1000,1)</f>
        <v>66.8</v>
      </c>
    </row>
    <row r="367" spans="1:29">
      <c r="A367" s="6">
        <f t="shared" si="5"/>
        <v>46019</v>
      </c>
      <c r="B367" s="9">
        <f>'[18]key-in(LO)'!Z365</f>
        <v>651.20000000000005</v>
      </c>
      <c r="C367" s="9">
        <f>'[18]key-in(LO)'!AA365</f>
        <v>247499</v>
      </c>
      <c r="D367" s="9">
        <f>'[18]key-in(LO)'!AB365</f>
        <v>239517</v>
      </c>
      <c r="E367" s="9">
        <f>'[18]key-in(LO)'!AC365</f>
        <v>16988.12</v>
      </c>
      <c r="F367" s="9">
        <f>'[18]key-in(LO)'!AD365</f>
        <v>14202.56</v>
      </c>
      <c r="G367" s="9">
        <f>'[18]key-in(LO)'!AE365</f>
        <v>4030.9</v>
      </c>
      <c r="H367" s="9">
        <f>'[18]key-in(LO)'!AF365</f>
        <v>32603</v>
      </c>
      <c r="I367" s="9">
        <f>'[18]key-in(LO)'!AG365</f>
        <v>14265</v>
      </c>
      <c r="J367" s="10">
        <f>'[18]key-in(DCO)'!AN365</f>
        <v>33.4</v>
      </c>
      <c r="K367" s="10">
        <f>'[18]key-in(DCO)'!AO365</f>
        <v>33.1</v>
      </c>
      <c r="L367" s="9">
        <f>'[18]key-in(DCO)'!AR365</f>
        <v>8494</v>
      </c>
      <c r="M367" s="10">
        <f>[18]생산!AV364</f>
        <v>197996.89999999851</v>
      </c>
      <c r="N367" s="10">
        <f>[18]생산!AW364</f>
        <v>0</v>
      </c>
      <c r="O367" s="10">
        <f>[18]생산!AX364</f>
        <v>0</v>
      </c>
      <c r="P367" s="10">
        <f>[18]생산!AY364</f>
        <v>0</v>
      </c>
      <c r="Q367" s="10">
        <f>[19]생산!BE364</f>
        <v>0</v>
      </c>
      <c r="R367" s="10">
        <f>[18]생산!BA364</f>
        <v>0</v>
      </c>
      <c r="S367" s="9">
        <f>[18]운전시간외!C364</f>
        <v>24</v>
      </c>
      <c r="T367" s="9">
        <f>[18]운전시간외!D364</f>
        <v>0</v>
      </c>
      <c r="U367" s="9">
        <f>[18]운전시간외!E364</f>
        <v>0</v>
      </c>
      <c r="V367" s="9">
        <f>[18]운전시간외!F364</f>
        <v>0</v>
      </c>
      <c r="W367" s="11">
        <f>[18]생산!E364</f>
        <v>1251</v>
      </c>
      <c r="X367" s="11">
        <f>[18]생산!F364</f>
        <v>0</v>
      </c>
      <c r="Y367" s="11">
        <f>[18]생산!G364</f>
        <v>0</v>
      </c>
      <c r="Z367" s="11">
        <f>[18]생산!H364</f>
        <v>0</v>
      </c>
      <c r="AA367" s="11">
        <f>[18]생산!I364</f>
        <v>0</v>
      </c>
      <c r="AB367" s="11">
        <f>[18]생산!J364</f>
        <v>1251</v>
      </c>
      <c r="AC367" s="48">
        <f>ROUNDDOWN('[20]2025년'!G363/1000,1)</f>
        <v>71.3</v>
      </c>
    </row>
    <row r="368" spans="1:29">
      <c r="A368" s="6">
        <f t="shared" si="5"/>
        <v>46020</v>
      </c>
      <c r="B368" s="9">
        <f>'[18]key-in(LO)'!Z366</f>
        <v>651.20000000000005</v>
      </c>
      <c r="C368" s="9">
        <f>'[18]key-in(LO)'!AA366</f>
        <v>247577</v>
      </c>
      <c r="D368" s="9">
        <f>'[18]key-in(LO)'!AB366</f>
        <v>239562</v>
      </c>
      <c r="E368" s="9">
        <f>'[18]key-in(LO)'!AC366</f>
        <v>16991.919999999998</v>
      </c>
      <c r="F368" s="9">
        <f>'[18]key-in(LO)'!AD366</f>
        <v>14225.05</v>
      </c>
      <c r="G368" s="9">
        <f>'[18]key-in(LO)'!AE366</f>
        <v>4031.8</v>
      </c>
      <c r="H368" s="9">
        <f>'[18]key-in(LO)'!AF366</f>
        <v>32664</v>
      </c>
      <c r="I368" s="9">
        <f>'[18]key-in(LO)'!AG366</f>
        <v>14458</v>
      </c>
      <c r="J368" s="10">
        <f>'[18]key-in(DCO)'!AN366</f>
        <v>33.58</v>
      </c>
      <c r="K368" s="10">
        <f>'[18]key-in(DCO)'!AO366</f>
        <v>33.097000000000001</v>
      </c>
      <c r="L368" s="9">
        <f>'[18]key-in(DCO)'!AR366</f>
        <v>8586</v>
      </c>
      <c r="M368" s="10">
        <f>[18]생산!AV365</f>
        <v>170835.87999999523</v>
      </c>
      <c r="N368" s="10">
        <f>[18]생산!AW365</f>
        <v>0</v>
      </c>
      <c r="O368" s="10">
        <f>[18]생산!AX365</f>
        <v>0</v>
      </c>
      <c r="P368" s="10">
        <f>[18]생산!AY365</f>
        <v>0</v>
      </c>
      <c r="Q368" s="10">
        <f>[19]생산!BE365</f>
        <v>0</v>
      </c>
      <c r="R368" s="10">
        <f>[18]생산!BA365</f>
        <v>0</v>
      </c>
      <c r="S368" s="9">
        <f>[18]운전시간외!C365</f>
        <v>24</v>
      </c>
      <c r="T368" s="9">
        <f>[18]운전시간외!D365</f>
        <v>0</v>
      </c>
      <c r="U368" s="9">
        <f>[18]운전시간외!E365</f>
        <v>0</v>
      </c>
      <c r="V368" s="9">
        <f>[18]운전시간외!F365</f>
        <v>0</v>
      </c>
      <c r="W368" s="11">
        <f>[18]생산!E365</f>
        <v>1098.098</v>
      </c>
      <c r="X368" s="11">
        <f>[18]생산!F365</f>
        <v>0</v>
      </c>
      <c r="Y368" s="11">
        <f>[18]생산!G365</f>
        <v>0</v>
      </c>
      <c r="Z368" s="11">
        <f>[18]생산!H365</f>
        <v>0</v>
      </c>
      <c r="AA368" s="11">
        <f>[18]생산!I365</f>
        <v>0</v>
      </c>
      <c r="AB368" s="11">
        <f>[18]생산!J365</f>
        <v>1098.098</v>
      </c>
      <c r="AC368" s="48">
        <f>ROUNDDOWN('[20]2025년'!G364/1000,1)</f>
        <v>59.2</v>
      </c>
    </row>
    <row r="369" spans="1:29">
      <c r="A369" s="6">
        <f t="shared" si="5"/>
        <v>46021</v>
      </c>
      <c r="B369" s="9">
        <f>'[18]key-in(LO)'!Z367</f>
        <v>651.20000000000005</v>
      </c>
      <c r="C369" s="9">
        <f>'[18]key-in(LO)'!AA367</f>
        <v>247621</v>
      </c>
      <c r="D369" s="9">
        <f>'[18]key-in(LO)'!AB367</f>
        <v>239580</v>
      </c>
      <c r="E369" s="9">
        <f>'[18]key-in(LO)'!AC367</f>
        <v>16998.23</v>
      </c>
      <c r="F369" s="9">
        <f>'[18]key-in(LO)'!AD367</f>
        <v>14249.07</v>
      </c>
      <c r="G369" s="9">
        <f>'[18]key-in(LO)'!AE367</f>
        <v>4033.1</v>
      </c>
      <c r="H369" s="9">
        <f>'[18]key-in(LO)'!AF367</f>
        <v>32794</v>
      </c>
      <c r="I369" s="9">
        <f>'[18]key-in(LO)'!AG367</f>
        <v>14615</v>
      </c>
      <c r="J369" s="10">
        <f>'[18]key-in(DCO)'!AN367</f>
        <v>33.799999999999997</v>
      </c>
      <c r="K369" s="10">
        <f>'[18]key-in(DCO)'!AO367</f>
        <v>33.07</v>
      </c>
      <c r="L369" s="9">
        <f>'[18]key-in(DCO)'!AR367</f>
        <v>8016</v>
      </c>
      <c r="M369" s="10">
        <f>[18]생산!AV366</f>
        <v>193992.22000000626</v>
      </c>
      <c r="N369" s="10">
        <f>[18]생산!AW366</f>
        <v>0</v>
      </c>
      <c r="O369" s="10">
        <f>[18]생산!AX366</f>
        <v>0</v>
      </c>
      <c r="P369" s="10">
        <f>[18]생산!AY366</f>
        <v>0</v>
      </c>
      <c r="Q369" s="10">
        <f>[19]생산!BE366</f>
        <v>0</v>
      </c>
      <c r="R369" s="10">
        <f>[18]생산!BA366</f>
        <v>0</v>
      </c>
      <c r="S369" s="9">
        <f>[18]운전시간외!C366</f>
        <v>24</v>
      </c>
      <c r="T369" s="9">
        <f>[18]운전시간외!D366</f>
        <v>0</v>
      </c>
      <c r="U369" s="9">
        <f>[18]운전시간외!E366</f>
        <v>0</v>
      </c>
      <c r="V369" s="9">
        <f>[18]운전시간외!F366</f>
        <v>0</v>
      </c>
      <c r="W369" s="11">
        <f>[18]생산!E366</f>
        <v>1238.2479999999996</v>
      </c>
      <c r="X369" s="11">
        <f>[18]생산!F366</f>
        <v>0</v>
      </c>
      <c r="Y369" s="11">
        <f>[18]생산!G366</f>
        <v>0</v>
      </c>
      <c r="Z369" s="11">
        <f>[18]생산!H366</f>
        <v>0</v>
      </c>
      <c r="AA369" s="11">
        <f>[18]생산!I366</f>
        <v>0</v>
      </c>
      <c r="AB369" s="11">
        <f>[18]생산!J366</f>
        <v>1238.2479999999996</v>
      </c>
      <c r="AC369" s="48">
        <f>ROUNDDOWN('[20]2025년'!G365/1000,1)</f>
        <v>63</v>
      </c>
    </row>
    <row r="370" spans="1:29">
      <c r="A370" s="6">
        <f t="shared" si="5"/>
        <v>46022</v>
      </c>
      <c r="B370" s="9">
        <f>'[18]key-in(LO)'!Z368</f>
        <v>651.20000000000005</v>
      </c>
      <c r="C370" s="9">
        <f>'[18]key-in(LO)'!AA368</f>
        <v>247667</v>
      </c>
      <c r="D370" s="9">
        <f>'[18]key-in(LO)'!AB368</f>
        <v>239580</v>
      </c>
      <c r="E370" s="9">
        <f>'[18]key-in(LO)'!AC368</f>
        <v>17003.900000000001</v>
      </c>
      <c r="F370" s="9">
        <f>'[18]key-in(LO)'!AD368</f>
        <v>14269.93</v>
      </c>
      <c r="G370" s="9">
        <f>'[18]key-in(LO)'!AE368</f>
        <v>4034.1</v>
      </c>
      <c r="H370" s="9">
        <f>'[18]key-in(LO)'!AF368</f>
        <v>32935</v>
      </c>
      <c r="I370" s="9">
        <f>'[18]key-in(LO)'!AG368</f>
        <v>14730</v>
      </c>
      <c r="J370" s="10">
        <f>'[18]key-in(DCO)'!AN368</f>
        <v>33.53</v>
      </c>
      <c r="K370" s="10">
        <f>'[18]key-in(DCO)'!AO368</f>
        <v>33.04</v>
      </c>
      <c r="L370" s="9">
        <f>'[18]key-in(DCO)'!AR368</f>
        <v>8039</v>
      </c>
      <c r="M370" s="10">
        <f>[18]생산!AV367</f>
        <v>198795.29999999702</v>
      </c>
      <c r="N370" s="10">
        <f>[18]생산!AW367</f>
        <v>0</v>
      </c>
      <c r="O370" s="10">
        <f>[18]생산!AX367</f>
        <v>0</v>
      </c>
      <c r="P370" s="10">
        <f>[18]생산!AY367</f>
        <v>0</v>
      </c>
      <c r="Q370" s="10">
        <f>[19]생산!BE367</f>
        <v>0</v>
      </c>
      <c r="R370" s="10">
        <f>[18]생산!BA367</f>
        <v>0</v>
      </c>
      <c r="S370" s="9">
        <f>[18]운전시간외!C367</f>
        <v>24</v>
      </c>
      <c r="T370" s="9">
        <f>[18]운전시간외!D367</f>
        <v>0</v>
      </c>
      <c r="U370" s="9">
        <f>[18]운전시간외!E367</f>
        <v>0</v>
      </c>
      <c r="V370" s="9">
        <f>[18]운전시간외!F367</f>
        <v>0</v>
      </c>
      <c r="W370" s="11">
        <f>[18]생산!E367</f>
        <v>1248.6540000000005</v>
      </c>
      <c r="X370" s="11">
        <f>[18]생산!F367</f>
        <v>0</v>
      </c>
      <c r="Y370" s="11">
        <f>[18]생산!G367</f>
        <v>0</v>
      </c>
      <c r="Z370" s="11">
        <f>[18]생산!H367</f>
        <v>0</v>
      </c>
      <c r="AA370" s="11">
        <f>[18]생산!I367</f>
        <v>0</v>
      </c>
      <c r="AB370" s="11">
        <f>[18]생산!J367</f>
        <v>1248.6540000000005</v>
      </c>
      <c r="AC370" s="48">
        <f>ROUNDDOWN('[20]2025년'!G366/1000,1)</f>
        <v>62.3</v>
      </c>
    </row>
    <row r="371" spans="1:29">
      <c r="AC371" s="48"/>
    </row>
    <row r="372" spans="1:29">
      <c r="AC372" s="48"/>
    </row>
    <row r="373" spans="1:29">
      <c r="AC373" s="48"/>
    </row>
    <row r="374" spans="1:29">
      <c r="AC374" s="48"/>
    </row>
    <row r="375" spans="1:29">
      <c r="AC375" s="48"/>
    </row>
    <row r="376" spans="1:29">
      <c r="AC376" s="48"/>
    </row>
    <row r="377" spans="1:29">
      <c r="AC377" s="48"/>
    </row>
    <row r="378" spans="1:29">
      <c r="AC378" s="48"/>
    </row>
    <row r="379" spans="1:29">
      <c r="AC379" s="48"/>
    </row>
    <row r="380" spans="1:29">
      <c r="AC380" s="48"/>
    </row>
    <row r="381" spans="1:29">
      <c r="AC381" s="48"/>
    </row>
    <row r="382" spans="1:29">
      <c r="AC382" s="48"/>
    </row>
    <row r="383" spans="1:29">
      <c r="AC383" s="48"/>
    </row>
    <row r="384" spans="1:29">
      <c r="AC384" s="48"/>
    </row>
    <row r="385" spans="29:29">
      <c r="AC385" s="48"/>
    </row>
    <row r="386" spans="29:29">
      <c r="AC386" s="48"/>
    </row>
    <row r="387" spans="29:29">
      <c r="AC387" s="48"/>
    </row>
    <row r="388" spans="29:29">
      <c r="AC388" s="48"/>
    </row>
    <row r="389" spans="29:29">
      <c r="AC389" s="48"/>
    </row>
    <row r="390" spans="29:29">
      <c r="AC390" s="48"/>
    </row>
    <row r="391" spans="29:29">
      <c r="AC391" s="48"/>
    </row>
    <row r="392" spans="29:29">
      <c r="AC392" s="48"/>
    </row>
    <row r="393" spans="29:29">
      <c r="AC393" s="48"/>
    </row>
    <row r="394" spans="29:29">
      <c r="AC394" s="48"/>
    </row>
    <row r="395" spans="29:29">
      <c r="AC395" s="48"/>
    </row>
    <row r="396" spans="29:29">
      <c r="AC396" s="48"/>
    </row>
    <row r="397" spans="29:29">
      <c r="AC397" s="48"/>
    </row>
    <row r="398" spans="29:29">
      <c r="AC398" s="48"/>
    </row>
    <row r="399" spans="29:29">
      <c r="AC399" s="48"/>
    </row>
    <row r="400" spans="29:29">
      <c r="AC400" s="48"/>
    </row>
    <row r="401" spans="29:29">
      <c r="AC401" s="48"/>
    </row>
    <row r="402" spans="29:29">
      <c r="AC402" s="48"/>
    </row>
    <row r="403" spans="29:29">
      <c r="AC403" s="48"/>
    </row>
    <row r="404" spans="29:29">
      <c r="AC404" s="48"/>
    </row>
    <row r="405" spans="29:29">
      <c r="AC405" s="48"/>
    </row>
    <row r="406" spans="29:29">
      <c r="AC406" s="48"/>
    </row>
    <row r="407" spans="29:29">
      <c r="AC407" s="48"/>
    </row>
    <row r="408" spans="29:29">
      <c r="AC408" s="48"/>
    </row>
    <row r="409" spans="29:29">
      <c r="AC409" s="48"/>
    </row>
    <row r="410" spans="29:29">
      <c r="AC410" s="48"/>
    </row>
    <row r="411" spans="29:29">
      <c r="AC411" s="48"/>
    </row>
    <row r="412" spans="29:29">
      <c r="AC412" s="48"/>
    </row>
    <row r="413" spans="29:29">
      <c r="AC413" s="48"/>
    </row>
    <row r="414" spans="29:29">
      <c r="AC414" s="48"/>
    </row>
    <row r="415" spans="29:29">
      <c r="AC415" s="48"/>
    </row>
    <row r="416" spans="29:29">
      <c r="AC416" s="48"/>
    </row>
    <row r="417" spans="29:29">
      <c r="AC417" s="48"/>
    </row>
    <row r="418" spans="29:29">
      <c r="AC418" s="48"/>
    </row>
    <row r="419" spans="29:29">
      <c r="AC419" s="48"/>
    </row>
    <row r="420" spans="29:29">
      <c r="AC420" s="48"/>
    </row>
    <row r="421" spans="29:29">
      <c r="AC421" s="48"/>
    </row>
    <row r="422" spans="29:29">
      <c r="AC422" s="48"/>
    </row>
    <row r="423" spans="29:29">
      <c r="AC423" s="48"/>
    </row>
    <row r="424" spans="29:29">
      <c r="AC424" s="48"/>
    </row>
    <row r="425" spans="29:29">
      <c r="AC425" s="48"/>
    </row>
    <row r="426" spans="29:29">
      <c r="AC426" s="48"/>
    </row>
    <row r="427" spans="29:29">
      <c r="AC427" s="48"/>
    </row>
    <row r="428" spans="29:29">
      <c r="AC428" s="48"/>
    </row>
    <row r="429" spans="29:29">
      <c r="AC429" s="48"/>
    </row>
    <row r="430" spans="29:29">
      <c r="AC430" s="48"/>
    </row>
    <row r="431" spans="29:29">
      <c r="AC431" s="48"/>
    </row>
    <row r="432" spans="29:29">
      <c r="AC432" s="48"/>
    </row>
    <row r="433" spans="29:29">
      <c r="AC433" s="48"/>
    </row>
    <row r="434" spans="29:29">
      <c r="AC434" s="48"/>
    </row>
    <row r="435" spans="29:29">
      <c r="AC435" s="48"/>
    </row>
    <row r="436" spans="29:29">
      <c r="AC436" s="48"/>
    </row>
    <row r="437" spans="29:29">
      <c r="AC437" s="48"/>
    </row>
    <row r="438" spans="29:29">
      <c r="AC438" s="48"/>
    </row>
    <row r="439" spans="29:29">
      <c r="AC439" s="48"/>
    </row>
    <row r="440" spans="29:29">
      <c r="AC440" s="48"/>
    </row>
    <row r="441" spans="29:29">
      <c r="AC441" s="48"/>
    </row>
    <row r="442" spans="29:29">
      <c r="AC442" s="48"/>
    </row>
    <row r="443" spans="29:29">
      <c r="AC443" s="48"/>
    </row>
    <row r="444" spans="29:29">
      <c r="AC444" s="48"/>
    </row>
    <row r="445" spans="29:29">
      <c r="AC445" s="48"/>
    </row>
    <row r="446" spans="29:29">
      <c r="AC446" s="48"/>
    </row>
    <row r="447" spans="29:29">
      <c r="AC447" s="48"/>
    </row>
    <row r="448" spans="29:29">
      <c r="AC448" s="48"/>
    </row>
    <row r="449" spans="29:29">
      <c r="AC449" s="48"/>
    </row>
    <row r="450" spans="29:29">
      <c r="AC450" s="48"/>
    </row>
    <row r="451" spans="29:29">
      <c r="AC451" s="48"/>
    </row>
    <row r="452" spans="29:29">
      <c r="AC452" s="48"/>
    </row>
    <row r="453" spans="29:29">
      <c r="AC453" s="48"/>
    </row>
    <row r="454" spans="29:29">
      <c r="AC454" s="48"/>
    </row>
    <row r="455" spans="29:29">
      <c r="AC455" s="48"/>
    </row>
    <row r="456" spans="29:29">
      <c r="AC456" s="48"/>
    </row>
    <row r="457" spans="29:29">
      <c r="AC457" s="48"/>
    </row>
    <row r="458" spans="29:29">
      <c r="AC458" s="48"/>
    </row>
    <row r="459" spans="29:29">
      <c r="AC459" s="48"/>
    </row>
    <row r="460" spans="29:29">
      <c r="AC460" s="48"/>
    </row>
    <row r="461" spans="29:29">
      <c r="AC461" s="48"/>
    </row>
    <row r="462" spans="29:29">
      <c r="AC462" s="48"/>
    </row>
    <row r="463" spans="29:29">
      <c r="AC463" s="48"/>
    </row>
    <row r="464" spans="29:29">
      <c r="AC464" s="48"/>
    </row>
    <row r="465" spans="29:29">
      <c r="AC465" s="48"/>
    </row>
    <row r="466" spans="29:29">
      <c r="AC466" s="48"/>
    </row>
    <row r="467" spans="29:29">
      <c r="AC467" s="48"/>
    </row>
    <row r="468" spans="29:29">
      <c r="AC468" s="48"/>
    </row>
    <row r="469" spans="29:29">
      <c r="AC469" s="48"/>
    </row>
    <row r="470" spans="29:29">
      <c r="AC470" s="48"/>
    </row>
    <row r="471" spans="29:29">
      <c r="AC471" s="48"/>
    </row>
    <row r="472" spans="29:29">
      <c r="AC472" s="48"/>
    </row>
    <row r="473" spans="29:29">
      <c r="AC473" s="48"/>
    </row>
    <row r="474" spans="29:29">
      <c r="AC474" s="48"/>
    </row>
    <row r="475" spans="29:29">
      <c r="AC475" s="48"/>
    </row>
    <row r="476" spans="29:29">
      <c r="AC476" s="48"/>
    </row>
    <row r="477" spans="29:29">
      <c r="AC477" s="48"/>
    </row>
    <row r="478" spans="29:29">
      <c r="AC478" s="48"/>
    </row>
    <row r="479" spans="29:29">
      <c r="AC479" s="48"/>
    </row>
    <row r="480" spans="29:29">
      <c r="AC480" s="48"/>
    </row>
    <row r="481" spans="29:29">
      <c r="AC481" s="48"/>
    </row>
    <row r="482" spans="29:29">
      <c r="AC482" s="48"/>
    </row>
    <row r="483" spans="29:29">
      <c r="AC483" s="48"/>
    </row>
    <row r="484" spans="29:29">
      <c r="AC484" s="48"/>
    </row>
    <row r="485" spans="29:29">
      <c r="AC485" s="48"/>
    </row>
    <row r="486" spans="29:29">
      <c r="AC486" s="48"/>
    </row>
    <row r="487" spans="29:29">
      <c r="AC487" s="48"/>
    </row>
    <row r="488" spans="29:29">
      <c r="AC488" s="48"/>
    </row>
    <row r="489" spans="29:29">
      <c r="AC489" s="48"/>
    </row>
    <row r="490" spans="29:29">
      <c r="AC490" s="48"/>
    </row>
    <row r="491" spans="29:29">
      <c r="AC491" s="48"/>
    </row>
    <row r="492" spans="29:29">
      <c r="AC492" s="48"/>
    </row>
    <row r="493" spans="29:29">
      <c r="AC493" s="48"/>
    </row>
    <row r="494" spans="29:29">
      <c r="AC494" s="48"/>
    </row>
    <row r="495" spans="29:29">
      <c r="AC495" s="48"/>
    </row>
    <row r="496" spans="29:29">
      <c r="AC496" s="48"/>
    </row>
    <row r="497" spans="29:29">
      <c r="AC497" s="48"/>
    </row>
    <row r="498" spans="29:29">
      <c r="AC498" s="48"/>
    </row>
    <row r="499" spans="29:29">
      <c r="AC499" s="48"/>
    </row>
    <row r="500" spans="29:29">
      <c r="AC500" s="48"/>
    </row>
    <row r="501" spans="29:29">
      <c r="AC501" s="48"/>
    </row>
    <row r="502" spans="29:29">
      <c r="AC502" s="48"/>
    </row>
    <row r="503" spans="29:29">
      <c r="AC503" s="48"/>
    </row>
    <row r="504" spans="29:29">
      <c r="AC504" s="48"/>
    </row>
    <row r="505" spans="29:29">
      <c r="AC505" s="48"/>
    </row>
    <row r="506" spans="29:29">
      <c r="AC506" s="48"/>
    </row>
    <row r="507" spans="29:29">
      <c r="AC507" s="48"/>
    </row>
    <row r="508" spans="29:29">
      <c r="AC508" s="48"/>
    </row>
    <row r="509" spans="29:29">
      <c r="AC509" s="48"/>
    </row>
    <row r="510" spans="29:29">
      <c r="AC510" s="48"/>
    </row>
    <row r="511" spans="29:29">
      <c r="AC511" s="48"/>
    </row>
    <row r="512" spans="29:29">
      <c r="AC512" s="48"/>
    </row>
    <row r="513" spans="29:29">
      <c r="AC513" s="48"/>
    </row>
    <row r="514" spans="29:29">
      <c r="AC514" s="48"/>
    </row>
    <row r="515" spans="29:29">
      <c r="AC515" s="48"/>
    </row>
    <row r="516" spans="29:29">
      <c r="AC516" s="48"/>
    </row>
    <row r="517" spans="29:29">
      <c r="AC517" s="48"/>
    </row>
    <row r="518" spans="29:29">
      <c r="AC518" s="48"/>
    </row>
    <row r="519" spans="29:29">
      <c r="AC519" s="48"/>
    </row>
    <row r="520" spans="29:29">
      <c r="AC520" s="48"/>
    </row>
    <row r="521" spans="29:29">
      <c r="AC521" s="48"/>
    </row>
    <row r="522" spans="29:29">
      <c r="AC522" s="48"/>
    </row>
    <row r="523" spans="29:29">
      <c r="AC523" s="48"/>
    </row>
    <row r="524" spans="29:29">
      <c r="AC524" s="48"/>
    </row>
    <row r="525" spans="29:29">
      <c r="AC525" s="48"/>
    </row>
    <row r="526" spans="29:29">
      <c r="AC526" s="48"/>
    </row>
    <row r="527" spans="29:29">
      <c r="AC527" s="48"/>
    </row>
    <row r="528" spans="29:29">
      <c r="AC528" s="48"/>
    </row>
    <row r="529" spans="29:29">
      <c r="AC529" s="48"/>
    </row>
    <row r="530" spans="29:29">
      <c r="AC530" s="48"/>
    </row>
    <row r="531" spans="29:29">
      <c r="AC531" s="48"/>
    </row>
    <row r="532" spans="29:29">
      <c r="AC532" s="48"/>
    </row>
    <row r="533" spans="29:29">
      <c r="AC533" s="48"/>
    </row>
    <row r="534" spans="29:29">
      <c r="AC534" s="48"/>
    </row>
    <row r="535" spans="29:29">
      <c r="AC535" s="48"/>
    </row>
    <row r="536" spans="29:29">
      <c r="AC536" s="48"/>
    </row>
    <row r="537" spans="29:29">
      <c r="AC537" s="48"/>
    </row>
    <row r="538" spans="29:29">
      <c r="AC538" s="48"/>
    </row>
    <row r="539" spans="29:29">
      <c r="AC539" s="48"/>
    </row>
    <row r="540" spans="29:29">
      <c r="AC540" s="48"/>
    </row>
    <row r="541" spans="29:29">
      <c r="AC541" s="48"/>
    </row>
    <row r="542" spans="29:29">
      <c r="AC542" s="48"/>
    </row>
    <row r="543" spans="29:29">
      <c r="AC543" s="48"/>
    </row>
    <row r="544" spans="29:29">
      <c r="AC544" s="48"/>
    </row>
    <row r="545" spans="29:29">
      <c r="AC545" s="48"/>
    </row>
    <row r="546" spans="29:29">
      <c r="AC546" s="48"/>
    </row>
    <row r="547" spans="29:29">
      <c r="AC547" s="48"/>
    </row>
    <row r="548" spans="29:29">
      <c r="AC548" s="48"/>
    </row>
    <row r="549" spans="29:29">
      <c r="AC549" s="48"/>
    </row>
    <row r="550" spans="29:29">
      <c r="AC550" s="48"/>
    </row>
    <row r="551" spans="29:29">
      <c r="AC551" s="48"/>
    </row>
    <row r="552" spans="29:29">
      <c r="AC552" s="48"/>
    </row>
    <row r="553" spans="29:29">
      <c r="AC553" s="48"/>
    </row>
    <row r="554" spans="29:29">
      <c r="AC554" s="48"/>
    </row>
    <row r="555" spans="29:29">
      <c r="AC555" s="48"/>
    </row>
    <row r="556" spans="29:29">
      <c r="AC556" s="48"/>
    </row>
    <row r="557" spans="29:29">
      <c r="AC557" s="48"/>
    </row>
    <row r="558" spans="29:29">
      <c r="AC558" s="48"/>
    </row>
    <row r="559" spans="29:29">
      <c r="AC559" s="48"/>
    </row>
    <row r="560" spans="29:29">
      <c r="AC560" s="48"/>
    </row>
    <row r="561" spans="29:29">
      <c r="AC561" s="48"/>
    </row>
    <row r="562" spans="29:29">
      <c r="AC562" s="48"/>
    </row>
    <row r="563" spans="29:29">
      <c r="AC563" s="48"/>
    </row>
    <row r="564" spans="29:29">
      <c r="AC564" s="48"/>
    </row>
    <row r="565" spans="29:29">
      <c r="AC565" s="48"/>
    </row>
    <row r="566" spans="29:29">
      <c r="AC566" s="48"/>
    </row>
    <row r="567" spans="29:29">
      <c r="AC567" s="48"/>
    </row>
    <row r="568" spans="29:29">
      <c r="AC568" s="48"/>
    </row>
    <row r="569" spans="29:29">
      <c r="AC569" s="48"/>
    </row>
    <row r="570" spans="29:29">
      <c r="AC570" s="48"/>
    </row>
    <row r="571" spans="29:29">
      <c r="AC571" s="48"/>
    </row>
    <row r="572" spans="29:29">
      <c r="AC572" s="48"/>
    </row>
    <row r="573" spans="29:29">
      <c r="AC573" s="48"/>
    </row>
    <row r="574" spans="29:29">
      <c r="AC574" s="48"/>
    </row>
    <row r="575" spans="29:29">
      <c r="AC575" s="48"/>
    </row>
    <row r="576" spans="29:29">
      <c r="AC576" s="48"/>
    </row>
    <row r="577" spans="29:29">
      <c r="AC577" s="48"/>
    </row>
    <row r="578" spans="29:29">
      <c r="AC578" s="48"/>
    </row>
    <row r="579" spans="29:29">
      <c r="AC579" s="48"/>
    </row>
    <row r="580" spans="29:29">
      <c r="AC580" s="48"/>
    </row>
    <row r="581" spans="29:29">
      <c r="AC581" s="48"/>
    </row>
    <row r="582" spans="29:29">
      <c r="AC582" s="48"/>
    </row>
    <row r="583" spans="29:29">
      <c r="AC583" s="48"/>
    </row>
    <row r="584" spans="29:29">
      <c r="AC584" s="48"/>
    </row>
    <row r="585" spans="29:29">
      <c r="AC585" s="48"/>
    </row>
    <row r="586" spans="29:29">
      <c r="AC586" s="48"/>
    </row>
    <row r="587" spans="29:29">
      <c r="AC587" s="48"/>
    </row>
    <row r="588" spans="29:29">
      <c r="AC588" s="48"/>
    </row>
    <row r="589" spans="29:29">
      <c r="AC589" s="48"/>
    </row>
    <row r="590" spans="29:29">
      <c r="AC590" s="48"/>
    </row>
    <row r="591" spans="29:29">
      <c r="AC591" s="48"/>
    </row>
    <row r="592" spans="29:29">
      <c r="AC592" s="48"/>
    </row>
    <row r="593" spans="29:29">
      <c r="AC593" s="48"/>
    </row>
    <row r="594" spans="29:29">
      <c r="AC594" s="48"/>
    </row>
  </sheetData>
  <mergeCells count="1">
    <mergeCell ref="S3:V3"/>
  </mergeCells>
  <phoneticPr fontId="4" type="noConversion"/>
  <conditionalFormatting sqref="A2 A5:M370 W5:AB370">
    <cfRule type="expression" dxfId="4" priority="1">
      <formula>TODAY()-1=$A2</formula>
    </cfRule>
  </conditionalFormatting>
  <conditionalFormatting sqref="N5:V6 N7:AB370">
    <cfRule type="expression" dxfId="3" priority="4">
      <formula>TODAY()-1=$A5</formula>
    </cfRule>
  </conditionalFormatting>
  <conditionalFormatting sqref="S5:V370">
    <cfRule type="expression" dxfId="2" priority="41">
      <formula>TODAY()-1=#REF!</formula>
    </cfRule>
  </conditionalFormatting>
  <conditionalFormatting sqref="S7:V7">
    <cfRule type="expression" dxfId="1" priority="42">
      <formula>TODAY()-1=$A5</formula>
    </cfRule>
  </conditionalFormatting>
  <conditionalFormatting sqref="S8:V370">
    <cfRule type="expression" dxfId="0" priority="31">
      <formula>TODAY()-1=$A7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0459D-474C-42A8-8823-C3764A1027E3}">
  <dimension ref="B2:AL369"/>
  <sheetViews>
    <sheetView zoomScale="85" zoomScaleNormal="85" workbookViewId="0">
      <selection activeCell="H4" sqref="H4"/>
    </sheetView>
  </sheetViews>
  <sheetFormatPr defaultRowHeight="16.5"/>
  <cols>
    <col min="2" max="2" width="9.75" bestFit="1" customWidth="1"/>
    <col min="27" max="27" width="10.625" style="8" bestFit="1" customWidth="1"/>
    <col min="28" max="28" width="23.25" style="8" bestFit="1" customWidth="1"/>
    <col min="29" max="29" width="22" style="8" bestFit="1" customWidth="1"/>
    <col min="30" max="30" width="8.75" style="8" bestFit="1" customWidth="1"/>
    <col min="31" max="32" width="7" style="8" bestFit="1" customWidth="1"/>
    <col min="33" max="33" width="5.25" style="8" bestFit="1" customWidth="1"/>
    <col min="34" max="34" width="42.75" style="8" bestFit="1" customWidth="1"/>
  </cols>
  <sheetData>
    <row r="2" spans="2:38">
      <c r="B2" s="8"/>
      <c r="C2" s="8"/>
      <c r="AA2" s="8" t="s">
        <v>120</v>
      </c>
    </row>
    <row r="3" spans="2:38">
      <c r="B3" s="24" t="s">
        <v>54</v>
      </c>
      <c r="C3" s="24" t="s">
        <v>95</v>
      </c>
      <c r="D3" s="13" t="s">
        <v>93</v>
      </c>
      <c r="F3" s="24" t="s">
        <v>93</v>
      </c>
      <c r="H3" s="124" t="s">
        <v>121</v>
      </c>
      <c r="I3" s="124" t="s">
        <v>93</v>
      </c>
      <c r="J3" s="124" t="s">
        <v>93</v>
      </c>
      <c r="K3" s="124" t="s">
        <v>93</v>
      </c>
      <c r="L3" s="124" t="s">
        <v>93</v>
      </c>
      <c r="M3" s="124" t="s">
        <v>93</v>
      </c>
      <c r="N3" s="124" t="s">
        <v>93</v>
      </c>
      <c r="AA3" s="156"/>
      <c r="AB3" s="156"/>
      <c r="AC3" s="156"/>
      <c r="AD3" s="156" t="s">
        <v>122</v>
      </c>
      <c r="AE3" s="156" t="s">
        <v>123</v>
      </c>
      <c r="AF3" s="156" t="s">
        <v>124</v>
      </c>
      <c r="AG3" s="156" t="s">
        <v>125</v>
      </c>
      <c r="AH3" s="156" t="s">
        <v>126</v>
      </c>
      <c r="AI3" s="126"/>
      <c r="AJ3" s="126"/>
      <c r="AK3" s="126"/>
      <c r="AL3" s="126"/>
    </row>
    <row r="4" spans="2:38">
      <c r="B4" s="120" t="s">
        <v>102</v>
      </c>
      <c r="C4" s="121" t="s">
        <v>110</v>
      </c>
      <c r="D4" s="37" t="s">
        <v>106</v>
      </c>
      <c r="F4" s="121" t="s">
        <v>127</v>
      </c>
      <c r="H4" s="125" t="s">
        <v>115</v>
      </c>
      <c r="I4" s="125" t="s">
        <v>82</v>
      </c>
      <c r="J4" s="125" t="s">
        <v>128</v>
      </c>
      <c r="K4" s="125" t="s">
        <v>84</v>
      </c>
      <c r="L4" s="125" t="s">
        <v>127</v>
      </c>
      <c r="M4" s="125" t="s">
        <v>127</v>
      </c>
      <c r="N4" s="125" t="s">
        <v>127</v>
      </c>
      <c r="AA4" s="156"/>
      <c r="AB4" s="156"/>
      <c r="AC4" s="156"/>
      <c r="AD4" s="156"/>
      <c r="AE4" s="156"/>
      <c r="AF4" s="156"/>
      <c r="AG4" s="156"/>
      <c r="AH4" s="156"/>
      <c r="AI4" s="126"/>
      <c r="AJ4" s="126"/>
      <c r="AK4" s="126"/>
      <c r="AL4" s="126"/>
    </row>
    <row r="5" spans="2:38">
      <c r="B5" s="25">
        <f>운전실적_원본!A5</f>
        <v>45657</v>
      </c>
      <c r="C5" s="122">
        <f>일별!Q24</f>
        <v>154</v>
      </c>
      <c r="D5" s="15">
        <f>일별!I24</f>
        <v>2</v>
      </c>
      <c r="F5" s="122">
        <f t="shared" ref="F5:F22" si="0">C5-D5</f>
        <v>152</v>
      </c>
      <c r="AA5" s="156" t="s">
        <v>129</v>
      </c>
      <c r="AB5" s="156" t="s">
        <v>130</v>
      </c>
      <c r="AC5" s="156"/>
      <c r="AD5" s="156" t="s">
        <v>131</v>
      </c>
      <c r="AE5" s="156" t="s">
        <v>132</v>
      </c>
      <c r="AF5" s="156" t="s">
        <v>132</v>
      </c>
      <c r="AG5" s="156"/>
      <c r="AH5" s="156" t="s">
        <v>133</v>
      </c>
      <c r="AI5" s="126"/>
      <c r="AJ5" s="126"/>
      <c r="AK5" s="126"/>
      <c r="AL5" s="126"/>
    </row>
    <row r="6" spans="2:38">
      <c r="B6" s="25">
        <f>운전실적_원본!A7</f>
        <v>45659</v>
      </c>
      <c r="C6" s="122">
        <f>일별!Q25</f>
        <v>200</v>
      </c>
      <c r="D6" s="15">
        <f>일별!I25</f>
        <v>5</v>
      </c>
      <c r="F6" s="122">
        <f t="shared" si="0"/>
        <v>195</v>
      </c>
      <c r="AA6" s="156"/>
      <c r="AB6" s="156" t="s">
        <v>134</v>
      </c>
      <c r="AC6" s="156"/>
      <c r="AD6" s="156" t="s">
        <v>135</v>
      </c>
      <c r="AE6" s="156" t="s">
        <v>132</v>
      </c>
      <c r="AF6" s="156" t="s">
        <v>132</v>
      </c>
      <c r="AG6" s="156"/>
      <c r="AH6" s="156" t="s">
        <v>136</v>
      </c>
      <c r="AI6" s="126"/>
      <c r="AJ6" s="126"/>
      <c r="AK6" s="126"/>
      <c r="AL6" s="126"/>
    </row>
    <row r="7" spans="2:38">
      <c r="B7" s="25">
        <f>운전실적_원본!A8</f>
        <v>45660</v>
      </c>
      <c r="C7" s="122">
        <f>일별!Q26</f>
        <v>194</v>
      </c>
      <c r="D7" s="15">
        <f>일별!I26</f>
        <v>4</v>
      </c>
      <c r="F7" s="122">
        <f t="shared" si="0"/>
        <v>190</v>
      </c>
      <c r="AA7" s="156"/>
      <c r="AB7" s="157" t="s">
        <v>137</v>
      </c>
      <c r="AC7" s="157" t="s">
        <v>138</v>
      </c>
      <c r="AD7" s="156" t="s">
        <v>135</v>
      </c>
      <c r="AE7" s="156" t="s">
        <v>132</v>
      </c>
      <c r="AF7" s="156">
        <v>0.64300000000000002</v>
      </c>
      <c r="AG7" s="156" t="s">
        <v>139</v>
      </c>
      <c r="AH7" s="156" t="s">
        <v>140</v>
      </c>
      <c r="AI7" s="126"/>
      <c r="AJ7" s="126"/>
      <c r="AK7" s="126"/>
      <c r="AL7" s="126"/>
    </row>
    <row r="8" spans="2:38">
      <c r="B8" s="25">
        <f>운전실적_원본!A9</f>
        <v>45661</v>
      </c>
      <c r="C8" s="122">
        <f>일별!Q27</f>
        <v>166</v>
      </c>
      <c r="D8" s="15">
        <f>일별!I27</f>
        <v>5</v>
      </c>
      <c r="F8" s="122">
        <f t="shared" si="0"/>
        <v>161</v>
      </c>
      <c r="AA8" s="156"/>
      <c r="AB8" s="156" t="s">
        <v>141</v>
      </c>
      <c r="AC8" s="156"/>
      <c r="AD8" s="156" t="s">
        <v>135</v>
      </c>
      <c r="AE8" s="156" t="s">
        <v>132</v>
      </c>
      <c r="AF8" s="156" t="s">
        <v>132</v>
      </c>
      <c r="AG8" s="156"/>
      <c r="AH8" s="156" t="s">
        <v>142</v>
      </c>
      <c r="AI8" s="126"/>
      <c r="AJ8" s="126"/>
      <c r="AK8" s="126"/>
      <c r="AL8" s="126"/>
    </row>
    <row r="9" spans="2:38">
      <c r="B9" s="25">
        <f>운전실적_원본!A10</f>
        <v>45662</v>
      </c>
      <c r="C9" s="122">
        <f>일별!Q28</f>
        <v>217</v>
      </c>
      <c r="D9" s="15">
        <f>일별!I28</f>
        <v>5</v>
      </c>
      <c r="F9" s="122">
        <f t="shared" si="0"/>
        <v>212</v>
      </c>
      <c r="AA9" s="156"/>
      <c r="AB9" s="156" t="s">
        <v>143</v>
      </c>
      <c r="AC9" s="157" t="s">
        <v>144</v>
      </c>
      <c r="AD9" s="156" t="s">
        <v>135</v>
      </c>
      <c r="AE9" s="156" t="s">
        <v>132</v>
      </c>
      <c r="AF9" s="156">
        <v>0.5</v>
      </c>
      <c r="AG9" s="156" t="s">
        <v>145</v>
      </c>
      <c r="AH9" s="156" t="s">
        <v>146</v>
      </c>
      <c r="AI9" s="126"/>
      <c r="AJ9" s="126"/>
      <c r="AK9" s="126"/>
      <c r="AL9" s="126"/>
    </row>
    <row r="10" spans="2:38">
      <c r="B10" s="25">
        <f>운전실적_원본!A11</f>
        <v>45663</v>
      </c>
      <c r="C10" s="122">
        <f>일별!Q29</f>
        <v>146</v>
      </c>
      <c r="D10" s="15">
        <f>일별!I29</f>
        <v>5</v>
      </c>
      <c r="F10" s="122">
        <f t="shared" si="0"/>
        <v>141</v>
      </c>
      <c r="AA10" s="156"/>
      <c r="AB10" s="156"/>
      <c r="AC10" s="156" t="s">
        <v>147</v>
      </c>
      <c r="AD10" s="156"/>
      <c r="AE10" s="156"/>
      <c r="AF10" s="156" t="s">
        <v>132</v>
      </c>
      <c r="AG10" s="156"/>
      <c r="AH10" s="156"/>
      <c r="AI10" s="126"/>
      <c r="AJ10" s="126"/>
      <c r="AK10" s="126"/>
      <c r="AL10" s="126"/>
    </row>
    <row r="11" spans="2:38">
      <c r="B11" s="25">
        <f>운전실적_원본!A12</f>
        <v>45664</v>
      </c>
      <c r="C11" s="122">
        <f>일별!Q30</f>
        <v>27</v>
      </c>
      <c r="D11" s="15">
        <f>일별!I30</f>
        <v>1</v>
      </c>
      <c r="F11" s="122">
        <f t="shared" si="0"/>
        <v>26</v>
      </c>
      <c r="AA11" s="156"/>
      <c r="AB11" s="156"/>
      <c r="AC11" s="157" t="s">
        <v>148</v>
      </c>
      <c r="AD11" s="156"/>
      <c r="AE11" s="156"/>
      <c r="AF11" s="156" t="s">
        <v>132</v>
      </c>
      <c r="AG11" s="156"/>
      <c r="AH11" s="156"/>
      <c r="AI11" s="126"/>
      <c r="AJ11" s="126"/>
      <c r="AK11" s="126"/>
      <c r="AL11" s="126"/>
    </row>
    <row r="12" spans="2:38">
      <c r="B12" s="25">
        <f>운전실적_원본!A13</f>
        <v>45665</v>
      </c>
      <c r="C12" s="122">
        <f>일별!Q31</f>
        <v>238</v>
      </c>
      <c r="D12" s="15">
        <f>일별!I31</f>
        <v>2</v>
      </c>
      <c r="F12" s="122">
        <f t="shared" si="0"/>
        <v>236</v>
      </c>
      <c r="AA12" s="156"/>
      <c r="AB12" s="156" t="s">
        <v>149</v>
      </c>
      <c r="AC12" s="156" t="s">
        <v>132</v>
      </c>
      <c r="AD12" s="156" t="s">
        <v>135</v>
      </c>
      <c r="AE12" s="156" t="s">
        <v>132</v>
      </c>
      <c r="AF12" s="156" t="s">
        <v>132</v>
      </c>
      <c r="AG12" s="156"/>
      <c r="AH12" s="156" t="s">
        <v>150</v>
      </c>
      <c r="AI12" s="126"/>
      <c r="AJ12" s="126"/>
      <c r="AK12" s="126"/>
      <c r="AL12" s="126"/>
    </row>
    <row r="13" spans="2:38">
      <c r="B13" s="25">
        <f>운전실적_원본!A14</f>
        <v>45666</v>
      </c>
      <c r="C13" s="122">
        <f>일별!Q32</f>
        <v>272</v>
      </c>
      <c r="D13" s="15">
        <f>일별!I32</f>
        <v>1</v>
      </c>
      <c r="F13" s="122">
        <f t="shared" si="0"/>
        <v>271</v>
      </c>
      <c r="AA13" s="156"/>
      <c r="AB13" s="156" t="s">
        <v>151</v>
      </c>
      <c r="AC13" s="156"/>
      <c r="AD13" s="156" t="s">
        <v>131</v>
      </c>
      <c r="AE13" s="156" t="s">
        <v>132</v>
      </c>
      <c r="AF13" s="156" t="s">
        <v>132</v>
      </c>
      <c r="AG13" s="156" t="s">
        <v>132</v>
      </c>
      <c r="AH13" s="156" t="s">
        <v>152</v>
      </c>
      <c r="AI13" s="126"/>
      <c r="AJ13" s="126"/>
      <c r="AK13" s="126"/>
      <c r="AL13" s="126"/>
    </row>
    <row r="14" spans="2:38">
      <c r="B14" s="25">
        <f>운전실적_원본!A15</f>
        <v>45667</v>
      </c>
      <c r="C14" s="122">
        <f>일별!Q33</f>
        <v>261</v>
      </c>
      <c r="D14" s="15">
        <f>일별!I33</f>
        <v>1</v>
      </c>
      <c r="F14" s="122">
        <f t="shared" si="0"/>
        <v>260</v>
      </c>
      <c r="AA14" s="156"/>
      <c r="AB14" s="156" t="s">
        <v>153</v>
      </c>
      <c r="AC14" s="156" t="s">
        <v>154</v>
      </c>
      <c r="AD14" s="156" t="s">
        <v>155</v>
      </c>
      <c r="AE14" s="156"/>
      <c r="AF14" s="156"/>
      <c r="AG14" s="156"/>
      <c r="AH14" s="156" t="s">
        <v>156</v>
      </c>
      <c r="AI14" s="126"/>
      <c r="AJ14" s="126"/>
      <c r="AK14" s="126"/>
      <c r="AL14" s="126"/>
    </row>
    <row r="15" spans="2:38">
      <c r="B15" s="25">
        <f>운전실적_원본!A16</f>
        <v>45668</v>
      </c>
      <c r="C15" s="122">
        <f>일별!Q34</f>
        <v>276</v>
      </c>
      <c r="D15" s="15">
        <f>일별!I34</f>
        <v>2</v>
      </c>
      <c r="F15" s="122">
        <f t="shared" si="0"/>
        <v>274</v>
      </c>
      <c r="AA15" s="156"/>
      <c r="AB15" s="156" t="s">
        <v>157</v>
      </c>
      <c r="AC15" s="156" t="s">
        <v>158</v>
      </c>
      <c r="AD15" s="156" t="s">
        <v>159</v>
      </c>
      <c r="AE15" s="156"/>
      <c r="AF15" s="156">
        <v>460</v>
      </c>
      <c r="AG15" s="156" t="s">
        <v>160</v>
      </c>
      <c r="AH15" s="156" t="s">
        <v>161</v>
      </c>
      <c r="AI15" s="126"/>
      <c r="AJ15" s="126"/>
      <c r="AK15" s="126"/>
      <c r="AL15" s="126"/>
    </row>
    <row r="16" spans="2:38">
      <c r="B16" s="25">
        <f>운전실적_원본!A17</f>
        <v>45669</v>
      </c>
      <c r="C16" s="122">
        <f>일별!Q35</f>
        <v>259</v>
      </c>
      <c r="D16" s="15">
        <f>일별!I35</f>
        <v>1</v>
      </c>
      <c r="F16" s="122">
        <f t="shared" si="0"/>
        <v>258</v>
      </c>
      <c r="AA16" s="156"/>
      <c r="AB16" s="156" t="s">
        <v>162</v>
      </c>
      <c r="AC16" s="156"/>
      <c r="AD16" s="156"/>
      <c r="AE16" s="156"/>
      <c r="AF16" s="156">
        <v>2.1</v>
      </c>
      <c r="AG16" s="156" t="s">
        <v>12</v>
      </c>
      <c r="AH16" s="156" t="s">
        <v>163</v>
      </c>
      <c r="AI16" s="126"/>
      <c r="AJ16" s="126"/>
      <c r="AK16" s="126"/>
      <c r="AL16" s="126"/>
    </row>
    <row r="17" spans="2:34">
      <c r="B17" s="25">
        <f>운전실적_원본!A18</f>
        <v>45670</v>
      </c>
      <c r="C17" s="122">
        <f>일별!Q36</f>
        <v>242</v>
      </c>
      <c r="D17" s="15">
        <f>일별!I36</f>
        <v>5</v>
      </c>
      <c r="F17" s="122">
        <f t="shared" si="0"/>
        <v>237</v>
      </c>
      <c r="AA17" s="158"/>
      <c r="AB17" s="158" t="s">
        <v>164</v>
      </c>
      <c r="AC17" s="158"/>
      <c r="AD17" s="158"/>
      <c r="AE17" s="158"/>
      <c r="AF17" s="158"/>
      <c r="AG17" s="158"/>
      <c r="AH17" s="158"/>
    </row>
    <row r="18" spans="2:34">
      <c r="B18" s="25">
        <f>운전실적_원본!A19</f>
        <v>45671</v>
      </c>
      <c r="C18" s="122">
        <f>일별!Q37</f>
        <v>156</v>
      </c>
      <c r="D18" s="15">
        <f>일별!I37</f>
        <v>1</v>
      </c>
      <c r="F18" s="122">
        <f t="shared" si="0"/>
        <v>155</v>
      </c>
      <c r="AA18" s="158"/>
      <c r="AB18" s="158" t="s">
        <v>165</v>
      </c>
      <c r="AC18" s="158"/>
      <c r="AD18" s="158"/>
      <c r="AE18" s="158"/>
      <c r="AF18" s="158"/>
      <c r="AG18" s="158"/>
      <c r="AH18" s="158"/>
    </row>
    <row r="19" spans="2:34">
      <c r="B19" s="25">
        <f>운전실적_원본!A20</f>
        <v>45672</v>
      </c>
      <c r="C19" s="122">
        <f>일별!Q38</f>
        <v>204</v>
      </c>
      <c r="D19" s="15">
        <f>일별!I38</f>
        <v>1</v>
      </c>
      <c r="F19" s="122">
        <f t="shared" si="0"/>
        <v>203</v>
      </c>
    </row>
    <row r="20" spans="2:34">
      <c r="B20" s="25">
        <f>운전실적_원본!A21</f>
        <v>45673</v>
      </c>
      <c r="C20" s="122">
        <f>일별!Q39</f>
        <v>204</v>
      </c>
      <c r="D20" s="15">
        <f>일별!I39</f>
        <v>5</v>
      </c>
      <c r="F20" s="122">
        <f t="shared" si="0"/>
        <v>199</v>
      </c>
    </row>
    <row r="21" spans="2:34">
      <c r="B21" s="25">
        <f>운전실적_원본!A22</f>
        <v>45674</v>
      </c>
      <c r="C21" s="122">
        <f>일별!Q40</f>
        <v>335</v>
      </c>
      <c r="D21" s="15">
        <f>일별!I40</f>
        <v>4</v>
      </c>
      <c r="F21" s="122">
        <f t="shared" si="0"/>
        <v>331</v>
      </c>
    </row>
    <row r="22" spans="2:34">
      <c r="B22" s="25">
        <f>운전실적_원본!A23</f>
        <v>45675</v>
      </c>
      <c r="C22" s="122">
        <f>일별!Q41</f>
        <v>318</v>
      </c>
      <c r="D22" s="15">
        <f>일별!I41</f>
        <v>4</v>
      </c>
      <c r="F22" s="122">
        <f t="shared" si="0"/>
        <v>314</v>
      </c>
    </row>
    <row r="23" spans="2:34">
      <c r="B23" s="25">
        <f>운전실적_원본!A24</f>
        <v>45676</v>
      </c>
      <c r="C23" s="122">
        <f>일별!Q42</f>
        <v>292</v>
      </c>
      <c r="D23" s="15">
        <f>일별!I42</f>
        <v>4</v>
      </c>
      <c r="F23" s="122">
        <f>IFERROR(C23-D23,"")</f>
        <v>288</v>
      </c>
    </row>
    <row r="24" spans="2:34">
      <c r="B24" s="25">
        <f>운전실적_원본!A25</f>
        <v>45677</v>
      </c>
      <c r="C24" s="122">
        <f>일별!Q43</f>
        <v>249</v>
      </c>
      <c r="D24" s="15">
        <f>일별!I43</f>
        <v>4</v>
      </c>
      <c r="F24" s="122">
        <f t="shared" ref="F24:F87" si="1">IFERROR(C24-D24,"")</f>
        <v>245</v>
      </c>
    </row>
    <row r="25" spans="2:34">
      <c r="B25" s="25">
        <f>운전실적_원본!A26</f>
        <v>45678</v>
      </c>
      <c r="C25" s="122">
        <f>일별!Q44</f>
        <v>287</v>
      </c>
      <c r="D25" s="15">
        <f>일별!I44</f>
        <v>1</v>
      </c>
      <c r="F25" s="122">
        <f t="shared" si="1"/>
        <v>286</v>
      </c>
    </row>
    <row r="26" spans="2:34">
      <c r="B26" s="25">
        <f>운전실적_원본!A27</f>
        <v>45679</v>
      </c>
      <c r="C26" s="122">
        <f>일별!Q45</f>
        <v>107</v>
      </c>
      <c r="D26" s="15">
        <f>일별!I45</f>
        <v>2</v>
      </c>
      <c r="F26" s="122">
        <f t="shared" si="1"/>
        <v>105</v>
      </c>
    </row>
    <row r="27" spans="2:34">
      <c r="B27" s="25">
        <f>운전실적_원본!A28</f>
        <v>45680</v>
      </c>
      <c r="C27" s="122">
        <f>일별!Q46</f>
        <v>200</v>
      </c>
      <c r="D27" s="15">
        <f>일별!I46</f>
        <v>4</v>
      </c>
      <c r="F27" s="122">
        <f t="shared" si="1"/>
        <v>196</v>
      </c>
    </row>
    <row r="28" spans="2:34">
      <c r="B28" s="25">
        <f>운전실적_원본!A29</f>
        <v>45681</v>
      </c>
      <c r="C28" s="122">
        <f>일별!Q47</f>
        <v>308</v>
      </c>
      <c r="D28" s="15">
        <f>일별!I47</f>
        <v>5</v>
      </c>
      <c r="F28" s="122">
        <f t="shared" si="1"/>
        <v>303</v>
      </c>
    </row>
    <row r="29" spans="2:34">
      <c r="B29" s="25">
        <f>운전실적_원본!A30</f>
        <v>45682</v>
      </c>
      <c r="C29" s="122">
        <f>일별!Q48</f>
        <v>297</v>
      </c>
      <c r="D29" s="15">
        <f>일별!I48</f>
        <v>4</v>
      </c>
      <c r="F29" s="122">
        <f t="shared" si="1"/>
        <v>293</v>
      </c>
    </row>
    <row r="30" spans="2:34">
      <c r="B30" s="25">
        <f>운전실적_원본!A31</f>
        <v>45683</v>
      </c>
      <c r="C30" s="122">
        <f>일별!Q49</f>
        <v>295</v>
      </c>
      <c r="D30" s="15">
        <f>일별!I49</f>
        <v>6</v>
      </c>
      <c r="F30" s="122">
        <f t="shared" si="1"/>
        <v>289</v>
      </c>
    </row>
    <row r="31" spans="2:34">
      <c r="B31" s="25">
        <f>운전실적_원본!A32</f>
        <v>45684</v>
      </c>
      <c r="C31" s="122">
        <f>일별!Q50</f>
        <v>298</v>
      </c>
      <c r="D31" s="15">
        <f>일별!I50</f>
        <v>3</v>
      </c>
      <c r="F31" s="122">
        <f t="shared" si="1"/>
        <v>295</v>
      </c>
    </row>
    <row r="32" spans="2:34">
      <c r="B32" s="25">
        <f>운전실적_원본!A33</f>
        <v>45685</v>
      </c>
      <c r="C32" s="122">
        <f>일별!Q51</f>
        <v>242</v>
      </c>
      <c r="D32" s="15">
        <f>일별!I51</f>
        <v>3</v>
      </c>
      <c r="F32" s="122">
        <f t="shared" si="1"/>
        <v>239</v>
      </c>
    </row>
    <row r="33" spans="2:6">
      <c r="B33" s="25">
        <f>운전실적_원본!A34</f>
        <v>45686</v>
      </c>
      <c r="C33" s="122">
        <f>일별!Q52</f>
        <v>28</v>
      </c>
      <c r="D33" s="15">
        <f>일별!I52</f>
        <v>2</v>
      </c>
      <c r="F33" s="122">
        <f t="shared" si="1"/>
        <v>26</v>
      </c>
    </row>
    <row r="34" spans="2:6">
      <c r="B34" s="25">
        <f>운전실적_원본!A35</f>
        <v>45687</v>
      </c>
      <c r="C34" s="122">
        <f>일별!Q53</f>
        <v>221</v>
      </c>
      <c r="D34" s="15">
        <f>일별!I53</f>
        <v>7</v>
      </c>
      <c r="F34" s="122">
        <f t="shared" si="1"/>
        <v>214</v>
      </c>
    </row>
    <row r="35" spans="2:6">
      <c r="B35" s="25">
        <f>운전실적_원본!A36</f>
        <v>45688</v>
      </c>
      <c r="C35" s="122">
        <f>일별!Q54</f>
        <v>296</v>
      </c>
      <c r="D35" s="15">
        <f>일별!I54</f>
        <v>5</v>
      </c>
      <c r="F35" s="122">
        <f t="shared" si="1"/>
        <v>291</v>
      </c>
    </row>
    <row r="36" spans="2:6">
      <c r="B36" s="25">
        <f>운전실적_원본!A37</f>
        <v>45689</v>
      </c>
      <c r="C36" s="122">
        <f>일별!Q55</f>
        <v>305</v>
      </c>
      <c r="D36" s="15">
        <f>일별!I55</f>
        <v>6</v>
      </c>
      <c r="F36" s="122">
        <f t="shared" si="1"/>
        <v>299</v>
      </c>
    </row>
    <row r="37" spans="2:6">
      <c r="B37" s="25">
        <f>운전실적_원본!A38</f>
        <v>45690</v>
      </c>
      <c r="C37" s="122">
        <f>일별!Q56</f>
        <v>221</v>
      </c>
      <c r="D37" s="15">
        <f>일별!I56</f>
        <v>4</v>
      </c>
      <c r="F37" s="122">
        <f t="shared" si="1"/>
        <v>217</v>
      </c>
    </row>
    <row r="38" spans="2:6">
      <c r="B38" s="25">
        <f>운전실적_원본!A39</f>
        <v>45691</v>
      </c>
      <c r="C38" s="122">
        <f>일별!Q57</f>
        <v>284</v>
      </c>
      <c r="D38" s="15">
        <f>일별!I57</f>
        <v>5</v>
      </c>
      <c r="F38" s="122">
        <f t="shared" si="1"/>
        <v>279</v>
      </c>
    </row>
    <row r="39" spans="2:6">
      <c r="B39" s="25">
        <f>운전실적_원본!A40</f>
        <v>45692</v>
      </c>
      <c r="C39" s="122">
        <f>일별!Q58</f>
        <v>297</v>
      </c>
      <c r="D39" s="15">
        <f>일별!I58</f>
        <v>3</v>
      </c>
      <c r="F39" s="122">
        <f t="shared" si="1"/>
        <v>294</v>
      </c>
    </row>
    <row r="40" spans="2:6">
      <c r="B40" s="25">
        <f>운전실적_원본!A41</f>
        <v>45693</v>
      </c>
      <c r="C40" s="122">
        <f>일별!Q59</f>
        <v>117</v>
      </c>
      <c r="D40" s="15">
        <f>일별!I59</f>
        <v>2</v>
      </c>
      <c r="F40" s="122">
        <f t="shared" si="1"/>
        <v>115</v>
      </c>
    </row>
    <row r="41" spans="2:6">
      <c r="B41" s="25">
        <f>운전실적_원본!A42</f>
        <v>45694</v>
      </c>
      <c r="C41" s="122">
        <f>일별!Q60</f>
        <v>207</v>
      </c>
      <c r="D41" s="15">
        <f>일별!I60</f>
        <v>5</v>
      </c>
      <c r="F41" s="122">
        <f t="shared" si="1"/>
        <v>202</v>
      </c>
    </row>
    <row r="42" spans="2:6">
      <c r="B42" s="25">
        <f>운전실적_원본!A43</f>
        <v>45695</v>
      </c>
      <c r="C42" s="122">
        <f>일별!Q61</f>
        <v>294</v>
      </c>
      <c r="D42" s="15">
        <f>일별!I61</f>
        <v>4</v>
      </c>
      <c r="F42" s="122">
        <f t="shared" si="1"/>
        <v>290</v>
      </c>
    </row>
    <row r="43" spans="2:6">
      <c r="B43" s="25">
        <f>운전실적_원본!A44</f>
        <v>45696</v>
      </c>
      <c r="C43" s="122">
        <f>일별!Q62</f>
        <v>278</v>
      </c>
      <c r="D43" s="15">
        <f>일별!I62</f>
        <v>4</v>
      </c>
      <c r="F43" s="122">
        <f t="shared" si="1"/>
        <v>274</v>
      </c>
    </row>
    <row r="44" spans="2:6">
      <c r="B44" s="25">
        <f>운전실적_원본!A45</f>
        <v>45697</v>
      </c>
      <c r="C44" s="122">
        <f>일별!Q63</f>
        <v>53</v>
      </c>
      <c r="D44" s="15">
        <f>일별!I63</f>
        <v>5</v>
      </c>
      <c r="F44" s="122">
        <f t="shared" si="1"/>
        <v>48</v>
      </c>
    </row>
    <row r="45" spans="2:6">
      <c r="B45" s="25">
        <f>운전실적_원본!A46</f>
        <v>45698</v>
      </c>
      <c r="C45" s="122">
        <f>일별!Q64</f>
        <v>32</v>
      </c>
      <c r="D45" s="15">
        <f>일별!I64</f>
        <v>6</v>
      </c>
      <c r="F45" s="122">
        <f t="shared" si="1"/>
        <v>26</v>
      </c>
    </row>
    <row r="46" spans="2:6">
      <c r="B46" s="25">
        <f>운전실적_원본!A47</f>
        <v>45699</v>
      </c>
      <c r="C46" s="122">
        <f>일별!Q65</f>
        <v>200</v>
      </c>
      <c r="D46" s="15">
        <f>일별!I65</f>
        <v>2</v>
      </c>
      <c r="F46" s="122">
        <f t="shared" si="1"/>
        <v>198</v>
      </c>
    </row>
    <row r="47" spans="2:6">
      <c r="B47" s="25">
        <f>운전실적_원본!A48</f>
        <v>45700</v>
      </c>
      <c r="C47" s="122">
        <f>일별!Q66</f>
        <v>155</v>
      </c>
      <c r="D47" s="15">
        <f>일별!I66</f>
        <v>3</v>
      </c>
      <c r="F47" s="122">
        <f t="shared" si="1"/>
        <v>152</v>
      </c>
    </row>
    <row r="48" spans="2:6">
      <c r="B48" s="25">
        <f>운전실적_원본!A49</f>
        <v>45701</v>
      </c>
      <c r="C48" s="122">
        <f>일별!Q67</f>
        <v>195</v>
      </c>
      <c r="D48" s="15">
        <f>일별!I67</f>
        <v>3</v>
      </c>
      <c r="F48" s="122">
        <f t="shared" si="1"/>
        <v>192</v>
      </c>
    </row>
    <row r="49" spans="2:6">
      <c r="B49" s="25">
        <f>운전실적_원본!A50</f>
        <v>45702</v>
      </c>
      <c r="C49" s="122">
        <f>일별!Q68</f>
        <v>157</v>
      </c>
      <c r="D49" s="15">
        <f>일별!I68</f>
        <v>6</v>
      </c>
      <c r="F49" s="122">
        <f t="shared" si="1"/>
        <v>151</v>
      </c>
    </row>
    <row r="50" spans="2:6">
      <c r="B50" s="25">
        <f>운전실적_원본!A51</f>
        <v>45703</v>
      </c>
      <c r="C50" s="122">
        <f>일별!Q69</f>
        <v>204</v>
      </c>
      <c r="D50" s="15">
        <f>일별!I69</f>
        <v>5</v>
      </c>
      <c r="F50" s="122">
        <f t="shared" si="1"/>
        <v>199</v>
      </c>
    </row>
    <row r="51" spans="2:6">
      <c r="B51" s="25">
        <f>운전실적_원본!A52</f>
        <v>45704</v>
      </c>
      <c r="C51" s="122">
        <f>일별!Q70</f>
        <v>353</v>
      </c>
      <c r="D51" s="15">
        <f>일별!I70</f>
        <v>5</v>
      </c>
      <c r="F51" s="122">
        <f t="shared" si="1"/>
        <v>348</v>
      </c>
    </row>
    <row r="52" spans="2:6">
      <c r="B52" s="25">
        <f>운전실적_원본!A53</f>
        <v>45705</v>
      </c>
      <c r="C52" s="122">
        <f>일별!Q71</f>
        <v>238</v>
      </c>
      <c r="D52" s="15">
        <f>일별!I71</f>
        <v>5</v>
      </c>
      <c r="F52" s="122">
        <f t="shared" si="1"/>
        <v>233</v>
      </c>
    </row>
    <row r="53" spans="2:6">
      <c r="B53" s="25">
        <f>운전실적_원본!A54</f>
        <v>45706</v>
      </c>
      <c r="C53" s="122">
        <f>일별!Q72</f>
        <v>453</v>
      </c>
      <c r="D53" s="15">
        <f>일별!I72</f>
        <v>4</v>
      </c>
      <c r="F53" s="122">
        <f t="shared" si="1"/>
        <v>449</v>
      </c>
    </row>
    <row r="54" spans="2:6">
      <c r="B54" s="25">
        <f>운전실적_원본!A55</f>
        <v>45707</v>
      </c>
      <c r="C54" s="122">
        <f>일별!Q73</f>
        <v>111</v>
      </c>
      <c r="D54" s="15">
        <f>일별!I73</f>
        <v>2</v>
      </c>
      <c r="F54" s="122">
        <f t="shared" si="1"/>
        <v>109</v>
      </c>
    </row>
    <row r="55" spans="2:6">
      <c r="B55" s="25">
        <f>운전실적_원본!A56</f>
        <v>45708</v>
      </c>
      <c r="C55" s="122">
        <f>일별!Q74</f>
        <v>293</v>
      </c>
      <c r="D55" s="15">
        <f>일별!I74</f>
        <v>9</v>
      </c>
      <c r="F55" s="122">
        <f t="shared" si="1"/>
        <v>284</v>
      </c>
    </row>
    <row r="56" spans="2:6">
      <c r="B56" s="25">
        <f>운전실적_원본!A57</f>
        <v>45709</v>
      </c>
      <c r="C56" s="122">
        <f>일별!Q75</f>
        <v>125</v>
      </c>
      <c r="D56" s="15">
        <f>일별!I75</f>
        <v>9</v>
      </c>
      <c r="F56" s="122">
        <f t="shared" si="1"/>
        <v>116</v>
      </c>
    </row>
    <row r="57" spans="2:6">
      <c r="B57" s="25">
        <f>운전실적_원본!A58</f>
        <v>45710</v>
      </c>
      <c r="C57" s="122">
        <f>일별!Q76</f>
        <v>322</v>
      </c>
      <c r="D57" s="15">
        <f>일별!I76</f>
        <v>5</v>
      </c>
      <c r="F57" s="122">
        <f t="shared" si="1"/>
        <v>317</v>
      </c>
    </row>
    <row r="58" spans="2:6">
      <c r="B58" s="25">
        <f>운전실적_원본!A59</f>
        <v>45711</v>
      </c>
      <c r="C58" s="122">
        <f>일별!Q77</f>
        <v>211</v>
      </c>
      <c r="D58" s="15">
        <f>일별!I77</f>
        <v>5</v>
      </c>
      <c r="F58" s="122">
        <f t="shared" si="1"/>
        <v>206</v>
      </c>
    </row>
    <row r="59" spans="2:6">
      <c r="B59" s="25">
        <f>운전실적_원본!A60</f>
        <v>45712</v>
      </c>
      <c r="C59" s="122">
        <f>일별!Q78</f>
        <v>180</v>
      </c>
      <c r="D59" s="15">
        <f>일별!I78</f>
        <v>6</v>
      </c>
      <c r="F59" s="122">
        <f t="shared" si="1"/>
        <v>174</v>
      </c>
    </row>
    <row r="60" spans="2:6">
      <c r="B60" s="25">
        <f>운전실적_원본!A61</f>
        <v>45713</v>
      </c>
      <c r="C60" s="122">
        <f>일별!Q79</f>
        <v>62</v>
      </c>
      <c r="D60" s="15">
        <f>일별!I79</f>
        <v>4</v>
      </c>
      <c r="F60" s="122">
        <f t="shared" si="1"/>
        <v>58</v>
      </c>
    </row>
    <row r="61" spans="2:6">
      <c r="B61" s="25">
        <f>운전실적_원본!A62</f>
        <v>45714</v>
      </c>
      <c r="C61" s="122">
        <f>일별!Q80</f>
        <v>325</v>
      </c>
      <c r="D61" s="15">
        <f>일별!I80</f>
        <v>13</v>
      </c>
      <c r="F61" s="122">
        <f t="shared" si="1"/>
        <v>312</v>
      </c>
    </row>
    <row r="62" spans="2:6">
      <c r="B62" s="25">
        <f>운전실적_원본!A63</f>
        <v>45715</v>
      </c>
      <c r="C62" s="122">
        <f>일별!Q81</f>
        <v>206</v>
      </c>
      <c r="D62" s="15">
        <f>일별!I81</f>
        <v>6</v>
      </c>
      <c r="F62" s="122">
        <f t="shared" si="1"/>
        <v>200</v>
      </c>
    </row>
    <row r="63" spans="2:6">
      <c r="B63" s="25">
        <f>운전실적_원본!A64</f>
        <v>45716</v>
      </c>
      <c r="C63" s="122">
        <f>일별!Q82</f>
        <v>278</v>
      </c>
      <c r="D63" s="15">
        <f>일별!I82</f>
        <v>4</v>
      </c>
      <c r="F63" s="122">
        <f t="shared" si="1"/>
        <v>274</v>
      </c>
    </row>
    <row r="64" spans="2:6">
      <c r="B64" s="25">
        <f>운전실적_원본!A65</f>
        <v>45717</v>
      </c>
      <c r="C64" s="122">
        <f>일별!Q83</f>
        <v>355</v>
      </c>
      <c r="D64" s="15">
        <f>일별!I83</f>
        <v>5</v>
      </c>
      <c r="F64" s="122">
        <f t="shared" si="1"/>
        <v>350</v>
      </c>
    </row>
    <row r="65" spans="2:6">
      <c r="B65" s="25">
        <f>운전실적_원본!A66</f>
        <v>45718</v>
      </c>
      <c r="C65" s="122">
        <f>일별!Q84</f>
        <v>288</v>
      </c>
      <c r="D65" s="15">
        <f>일별!I84</f>
        <v>5</v>
      </c>
      <c r="F65" s="122">
        <f t="shared" si="1"/>
        <v>283</v>
      </c>
    </row>
    <row r="66" spans="2:6">
      <c r="B66" s="25">
        <f>운전실적_원본!A67</f>
        <v>45719</v>
      </c>
      <c r="C66" s="122">
        <f>일별!Q85</f>
        <v>317</v>
      </c>
      <c r="D66" s="15">
        <f>일별!I85</f>
        <v>4</v>
      </c>
      <c r="F66" s="122">
        <f t="shared" si="1"/>
        <v>313</v>
      </c>
    </row>
    <row r="67" spans="2:6">
      <c r="B67" s="25">
        <f>운전실적_원본!A68</f>
        <v>45720</v>
      </c>
      <c r="C67" s="122">
        <f>일별!Q86</f>
        <v>211</v>
      </c>
      <c r="D67" s="15">
        <f>일별!I86</f>
        <v>3</v>
      </c>
      <c r="F67" s="122">
        <f t="shared" si="1"/>
        <v>208</v>
      </c>
    </row>
    <row r="68" spans="2:6">
      <c r="B68" s="25">
        <f>운전실적_원본!A69</f>
        <v>45721</v>
      </c>
      <c r="C68" s="122">
        <f>일별!Q87</f>
        <v>103</v>
      </c>
      <c r="D68" s="15">
        <f>일별!I87</f>
        <v>3</v>
      </c>
      <c r="F68" s="122">
        <f t="shared" si="1"/>
        <v>100</v>
      </c>
    </row>
    <row r="69" spans="2:6">
      <c r="B69" s="25">
        <f>운전실적_원본!A70</f>
        <v>45722</v>
      </c>
      <c r="C69" s="122">
        <f>일별!Q88</f>
        <v>70</v>
      </c>
      <c r="D69" s="15">
        <f>일별!I88</f>
        <v>5</v>
      </c>
      <c r="F69" s="122">
        <f t="shared" si="1"/>
        <v>65</v>
      </c>
    </row>
    <row r="70" spans="2:6">
      <c r="B70" s="25">
        <f>운전실적_원본!A71</f>
        <v>45723</v>
      </c>
      <c r="C70" s="122">
        <f>일별!Q89</f>
        <v>191</v>
      </c>
      <c r="D70" s="15">
        <f>일별!I89</f>
        <v>5</v>
      </c>
      <c r="F70" s="122">
        <f t="shared" si="1"/>
        <v>186</v>
      </c>
    </row>
    <row r="71" spans="2:6">
      <c r="B71" s="25">
        <f>운전실적_원본!A72</f>
        <v>45724</v>
      </c>
      <c r="C71" s="122">
        <f>일별!Q90</f>
        <v>324</v>
      </c>
      <c r="D71" s="15">
        <f>일별!I90</f>
        <v>4</v>
      </c>
      <c r="F71" s="122">
        <f t="shared" si="1"/>
        <v>320</v>
      </c>
    </row>
    <row r="72" spans="2:6">
      <c r="B72" s="25">
        <f>운전실적_원본!A73</f>
        <v>45725</v>
      </c>
      <c r="C72" s="122">
        <f>일별!Q91</f>
        <v>215</v>
      </c>
      <c r="D72" s="15">
        <f>일별!I91</f>
        <v>5</v>
      </c>
      <c r="F72" s="122">
        <f t="shared" si="1"/>
        <v>210</v>
      </c>
    </row>
    <row r="73" spans="2:6">
      <c r="B73" s="25">
        <f>운전실적_원본!A74</f>
        <v>45726</v>
      </c>
      <c r="C73" s="122">
        <f>일별!Q92</f>
        <v>200</v>
      </c>
      <c r="D73" s="15">
        <f>일별!I92</f>
        <v>5</v>
      </c>
      <c r="F73" s="122">
        <f t="shared" si="1"/>
        <v>195</v>
      </c>
    </row>
    <row r="74" spans="2:6">
      <c r="B74" s="25">
        <f>운전실적_원본!A75</f>
        <v>45727</v>
      </c>
      <c r="C74" s="122">
        <f>일별!Q93</f>
        <v>206</v>
      </c>
      <c r="D74" s="15">
        <f>일별!I93</f>
        <v>3</v>
      </c>
      <c r="F74" s="122">
        <f t="shared" si="1"/>
        <v>203</v>
      </c>
    </row>
    <row r="75" spans="2:6">
      <c r="B75" s="25">
        <f>운전실적_원본!A76</f>
        <v>45728</v>
      </c>
      <c r="C75" s="122">
        <f>일별!Q94</f>
        <v>143</v>
      </c>
      <c r="D75" s="15">
        <f>일별!I94</f>
        <v>4</v>
      </c>
      <c r="F75" s="122">
        <f t="shared" si="1"/>
        <v>139</v>
      </c>
    </row>
    <row r="76" spans="2:6">
      <c r="B76" s="25">
        <f>운전실적_원본!A77</f>
        <v>45729</v>
      </c>
      <c r="C76" s="122">
        <f>일별!Q95</f>
        <v>394</v>
      </c>
      <c r="D76" s="15">
        <f>일별!I95</f>
        <v>2</v>
      </c>
      <c r="F76" s="122">
        <f t="shared" si="1"/>
        <v>392</v>
      </c>
    </row>
    <row r="77" spans="2:6">
      <c r="B77" s="25">
        <f>운전실적_원본!A78</f>
        <v>45730</v>
      </c>
      <c r="C77" s="122">
        <f>일별!Q96</f>
        <v>133</v>
      </c>
      <c r="D77" s="15">
        <f>일별!I96</f>
        <v>6</v>
      </c>
      <c r="F77" s="122">
        <f t="shared" si="1"/>
        <v>127</v>
      </c>
    </row>
    <row r="78" spans="2:6">
      <c r="B78" s="25">
        <f>운전실적_원본!A79</f>
        <v>45731</v>
      </c>
      <c r="C78" s="122">
        <f>일별!Q97</f>
        <v>174</v>
      </c>
      <c r="D78" s="15">
        <f>일별!I97</f>
        <v>5</v>
      </c>
      <c r="F78" s="122">
        <f t="shared" si="1"/>
        <v>169</v>
      </c>
    </row>
    <row r="79" spans="2:6">
      <c r="B79" s="25">
        <f>운전실적_원본!A80</f>
        <v>45732</v>
      </c>
      <c r="C79" s="122">
        <f>일별!Q98</f>
        <v>390</v>
      </c>
      <c r="D79" s="15">
        <f>일별!I98</f>
        <v>5</v>
      </c>
      <c r="F79" s="122">
        <f t="shared" si="1"/>
        <v>385</v>
      </c>
    </row>
    <row r="80" spans="2:6">
      <c r="B80" s="25">
        <f>운전실적_원본!A81</f>
        <v>45733</v>
      </c>
      <c r="C80" s="122">
        <f>일별!Q99</f>
        <v>450</v>
      </c>
      <c r="D80" s="15">
        <f>일별!I99</f>
        <v>5</v>
      </c>
      <c r="F80" s="122">
        <f t="shared" si="1"/>
        <v>445</v>
      </c>
    </row>
    <row r="81" spans="2:6">
      <c r="B81" s="25">
        <f>운전실적_원본!A82</f>
        <v>45734</v>
      </c>
      <c r="C81" s="122">
        <f>일별!Q100</f>
        <v>404</v>
      </c>
      <c r="D81" s="15">
        <f>일별!I100</f>
        <v>3</v>
      </c>
      <c r="F81" s="122">
        <f t="shared" si="1"/>
        <v>401</v>
      </c>
    </row>
    <row r="82" spans="2:6">
      <c r="B82" s="25">
        <f>운전실적_원본!A83</f>
        <v>45735</v>
      </c>
      <c r="C82" s="122">
        <f>일별!Q101</f>
        <v>361</v>
      </c>
      <c r="D82" s="15">
        <f>일별!I101</f>
        <v>4</v>
      </c>
      <c r="F82" s="122">
        <f t="shared" si="1"/>
        <v>357</v>
      </c>
    </row>
    <row r="83" spans="2:6">
      <c r="B83" s="25">
        <f>운전실적_원본!A84</f>
        <v>45736</v>
      </c>
      <c r="C83" s="122">
        <f>일별!Q102</f>
        <v>121</v>
      </c>
      <c r="D83" s="15">
        <f>일별!I102</f>
        <v>6</v>
      </c>
      <c r="F83" s="122">
        <f t="shared" si="1"/>
        <v>115</v>
      </c>
    </row>
    <row r="84" spans="2:6">
      <c r="B84" s="25">
        <f>운전실적_원본!A85</f>
        <v>45737</v>
      </c>
      <c r="C84" s="122">
        <f>일별!Q103</f>
        <v>557</v>
      </c>
      <c r="D84" s="15">
        <f>일별!I103</f>
        <v>5</v>
      </c>
      <c r="F84" s="122">
        <f t="shared" si="1"/>
        <v>552</v>
      </c>
    </row>
    <row r="85" spans="2:6">
      <c r="B85" s="25">
        <f>운전실적_원본!A86</f>
        <v>45738</v>
      </c>
      <c r="C85" s="122">
        <f>일별!Q104</f>
        <v>273</v>
      </c>
      <c r="D85" s="15">
        <f>일별!I104</f>
        <v>5</v>
      </c>
      <c r="F85" s="122">
        <f t="shared" si="1"/>
        <v>268</v>
      </c>
    </row>
    <row r="86" spans="2:6">
      <c r="B86" s="25">
        <f>운전실적_원본!A87</f>
        <v>45739</v>
      </c>
      <c r="C86" s="122">
        <f>일별!Q105</f>
        <v>353</v>
      </c>
      <c r="D86" s="15">
        <f>일별!I105</f>
        <v>5</v>
      </c>
      <c r="F86" s="122">
        <f t="shared" si="1"/>
        <v>348</v>
      </c>
    </row>
    <row r="87" spans="2:6">
      <c r="B87" s="25">
        <f>운전실적_원본!A88</f>
        <v>45740</v>
      </c>
      <c r="C87" s="122">
        <f>일별!Q106</f>
        <v>294</v>
      </c>
      <c r="D87" s="15">
        <f>일별!I106</f>
        <v>4</v>
      </c>
      <c r="F87" s="122">
        <f t="shared" si="1"/>
        <v>290</v>
      </c>
    </row>
    <row r="88" spans="2:6">
      <c r="B88" s="25">
        <f>운전실적_원본!A89</f>
        <v>45741</v>
      </c>
      <c r="C88" s="122">
        <f>일별!Q107</f>
        <v>271</v>
      </c>
      <c r="D88" s="15">
        <f>일별!I107</f>
        <v>2</v>
      </c>
      <c r="F88" s="122">
        <f t="shared" ref="F88:F151" si="2">IFERROR(C88-D88,"")</f>
        <v>269</v>
      </c>
    </row>
    <row r="89" spans="2:6">
      <c r="B89" s="25">
        <f>운전실적_원본!A90</f>
        <v>45742</v>
      </c>
      <c r="C89" s="122">
        <f>일별!Q108</f>
        <v>22</v>
      </c>
      <c r="D89" s="15">
        <f>일별!I108</f>
        <v>3</v>
      </c>
      <c r="F89" s="122">
        <f t="shared" si="2"/>
        <v>19</v>
      </c>
    </row>
    <row r="90" spans="2:6">
      <c r="B90" s="25">
        <f>운전실적_원본!A91</f>
        <v>45743</v>
      </c>
      <c r="C90" s="122">
        <f>일별!Q109</f>
        <v>197</v>
      </c>
      <c r="D90" s="15">
        <f>일별!I109</f>
        <v>5</v>
      </c>
      <c r="F90" s="122">
        <f t="shared" si="2"/>
        <v>192</v>
      </c>
    </row>
    <row r="91" spans="2:6">
      <c r="B91" s="25">
        <f>운전실적_원본!A92</f>
        <v>45744</v>
      </c>
      <c r="C91" s="122">
        <f>일별!Q110</f>
        <v>271</v>
      </c>
      <c r="D91" s="15">
        <f>일별!I110</f>
        <v>5</v>
      </c>
      <c r="F91" s="122">
        <f t="shared" si="2"/>
        <v>266</v>
      </c>
    </row>
    <row r="92" spans="2:6">
      <c r="B92" s="25">
        <f>운전실적_원본!A93</f>
        <v>45745</v>
      </c>
      <c r="C92" s="122">
        <f>일별!Q111</f>
        <v>398</v>
      </c>
      <c r="D92" s="15">
        <f>일별!I111</f>
        <v>5</v>
      </c>
      <c r="F92" s="122">
        <f t="shared" si="2"/>
        <v>393</v>
      </c>
    </row>
    <row r="93" spans="2:6">
      <c r="B93" s="25">
        <f>운전실적_원본!A94</f>
        <v>45746</v>
      </c>
      <c r="C93" s="122">
        <f>일별!Q112</f>
        <v>108</v>
      </c>
      <c r="D93" s="15">
        <f>일별!I112</f>
        <v>5</v>
      </c>
      <c r="F93" s="122">
        <f t="shared" si="2"/>
        <v>103</v>
      </c>
    </row>
    <row r="94" spans="2:6">
      <c r="B94" s="25">
        <f>운전실적_원본!A95</f>
        <v>45747</v>
      </c>
      <c r="C94" s="122">
        <f>일별!Q113</f>
        <v>146</v>
      </c>
      <c r="D94" s="15">
        <f>일별!I113</f>
        <v>5</v>
      </c>
      <c r="F94" s="122">
        <f t="shared" si="2"/>
        <v>141</v>
      </c>
    </row>
    <row r="95" spans="2:6">
      <c r="B95" s="25">
        <f>운전실적_원본!A96</f>
        <v>45748</v>
      </c>
      <c r="C95" s="122">
        <f>일별!Q114</f>
        <v>67</v>
      </c>
      <c r="D95" s="15">
        <f>일별!I114</f>
        <v>3</v>
      </c>
      <c r="F95" s="122">
        <f t="shared" si="2"/>
        <v>64</v>
      </c>
    </row>
    <row r="96" spans="2:6">
      <c r="B96" s="25">
        <f>운전실적_원본!A97</f>
        <v>45749</v>
      </c>
      <c r="C96" s="122">
        <f>일별!Q115</f>
        <v>65</v>
      </c>
      <c r="D96" s="15">
        <f>일별!I115</f>
        <v>4</v>
      </c>
      <c r="F96" s="122">
        <f t="shared" si="2"/>
        <v>61</v>
      </c>
    </row>
    <row r="97" spans="2:6">
      <c r="B97" s="25">
        <f>운전실적_원본!A98</f>
        <v>45750</v>
      </c>
      <c r="C97" s="122">
        <f>일별!Q116</f>
        <v>103</v>
      </c>
      <c r="D97" s="15">
        <f>일별!I116</f>
        <v>5</v>
      </c>
      <c r="F97" s="122">
        <f t="shared" si="2"/>
        <v>98</v>
      </c>
    </row>
    <row r="98" spans="2:6">
      <c r="B98" s="25">
        <f>운전실적_원본!A99</f>
        <v>45751</v>
      </c>
      <c r="C98" s="122">
        <f>일별!Q117</f>
        <v>68</v>
      </c>
      <c r="D98" s="15">
        <f>일별!I117</f>
        <v>6</v>
      </c>
      <c r="F98" s="122">
        <f t="shared" si="2"/>
        <v>62</v>
      </c>
    </row>
    <row r="99" spans="2:6">
      <c r="B99" s="25">
        <f>운전실적_원본!A100</f>
        <v>45752</v>
      </c>
      <c r="C99" s="122">
        <f>일별!Q118</f>
        <v>104</v>
      </c>
      <c r="D99" s="15">
        <f>일별!I118</f>
        <v>5</v>
      </c>
      <c r="F99" s="122">
        <f t="shared" si="2"/>
        <v>99</v>
      </c>
    </row>
    <row r="100" spans="2:6">
      <c r="B100" s="25">
        <f>운전실적_원본!A101</f>
        <v>45753</v>
      </c>
      <c r="C100" s="122">
        <f>일별!Q119</f>
        <v>246</v>
      </c>
      <c r="D100" s="15">
        <f>일별!I119</f>
        <v>5</v>
      </c>
      <c r="F100" s="122">
        <f t="shared" si="2"/>
        <v>241</v>
      </c>
    </row>
    <row r="101" spans="2:6">
      <c r="B101" s="25">
        <f>운전실적_원본!A102</f>
        <v>45754</v>
      </c>
      <c r="C101" s="122">
        <f>일별!Q120</f>
        <v>253</v>
      </c>
      <c r="D101" s="15">
        <f>일별!I120</f>
        <v>6</v>
      </c>
      <c r="F101" s="122">
        <f t="shared" si="2"/>
        <v>247</v>
      </c>
    </row>
    <row r="102" spans="2:6">
      <c r="B102" s="25">
        <f>운전실적_원본!A103</f>
        <v>45755</v>
      </c>
      <c r="C102" s="122">
        <f>일별!Q121</f>
        <v>152</v>
      </c>
      <c r="D102" s="15">
        <f>일별!I121</f>
        <v>2</v>
      </c>
      <c r="F102" s="122">
        <f t="shared" si="2"/>
        <v>150</v>
      </c>
    </row>
    <row r="103" spans="2:6">
      <c r="B103" s="25">
        <f>운전실적_원본!A104</f>
        <v>45756</v>
      </c>
      <c r="C103" s="122">
        <f>일별!Q122</f>
        <v>149</v>
      </c>
      <c r="D103" s="15">
        <f>일별!I122</f>
        <v>3</v>
      </c>
      <c r="F103" s="122">
        <f t="shared" si="2"/>
        <v>146</v>
      </c>
    </row>
    <row r="104" spans="2:6">
      <c r="B104" s="25">
        <f>운전실적_원본!A105</f>
        <v>45757</v>
      </c>
      <c r="C104" s="122">
        <f>일별!Q123</f>
        <v>123</v>
      </c>
      <c r="D104" s="15">
        <f>일별!I123</f>
        <v>6</v>
      </c>
      <c r="F104" s="122">
        <f t="shared" si="2"/>
        <v>117</v>
      </c>
    </row>
    <row r="105" spans="2:6">
      <c r="B105" s="25">
        <f>운전실적_원본!A106</f>
        <v>45758</v>
      </c>
      <c r="C105" s="122">
        <f>일별!Q124</f>
        <v>265</v>
      </c>
      <c r="D105" s="15">
        <f>일별!I124</f>
        <v>4</v>
      </c>
      <c r="F105" s="122">
        <f t="shared" si="2"/>
        <v>261</v>
      </c>
    </row>
    <row r="106" spans="2:6">
      <c r="B106" s="25">
        <f>운전실적_원본!A107</f>
        <v>45759</v>
      </c>
      <c r="C106" s="122">
        <f>일별!Q125</f>
        <v>288</v>
      </c>
      <c r="D106" s="15">
        <f>일별!I125</f>
        <v>6</v>
      </c>
      <c r="F106" s="122">
        <f t="shared" si="2"/>
        <v>282</v>
      </c>
    </row>
    <row r="107" spans="2:6">
      <c r="B107" s="25">
        <f>운전실적_원본!A108</f>
        <v>45760</v>
      </c>
      <c r="C107" s="122">
        <f>일별!Q126</f>
        <v>149</v>
      </c>
      <c r="D107" s="15">
        <f>일별!I126</f>
        <v>2</v>
      </c>
      <c r="F107" s="122">
        <f t="shared" si="2"/>
        <v>147</v>
      </c>
    </row>
    <row r="108" spans="2:6">
      <c r="B108" s="25">
        <f>운전실적_원본!A109</f>
        <v>45761</v>
      </c>
      <c r="C108" s="122">
        <f>일별!Q127</f>
        <v>196</v>
      </c>
      <c r="D108" s="15">
        <f>일별!I127</f>
        <v>2</v>
      </c>
      <c r="F108" s="122">
        <f t="shared" si="2"/>
        <v>194</v>
      </c>
    </row>
    <row r="109" spans="2:6">
      <c r="B109" s="25">
        <f>운전실적_원본!A110</f>
        <v>45762</v>
      </c>
      <c r="C109" s="122">
        <f>일별!Q128</f>
        <v>187</v>
      </c>
      <c r="D109" s="15">
        <f>일별!I128</f>
        <v>2</v>
      </c>
      <c r="F109" s="122">
        <f t="shared" si="2"/>
        <v>185</v>
      </c>
    </row>
    <row r="110" spans="2:6">
      <c r="B110" s="25">
        <f>운전실적_원본!A111</f>
        <v>45763</v>
      </c>
      <c r="C110" s="122">
        <f>일별!Q129</f>
        <v>149</v>
      </c>
      <c r="D110" s="15">
        <f>일별!I129</f>
        <v>2</v>
      </c>
      <c r="F110" s="122">
        <f t="shared" si="2"/>
        <v>147</v>
      </c>
    </row>
    <row r="111" spans="2:6">
      <c r="B111" s="25">
        <f>운전실적_원본!A112</f>
        <v>45764</v>
      </c>
      <c r="C111" s="122">
        <f>일별!Q130</f>
        <v>241</v>
      </c>
      <c r="D111" s="15">
        <f>일별!I130</f>
        <v>3</v>
      </c>
      <c r="F111" s="122">
        <f t="shared" si="2"/>
        <v>238</v>
      </c>
    </row>
    <row r="112" spans="2:6">
      <c r="B112" s="25">
        <f>운전실적_원본!A113</f>
        <v>45765</v>
      </c>
      <c r="C112" s="122">
        <f>일별!Q131</f>
        <v>148</v>
      </c>
      <c r="D112" s="15">
        <f>일별!I131</f>
        <v>3</v>
      </c>
      <c r="F112" s="122">
        <f t="shared" si="2"/>
        <v>145</v>
      </c>
    </row>
    <row r="113" spans="2:6">
      <c r="B113" s="25">
        <f>운전실적_원본!A114</f>
        <v>45766</v>
      </c>
      <c r="C113" s="122">
        <f>일별!Q132</f>
        <v>206</v>
      </c>
      <c r="D113" s="15">
        <f>일별!I132</f>
        <v>4</v>
      </c>
      <c r="F113" s="122">
        <f t="shared" si="2"/>
        <v>202</v>
      </c>
    </row>
    <row r="114" spans="2:6">
      <c r="B114" s="25">
        <f>운전실적_원본!A115</f>
        <v>45767</v>
      </c>
      <c r="C114" s="122">
        <f>일별!Q133</f>
        <v>251</v>
      </c>
      <c r="D114" s="15">
        <f>일별!I133</f>
        <v>6</v>
      </c>
      <c r="F114" s="122">
        <f t="shared" si="2"/>
        <v>245</v>
      </c>
    </row>
    <row r="115" spans="2:6">
      <c r="B115" s="25">
        <f>운전실적_원본!A116</f>
        <v>45768</v>
      </c>
      <c r="C115" s="122">
        <f>일별!Q134</f>
        <v>247</v>
      </c>
      <c r="D115" s="15">
        <f>일별!I134</f>
        <v>4</v>
      </c>
      <c r="F115" s="122">
        <f t="shared" si="2"/>
        <v>243</v>
      </c>
    </row>
    <row r="116" spans="2:6">
      <c r="B116" s="25">
        <f>운전실적_원본!A117</f>
        <v>45769</v>
      </c>
      <c r="C116" s="122">
        <f>일별!Q135</f>
        <v>195</v>
      </c>
      <c r="D116" s="15">
        <f>일별!I135</f>
        <v>2</v>
      </c>
      <c r="F116" s="122">
        <f t="shared" si="2"/>
        <v>193</v>
      </c>
    </row>
    <row r="117" spans="2:6">
      <c r="B117" s="25">
        <f>운전실적_원본!A118</f>
        <v>45770</v>
      </c>
      <c r="C117" s="122">
        <f>일별!Q136</f>
        <v>105</v>
      </c>
      <c r="D117" s="15">
        <f>일별!I136</f>
        <v>2</v>
      </c>
      <c r="F117" s="122">
        <f t="shared" si="2"/>
        <v>103</v>
      </c>
    </row>
    <row r="118" spans="2:6">
      <c r="B118" s="25">
        <f>운전실적_원본!A119</f>
        <v>45771</v>
      </c>
      <c r="C118" s="122">
        <f>일별!Q137</f>
        <v>197</v>
      </c>
      <c r="D118" s="15">
        <f>일별!I137</f>
        <v>6</v>
      </c>
      <c r="F118" s="122">
        <f t="shared" si="2"/>
        <v>191</v>
      </c>
    </row>
    <row r="119" spans="2:6">
      <c r="B119" s="25">
        <f>운전실적_원본!A120</f>
        <v>45772</v>
      </c>
      <c r="C119" s="122">
        <f>일별!Q138</f>
        <v>306</v>
      </c>
      <c r="D119" s="15">
        <f>일별!I138</f>
        <v>7</v>
      </c>
      <c r="F119" s="122">
        <f t="shared" si="2"/>
        <v>299</v>
      </c>
    </row>
    <row r="120" spans="2:6">
      <c r="B120" s="25">
        <f>운전실적_원본!A121</f>
        <v>45773</v>
      </c>
      <c r="C120" s="122">
        <f>일별!Q139</f>
        <v>279</v>
      </c>
      <c r="D120" s="15">
        <f>일별!I139</f>
        <v>7</v>
      </c>
      <c r="F120" s="122">
        <f t="shared" si="2"/>
        <v>272</v>
      </c>
    </row>
    <row r="121" spans="2:6">
      <c r="B121" s="25">
        <f>운전실적_원본!A122</f>
        <v>45774</v>
      </c>
      <c r="C121" s="122">
        <f>일별!Q140</f>
        <v>225</v>
      </c>
      <c r="D121" s="15">
        <f>일별!I140</f>
        <v>24</v>
      </c>
      <c r="F121" s="122">
        <f t="shared" si="2"/>
        <v>201</v>
      </c>
    </row>
    <row r="122" spans="2:6">
      <c r="B122" s="25">
        <f>운전실적_원본!A123</f>
        <v>45775</v>
      </c>
      <c r="C122" s="122">
        <f>일별!Q141</f>
        <v>151</v>
      </c>
      <c r="D122" s="15">
        <f>일별!I141</f>
        <v>5</v>
      </c>
      <c r="F122" s="122">
        <f t="shared" si="2"/>
        <v>146</v>
      </c>
    </row>
    <row r="123" spans="2:6">
      <c r="B123" s="25">
        <f>운전실적_원본!A124</f>
        <v>45776</v>
      </c>
      <c r="C123" s="122">
        <f>일별!Q142</f>
        <v>63</v>
      </c>
      <c r="D123" s="15">
        <f>일별!I142</f>
        <v>3</v>
      </c>
      <c r="F123" s="122">
        <f t="shared" si="2"/>
        <v>60</v>
      </c>
    </row>
    <row r="124" spans="2:6">
      <c r="B124" s="25">
        <f>운전실적_원본!A125</f>
        <v>45777</v>
      </c>
      <c r="C124" s="122">
        <f>일별!Q143</f>
        <v>17</v>
      </c>
      <c r="D124" s="15">
        <f>일별!I143</f>
        <v>3</v>
      </c>
      <c r="F124" s="122">
        <f t="shared" si="2"/>
        <v>14</v>
      </c>
    </row>
    <row r="125" spans="2:6">
      <c r="B125" s="25">
        <f>운전실적_원본!A126</f>
        <v>45778</v>
      </c>
      <c r="C125" s="122">
        <f>일별!Q144</f>
        <v>162</v>
      </c>
      <c r="D125" s="15">
        <f>일별!I144</f>
        <v>9</v>
      </c>
      <c r="F125" s="122">
        <f t="shared" si="2"/>
        <v>153</v>
      </c>
    </row>
    <row r="126" spans="2:6">
      <c r="B126" s="25">
        <f>운전실적_원본!A127</f>
        <v>45779</v>
      </c>
      <c r="C126" s="122">
        <f>일별!Q145</f>
        <v>109</v>
      </c>
      <c r="D126" s="15">
        <f>일별!I145</f>
        <v>5</v>
      </c>
      <c r="F126" s="122">
        <f t="shared" si="2"/>
        <v>104</v>
      </c>
    </row>
    <row r="127" spans="2:6">
      <c r="B127" s="25">
        <f>운전실적_원본!A128</f>
        <v>45780</v>
      </c>
      <c r="C127" s="122">
        <f>일별!Q146</f>
        <v>156</v>
      </c>
      <c r="D127" s="15">
        <f>일별!I146</f>
        <v>10</v>
      </c>
      <c r="F127" s="122">
        <f t="shared" si="2"/>
        <v>146</v>
      </c>
    </row>
    <row r="128" spans="2:6">
      <c r="B128" s="25">
        <f>운전실적_원본!A129</f>
        <v>45781</v>
      </c>
      <c r="C128" s="122">
        <f>일별!Q147</f>
        <v>106</v>
      </c>
      <c r="D128" s="15">
        <f>일별!I147</f>
        <v>10</v>
      </c>
      <c r="F128" s="122">
        <f t="shared" si="2"/>
        <v>96</v>
      </c>
    </row>
    <row r="129" spans="2:6">
      <c r="B129" s="25">
        <f>운전실적_원본!A130</f>
        <v>45782</v>
      </c>
      <c r="C129" s="122">
        <f>일별!Q148</f>
        <v>122</v>
      </c>
      <c r="D129" s="15">
        <f>일별!I148</f>
        <v>14</v>
      </c>
      <c r="F129" s="122">
        <f t="shared" si="2"/>
        <v>108</v>
      </c>
    </row>
    <row r="130" spans="2:6">
      <c r="B130" s="25">
        <f>운전실적_원본!A131</f>
        <v>45783</v>
      </c>
      <c r="C130" s="122">
        <f>일별!Q149</f>
        <v>16</v>
      </c>
      <c r="D130" s="15">
        <f>일별!I149</f>
        <v>2</v>
      </c>
      <c r="F130" s="122">
        <f t="shared" si="2"/>
        <v>14</v>
      </c>
    </row>
    <row r="131" spans="2:6">
      <c r="B131" s="25">
        <f>운전실적_원본!A132</f>
        <v>45784</v>
      </c>
      <c r="C131" s="122">
        <f>일별!Q150</f>
        <v>16</v>
      </c>
      <c r="D131" s="15">
        <f>일별!I150</f>
        <v>2</v>
      </c>
      <c r="F131" s="122">
        <f t="shared" si="2"/>
        <v>14</v>
      </c>
    </row>
    <row r="132" spans="2:6">
      <c r="B132" s="25">
        <f>운전실적_원본!A133</f>
        <v>45785</v>
      </c>
      <c r="C132" s="122">
        <f>일별!Q151</f>
        <v>100</v>
      </c>
      <c r="D132" s="15">
        <f>일별!I151</f>
        <v>5</v>
      </c>
      <c r="F132" s="122">
        <f t="shared" si="2"/>
        <v>95</v>
      </c>
    </row>
    <row r="133" spans="2:6">
      <c r="B133" s="25">
        <f>운전실적_원본!A134</f>
        <v>45786</v>
      </c>
      <c r="C133" s="122">
        <f>일별!Q152</f>
        <v>62</v>
      </c>
      <c r="D133" s="15">
        <f>일별!I152</f>
        <v>6</v>
      </c>
      <c r="F133" s="122">
        <f t="shared" si="2"/>
        <v>56</v>
      </c>
    </row>
    <row r="134" spans="2:6">
      <c r="B134" s="25">
        <f>운전실적_원본!A135</f>
        <v>45787</v>
      </c>
      <c r="C134" s="122">
        <f>일별!Q153</f>
        <v>105</v>
      </c>
      <c r="D134" s="15">
        <f>일별!I153</f>
        <v>4</v>
      </c>
      <c r="F134" s="122">
        <f t="shared" si="2"/>
        <v>101</v>
      </c>
    </row>
    <row r="135" spans="2:6">
      <c r="B135" s="25">
        <f>운전실적_원본!A136</f>
        <v>45788</v>
      </c>
      <c r="C135" s="122">
        <f>일별!Q154</f>
        <v>200</v>
      </c>
      <c r="D135" s="15">
        <f>일별!I154</f>
        <v>7</v>
      </c>
      <c r="F135" s="122">
        <f t="shared" si="2"/>
        <v>193</v>
      </c>
    </row>
    <row r="136" spans="2:6">
      <c r="B136" s="25">
        <f>운전실적_원본!A137</f>
        <v>45789</v>
      </c>
      <c r="C136" s="122">
        <f>일별!Q155</f>
        <v>220</v>
      </c>
      <c r="D136" s="15">
        <f>일별!I155</f>
        <v>7</v>
      </c>
      <c r="F136" s="122">
        <f t="shared" si="2"/>
        <v>213</v>
      </c>
    </row>
    <row r="137" spans="2:6">
      <c r="B137" s="25">
        <f>운전실적_원본!A138</f>
        <v>45790</v>
      </c>
      <c r="C137" s="122">
        <f>일별!Q156</f>
        <v>243</v>
      </c>
      <c r="D137" s="15">
        <f>일별!I156</f>
        <v>2</v>
      </c>
      <c r="F137" s="122">
        <f t="shared" si="2"/>
        <v>241</v>
      </c>
    </row>
    <row r="138" spans="2:6">
      <c r="B138" s="25">
        <f>운전실적_원본!A139</f>
        <v>45791</v>
      </c>
      <c r="C138" s="122">
        <f>일별!Q157</f>
        <v>103</v>
      </c>
      <c r="D138" s="15">
        <f>일별!I157</f>
        <v>3</v>
      </c>
      <c r="F138" s="122">
        <f t="shared" si="2"/>
        <v>100</v>
      </c>
    </row>
    <row r="139" spans="2:6">
      <c r="B139" s="25">
        <f>운전실적_원본!A140</f>
        <v>45792</v>
      </c>
      <c r="C139" s="122">
        <f>일별!Q158</f>
        <v>265</v>
      </c>
      <c r="D139" s="15">
        <f>일별!I158</f>
        <v>4</v>
      </c>
      <c r="F139" s="122">
        <f t="shared" si="2"/>
        <v>261</v>
      </c>
    </row>
    <row r="140" spans="2:6">
      <c r="B140" s="25">
        <f>운전실적_원본!A141</f>
        <v>45793</v>
      </c>
      <c r="C140" s="122">
        <f>일별!Q159</f>
        <v>304</v>
      </c>
      <c r="D140" s="15">
        <f>일별!I159</f>
        <v>3</v>
      </c>
      <c r="F140" s="122">
        <f t="shared" si="2"/>
        <v>301</v>
      </c>
    </row>
    <row r="141" spans="2:6">
      <c r="B141" s="25">
        <f>운전실적_원본!A142</f>
        <v>45794</v>
      </c>
      <c r="C141" s="122">
        <f>일별!Q160</f>
        <v>247</v>
      </c>
      <c r="D141" s="15">
        <f>일별!I160</f>
        <v>2</v>
      </c>
      <c r="F141" s="122">
        <f t="shared" si="2"/>
        <v>245</v>
      </c>
    </row>
    <row r="142" spans="2:6">
      <c r="B142" s="25">
        <f>운전실적_원본!A143</f>
        <v>45795</v>
      </c>
      <c r="C142" s="122">
        <f>일별!Q161</f>
        <v>252</v>
      </c>
      <c r="D142" s="15">
        <f>일별!I161</f>
        <v>2</v>
      </c>
      <c r="F142" s="122">
        <f t="shared" si="2"/>
        <v>250</v>
      </c>
    </row>
    <row r="143" spans="2:6">
      <c r="B143" s="25">
        <f>운전실적_원본!A144</f>
        <v>45796</v>
      </c>
      <c r="C143" s="122">
        <f>일별!Q162</f>
        <v>103</v>
      </c>
      <c r="D143" s="15">
        <f>일별!I162</f>
        <v>2</v>
      </c>
      <c r="F143" s="122">
        <f t="shared" si="2"/>
        <v>101</v>
      </c>
    </row>
    <row r="144" spans="2:6">
      <c r="B144" s="25">
        <f>운전실적_원본!A145</f>
        <v>45797</v>
      </c>
      <c r="C144" s="122">
        <f>일별!Q163</f>
        <v>143</v>
      </c>
      <c r="D144" s="15">
        <f>일별!I163</f>
        <v>2</v>
      </c>
      <c r="F144" s="122">
        <f t="shared" si="2"/>
        <v>141</v>
      </c>
    </row>
    <row r="145" spans="2:6">
      <c r="B145" s="25">
        <f>운전실적_원본!A146</f>
        <v>45798</v>
      </c>
      <c r="C145" s="122">
        <f>일별!Q164</f>
        <v>15</v>
      </c>
      <c r="D145" s="15">
        <f>일별!I164</f>
        <v>2</v>
      </c>
      <c r="F145" s="122">
        <f t="shared" si="2"/>
        <v>13</v>
      </c>
    </row>
    <row r="146" spans="2:6">
      <c r="B146" s="25">
        <f>운전실적_원본!A147</f>
        <v>45799</v>
      </c>
      <c r="C146" s="122">
        <f>일별!Q165</f>
        <v>215</v>
      </c>
      <c r="D146" s="15">
        <f>일별!I165</f>
        <v>8</v>
      </c>
      <c r="F146" s="122">
        <f t="shared" si="2"/>
        <v>207</v>
      </c>
    </row>
    <row r="147" spans="2:6">
      <c r="B147" s="25">
        <f>운전실적_원본!A148</f>
        <v>45800</v>
      </c>
      <c r="C147" s="122">
        <f>일별!Q166</f>
        <v>209</v>
      </c>
      <c r="D147" s="15">
        <f>일별!I166</f>
        <v>9</v>
      </c>
      <c r="F147" s="122">
        <f t="shared" si="2"/>
        <v>200</v>
      </c>
    </row>
    <row r="148" spans="2:6">
      <c r="B148" s="25">
        <f>운전실적_원본!A149</f>
        <v>45801</v>
      </c>
      <c r="C148" s="122">
        <f>일별!Q167</f>
        <v>162</v>
      </c>
      <c r="D148" s="15">
        <f>일별!I167</f>
        <v>8</v>
      </c>
      <c r="F148" s="122">
        <f t="shared" si="2"/>
        <v>154</v>
      </c>
    </row>
    <row r="149" spans="2:6">
      <c r="B149" s="25">
        <f>운전실적_원본!A150</f>
        <v>45802</v>
      </c>
      <c r="C149" s="122">
        <f>일별!Q168</f>
        <v>256</v>
      </c>
      <c r="D149" s="15">
        <f>일별!I168</f>
        <v>9</v>
      </c>
      <c r="F149" s="122">
        <f t="shared" si="2"/>
        <v>247</v>
      </c>
    </row>
    <row r="150" spans="2:6">
      <c r="B150" s="25">
        <f>운전실적_원본!A151</f>
        <v>45803</v>
      </c>
      <c r="C150" s="122">
        <f>일별!Q169</f>
        <v>214</v>
      </c>
      <c r="D150" s="15">
        <f>일별!I169</f>
        <v>9</v>
      </c>
      <c r="F150" s="122">
        <f t="shared" si="2"/>
        <v>205</v>
      </c>
    </row>
    <row r="151" spans="2:6">
      <c r="B151" s="25">
        <f>운전실적_원본!A152</f>
        <v>45804</v>
      </c>
      <c r="C151" s="122">
        <f>일별!Q170</f>
        <v>100</v>
      </c>
      <c r="D151" s="15">
        <f>일별!I170</f>
        <v>3</v>
      </c>
      <c r="F151" s="122">
        <f t="shared" si="2"/>
        <v>97</v>
      </c>
    </row>
    <row r="152" spans="2:6">
      <c r="B152" s="25">
        <f>운전실적_원본!A153</f>
        <v>45805</v>
      </c>
      <c r="C152" s="122">
        <f>일별!Q171</f>
        <v>14</v>
      </c>
      <c r="D152" s="15">
        <f>일별!I171</f>
        <v>2</v>
      </c>
      <c r="F152" s="122">
        <f t="shared" ref="F152:F215" si="3">IFERROR(C152-D152,"")</f>
        <v>12</v>
      </c>
    </row>
    <row r="153" spans="2:6">
      <c r="B153" s="25">
        <f>운전실적_원본!A154</f>
        <v>45806</v>
      </c>
      <c r="C153" s="122">
        <f>일별!Q172</f>
        <v>66</v>
      </c>
      <c r="D153" s="15">
        <f>일별!I172</f>
        <v>8</v>
      </c>
      <c r="F153" s="122">
        <f t="shared" si="3"/>
        <v>58</v>
      </c>
    </row>
    <row r="154" spans="2:6">
      <c r="B154" s="25">
        <f>운전실적_원본!A155</f>
        <v>45807</v>
      </c>
      <c r="C154" s="122">
        <f>일별!Q173</f>
        <v>119</v>
      </c>
      <c r="D154" s="15">
        <f>일별!I173</f>
        <v>9</v>
      </c>
      <c r="F154" s="122">
        <f t="shared" si="3"/>
        <v>110</v>
      </c>
    </row>
    <row r="155" spans="2:6">
      <c r="B155" s="25">
        <f>운전실적_원본!A156</f>
        <v>45808</v>
      </c>
      <c r="C155" s="122">
        <f>일별!Q174</f>
        <v>124</v>
      </c>
      <c r="D155" s="15">
        <f>일별!I174</f>
        <v>11</v>
      </c>
      <c r="F155" s="122">
        <f t="shared" si="3"/>
        <v>113</v>
      </c>
    </row>
    <row r="156" spans="2:6">
      <c r="B156" s="25">
        <f>운전실적_원본!A157</f>
        <v>45809</v>
      </c>
      <c r="C156" s="122">
        <f>일별!Q175</f>
        <v>156</v>
      </c>
      <c r="D156" s="15">
        <f>일별!I175</f>
        <v>0</v>
      </c>
      <c r="F156" s="122">
        <f t="shared" si="3"/>
        <v>156</v>
      </c>
    </row>
    <row r="157" spans="2:6">
      <c r="B157" s="25">
        <f>운전실적_원본!A158</f>
        <v>45810</v>
      </c>
      <c r="C157" s="122">
        <f>일별!Q176</f>
        <v>21</v>
      </c>
      <c r="D157" s="15">
        <f>일별!I176</f>
        <v>22</v>
      </c>
      <c r="F157" s="122">
        <f t="shared" si="3"/>
        <v>-1</v>
      </c>
    </row>
    <row r="158" spans="2:6">
      <c r="B158" s="25">
        <f>운전실적_원본!A159</f>
        <v>45811</v>
      </c>
      <c r="C158" s="122">
        <f>일별!Q177</f>
        <v>63</v>
      </c>
      <c r="D158" s="15">
        <f>일별!I177</f>
        <v>2.2000000000007276</v>
      </c>
      <c r="F158" s="122">
        <f t="shared" si="3"/>
        <v>60.799999999999272</v>
      </c>
    </row>
    <row r="159" spans="2:6">
      <c r="B159" s="25">
        <f>운전실적_원본!A160</f>
        <v>45812</v>
      </c>
      <c r="C159" s="122">
        <f>일별!Q178</f>
        <v>15</v>
      </c>
      <c r="D159" s="15">
        <f>일별!I178</f>
        <v>2</v>
      </c>
      <c r="F159" s="122">
        <f t="shared" si="3"/>
        <v>13</v>
      </c>
    </row>
    <row r="160" spans="2:6">
      <c r="B160" s="25">
        <f>운전실적_원본!A161</f>
        <v>45813</v>
      </c>
      <c r="C160" s="122">
        <f>일별!Q179</f>
        <v>160</v>
      </c>
      <c r="D160" s="15">
        <f>일별!I179</f>
        <v>4.7999999999992724</v>
      </c>
      <c r="F160" s="122">
        <f t="shared" si="3"/>
        <v>155.20000000000073</v>
      </c>
    </row>
    <row r="161" spans="2:6">
      <c r="B161" s="25">
        <f>운전실적_원본!A162</f>
        <v>45814</v>
      </c>
      <c r="C161" s="122">
        <f>일별!Q180</f>
        <v>111</v>
      </c>
      <c r="D161" s="15">
        <f>일별!I180</f>
        <v>13</v>
      </c>
      <c r="F161" s="122">
        <f t="shared" si="3"/>
        <v>98</v>
      </c>
    </row>
    <row r="162" spans="2:6">
      <c r="B162" s="25">
        <f>운전실적_원본!A163</f>
        <v>45815</v>
      </c>
      <c r="C162" s="122">
        <f>일별!Q181</f>
        <v>23</v>
      </c>
      <c r="D162" s="15">
        <f>일별!I181</f>
        <v>9</v>
      </c>
      <c r="F162" s="122">
        <f t="shared" si="3"/>
        <v>14</v>
      </c>
    </row>
    <row r="163" spans="2:6">
      <c r="B163" s="25">
        <f>운전실적_원본!A164</f>
        <v>45816</v>
      </c>
      <c r="C163" s="122">
        <f>일별!Q182</f>
        <v>59</v>
      </c>
      <c r="D163" s="15">
        <f>일별!I182</f>
        <v>10</v>
      </c>
      <c r="F163" s="122">
        <f t="shared" si="3"/>
        <v>49</v>
      </c>
    </row>
    <row r="164" spans="2:6">
      <c r="B164" s="25">
        <f>운전실적_원본!A165</f>
        <v>45817</v>
      </c>
      <c r="C164" s="122">
        <f>일별!Q183</f>
        <v>22</v>
      </c>
      <c r="D164" s="15">
        <f>일별!I183</f>
        <v>11.75</v>
      </c>
      <c r="F164" s="122">
        <f t="shared" si="3"/>
        <v>10.25</v>
      </c>
    </row>
    <row r="165" spans="2:6">
      <c r="B165" s="25">
        <f>운전실적_원본!A166</f>
        <v>45818</v>
      </c>
      <c r="C165" s="122">
        <f>일별!Q184</f>
        <v>14</v>
      </c>
      <c r="D165" s="15">
        <f>일별!I184</f>
        <v>2.3500000000003638</v>
      </c>
      <c r="F165" s="122">
        <f t="shared" si="3"/>
        <v>11.649999999999636</v>
      </c>
    </row>
    <row r="166" spans="2:6">
      <c r="B166" s="25">
        <f>운전실적_원본!A167</f>
        <v>45819</v>
      </c>
      <c r="C166" s="122">
        <f>일별!Q185</f>
        <v>107</v>
      </c>
      <c r="D166" s="15">
        <f>일별!I185</f>
        <v>7.0599999999994907</v>
      </c>
      <c r="F166" s="122">
        <f t="shared" si="3"/>
        <v>99.940000000000509</v>
      </c>
    </row>
    <row r="167" spans="2:6">
      <c r="B167" s="25">
        <f>운전실적_원본!A168</f>
        <v>45820</v>
      </c>
      <c r="C167" s="122">
        <f>일별!Q186</f>
        <v>148</v>
      </c>
      <c r="D167" s="15">
        <f>일별!I186</f>
        <v>15.170000000000073</v>
      </c>
      <c r="F167" s="122">
        <f t="shared" si="3"/>
        <v>132.82999999999993</v>
      </c>
    </row>
    <row r="168" spans="2:6">
      <c r="B168" s="25">
        <f>운전실적_원본!A169</f>
        <v>45821</v>
      </c>
      <c r="C168" s="122">
        <f>일별!Q187</f>
        <v>27</v>
      </c>
      <c r="D168" s="15">
        <f>일별!I187</f>
        <v>14.960000000000946</v>
      </c>
      <c r="F168" s="122">
        <f t="shared" si="3"/>
        <v>12.039999999999054</v>
      </c>
    </row>
    <row r="169" spans="2:6">
      <c r="B169" s="25">
        <f>운전실적_원본!A170</f>
        <v>45822</v>
      </c>
      <c r="C169" s="122">
        <f>일별!Q188</f>
        <v>105</v>
      </c>
      <c r="D169" s="15">
        <f>일별!I188</f>
        <v>51.709999999999127</v>
      </c>
      <c r="F169" s="122">
        <f t="shared" si="3"/>
        <v>53.290000000000873</v>
      </c>
    </row>
    <row r="170" spans="2:6">
      <c r="B170" s="25">
        <f>운전실적_원본!A171</f>
        <v>45823</v>
      </c>
      <c r="C170" s="122">
        <f>일별!Q189</f>
        <v>85</v>
      </c>
      <c r="D170" s="15">
        <f>일별!I189</f>
        <v>34</v>
      </c>
      <c r="F170" s="122">
        <f t="shared" si="3"/>
        <v>51</v>
      </c>
    </row>
    <row r="171" spans="2:6">
      <c r="B171" s="25">
        <f>운전실적_원본!A172</f>
        <v>45824</v>
      </c>
      <c r="C171" s="122">
        <f>일별!Q190</f>
        <v>86</v>
      </c>
      <c r="D171" s="15">
        <f>일별!I190</f>
        <v>28.219999999999345</v>
      </c>
      <c r="F171" s="122">
        <f t="shared" si="3"/>
        <v>57.780000000000655</v>
      </c>
    </row>
    <row r="172" spans="2:6">
      <c r="B172" s="25">
        <f>운전실적_원본!A173</f>
        <v>45825</v>
      </c>
      <c r="C172" s="122">
        <f>일별!Q191</f>
        <v>38</v>
      </c>
      <c r="D172" s="15">
        <f>일별!I191</f>
        <v>28.720000000001164</v>
      </c>
      <c r="F172" s="122">
        <f t="shared" si="3"/>
        <v>9.2799999999988358</v>
      </c>
    </row>
    <row r="173" spans="2:6">
      <c r="B173" s="25">
        <f>운전실적_원본!A174</f>
        <v>45826</v>
      </c>
      <c r="C173" s="122">
        <f>일별!Q192</f>
        <v>25</v>
      </c>
      <c r="D173" s="15">
        <f>일별!I192</f>
        <v>14.789999999999054</v>
      </c>
      <c r="F173" s="122">
        <f t="shared" si="3"/>
        <v>10.210000000000946</v>
      </c>
    </row>
    <row r="174" spans="2:6">
      <c r="B174" s="25">
        <f>운전실적_원본!A175</f>
        <v>45827</v>
      </c>
      <c r="C174" s="122">
        <f>일별!Q193</f>
        <v>123</v>
      </c>
      <c r="D174" s="15">
        <f>일별!I193</f>
        <v>32.280000000000655</v>
      </c>
      <c r="F174" s="122">
        <f t="shared" si="3"/>
        <v>90.719999999999345</v>
      </c>
    </row>
    <row r="175" spans="2:6">
      <c r="B175" s="25">
        <f>운전실적_원본!A176</f>
        <v>45828</v>
      </c>
      <c r="C175" s="122">
        <f>일별!Q194</f>
        <v>124</v>
      </c>
      <c r="D175" s="15">
        <f>일별!I194</f>
        <v>41.119999999998981</v>
      </c>
      <c r="F175" s="122">
        <f t="shared" si="3"/>
        <v>82.880000000001019</v>
      </c>
    </row>
    <row r="176" spans="2:6">
      <c r="B176" s="25">
        <f>운전실적_원본!A177</f>
        <v>45829</v>
      </c>
      <c r="C176" s="122">
        <f>일별!Q195</f>
        <v>124</v>
      </c>
      <c r="D176" s="15">
        <f>일별!I195</f>
        <v>29.740000000001601</v>
      </c>
      <c r="F176" s="122">
        <f t="shared" si="3"/>
        <v>94.259999999998399</v>
      </c>
    </row>
    <row r="177" spans="2:6">
      <c r="B177" s="25">
        <f>운전실적_원본!A178</f>
        <v>45830</v>
      </c>
      <c r="C177" s="122">
        <f>일별!Q196</f>
        <v>218</v>
      </c>
      <c r="D177" s="15">
        <f>일별!I196</f>
        <v>27.289999999999054</v>
      </c>
      <c r="F177" s="122">
        <f t="shared" si="3"/>
        <v>190.71000000000095</v>
      </c>
    </row>
    <row r="178" spans="2:6">
      <c r="B178" s="25">
        <f>운전실적_원본!A179</f>
        <v>45831</v>
      </c>
      <c r="C178" s="122">
        <f>일별!Q197</f>
        <v>165</v>
      </c>
      <c r="D178" s="15">
        <f>일별!I197</f>
        <v>29.840000000000146</v>
      </c>
      <c r="F178" s="122">
        <f t="shared" si="3"/>
        <v>135.15999999999985</v>
      </c>
    </row>
    <row r="179" spans="2:6">
      <c r="B179" s="25">
        <f>운전실적_원본!A180</f>
        <v>45832</v>
      </c>
      <c r="C179" s="122">
        <f>일별!Q198</f>
        <v>158</v>
      </c>
      <c r="D179" s="15">
        <f>일별!I198</f>
        <v>18</v>
      </c>
      <c r="F179" s="122">
        <f t="shared" si="3"/>
        <v>140</v>
      </c>
    </row>
    <row r="180" spans="2:6">
      <c r="B180" s="25">
        <f>운전실적_원본!A181</f>
        <v>45833</v>
      </c>
      <c r="C180" s="122">
        <f>일별!Q199</f>
        <v>140</v>
      </c>
      <c r="D180" s="15">
        <f>일별!I199</f>
        <v>15</v>
      </c>
      <c r="F180" s="122">
        <f t="shared" si="3"/>
        <v>125</v>
      </c>
    </row>
    <row r="181" spans="2:6">
      <c r="B181" s="25">
        <f>운전실적_원본!A182</f>
        <v>45834</v>
      </c>
      <c r="C181" s="122">
        <f>일별!Q200</f>
        <v>126</v>
      </c>
      <c r="D181" s="15">
        <f>일별!I200</f>
        <v>18.729999999999563</v>
      </c>
      <c r="F181" s="122">
        <f t="shared" si="3"/>
        <v>107.27000000000044</v>
      </c>
    </row>
    <row r="182" spans="2:6">
      <c r="B182" s="25">
        <f>운전실적_원본!A183</f>
        <v>45835</v>
      </c>
      <c r="C182" s="122">
        <f>일별!Q201</f>
        <v>67</v>
      </c>
      <c r="D182" s="15">
        <f>일별!I201</f>
        <v>15.270000000000437</v>
      </c>
      <c r="F182" s="122">
        <f t="shared" si="3"/>
        <v>51.729999999999563</v>
      </c>
    </row>
    <row r="183" spans="2:6">
      <c r="B183" s="25">
        <f>운전실적_원본!A184</f>
        <v>45836</v>
      </c>
      <c r="C183" s="122">
        <f>일별!Q202</f>
        <v>117</v>
      </c>
      <c r="D183" s="15">
        <f>일별!I202</f>
        <v>14.209999999999127</v>
      </c>
      <c r="F183" s="122">
        <f t="shared" si="3"/>
        <v>102.79000000000087</v>
      </c>
    </row>
    <row r="184" spans="2:6">
      <c r="B184" s="25">
        <f>운전실적_원본!A185</f>
        <v>45837</v>
      </c>
      <c r="C184" s="122">
        <f>일별!Q203</f>
        <v>69</v>
      </c>
      <c r="D184" s="15">
        <f>일별!I203</f>
        <v>17.320000000001528</v>
      </c>
      <c r="F184" s="122">
        <f t="shared" si="3"/>
        <v>51.679999999998472</v>
      </c>
    </row>
    <row r="185" spans="2:6">
      <c r="B185" s="25">
        <f>운전실적_원본!A186</f>
        <v>45838</v>
      </c>
      <c r="C185" s="122">
        <f>일별!Q204</f>
        <v>31</v>
      </c>
      <c r="D185" s="15">
        <f>일별!I204</f>
        <v>19.199999999998909</v>
      </c>
      <c r="F185" s="122">
        <f t="shared" si="3"/>
        <v>11.800000000001091</v>
      </c>
    </row>
    <row r="186" spans="2:6">
      <c r="B186" s="25">
        <f>운전실적_원본!A187</f>
        <v>45839</v>
      </c>
      <c r="C186" s="122">
        <f>일별!Q205</f>
        <v>65</v>
      </c>
      <c r="D186" s="15">
        <f>일별!I205</f>
        <v>10.550000000001091</v>
      </c>
      <c r="F186" s="122">
        <f t="shared" si="3"/>
        <v>54.449999999998909</v>
      </c>
    </row>
    <row r="187" spans="2:6">
      <c r="B187" s="25">
        <f>운전실적_원본!A188</f>
        <v>45840</v>
      </c>
      <c r="C187" s="122">
        <f>일별!Q206</f>
        <v>99</v>
      </c>
      <c r="D187" s="15">
        <f>일별!I206</f>
        <v>11.1299999999992</v>
      </c>
      <c r="F187" s="122">
        <f t="shared" si="3"/>
        <v>87.8700000000008</v>
      </c>
    </row>
    <row r="188" spans="2:6">
      <c r="B188" s="25">
        <f>운전실적_원본!A189</f>
        <v>45841</v>
      </c>
      <c r="C188" s="122">
        <f>일별!Q207</f>
        <v>168</v>
      </c>
      <c r="D188" s="15">
        <f>일별!I207</f>
        <v>21.590000000000146</v>
      </c>
      <c r="F188" s="122">
        <f t="shared" si="3"/>
        <v>146.40999999999985</v>
      </c>
    </row>
    <row r="189" spans="2:6">
      <c r="B189" s="25">
        <f>운전실적_원본!A190</f>
        <v>45842</v>
      </c>
      <c r="C189" s="122">
        <f>일별!Q208</f>
        <v>212</v>
      </c>
      <c r="D189" s="15">
        <f>일별!I208</f>
        <v>22</v>
      </c>
      <c r="F189" s="122">
        <f t="shared" si="3"/>
        <v>190</v>
      </c>
    </row>
    <row r="190" spans="2:6">
      <c r="B190" s="25">
        <f>운전실적_원본!A191</f>
        <v>45843</v>
      </c>
      <c r="C190" s="122">
        <f>일별!Q209</f>
        <v>81</v>
      </c>
      <c r="D190" s="15">
        <f>일별!I209</f>
        <v>25.340000000000146</v>
      </c>
      <c r="F190" s="122">
        <f t="shared" si="3"/>
        <v>55.659999999999854</v>
      </c>
    </row>
    <row r="191" spans="2:6">
      <c r="B191" s="25">
        <f>운전실적_원본!A192</f>
        <v>45844</v>
      </c>
      <c r="C191" s="122">
        <f>일별!Q210</f>
        <v>79</v>
      </c>
      <c r="D191" s="15">
        <f>일별!I210</f>
        <v>26.760000000000218</v>
      </c>
      <c r="F191" s="122">
        <f t="shared" si="3"/>
        <v>52.239999999999782</v>
      </c>
    </row>
    <row r="192" spans="2:6">
      <c r="B192" s="25">
        <f>운전실적_원본!A193</f>
        <v>45845</v>
      </c>
      <c r="C192" s="122">
        <f>일별!Q211</f>
        <v>87</v>
      </c>
      <c r="D192" s="15">
        <f>일별!I211</f>
        <v>22.149999999999636</v>
      </c>
      <c r="F192" s="122">
        <f t="shared" si="3"/>
        <v>64.850000000000364</v>
      </c>
    </row>
    <row r="193" spans="2:6">
      <c r="B193" s="25">
        <f>운전실적_원본!A194</f>
        <v>45846</v>
      </c>
      <c r="C193" s="122">
        <f>일별!Q212</f>
        <v>66</v>
      </c>
      <c r="D193" s="15">
        <f>일별!I212</f>
        <v>24.549999999999272</v>
      </c>
      <c r="F193" s="122">
        <f t="shared" si="3"/>
        <v>41.450000000000728</v>
      </c>
    </row>
    <row r="194" spans="2:6">
      <c r="B194" s="25">
        <f>운전실적_원본!A195</f>
        <v>45847</v>
      </c>
      <c r="C194" s="122">
        <f>일별!Q213</f>
        <v>79</v>
      </c>
      <c r="D194" s="15">
        <f>일별!I213</f>
        <v>22.240000000001601</v>
      </c>
      <c r="F194" s="122">
        <f t="shared" si="3"/>
        <v>56.759999999998399</v>
      </c>
    </row>
    <row r="195" spans="2:6">
      <c r="B195" s="25">
        <f>운전실적_원본!A196</f>
        <v>45848</v>
      </c>
      <c r="C195" s="122">
        <f>일별!Q214</f>
        <v>86</v>
      </c>
      <c r="D195" s="15">
        <f>일별!I214</f>
        <v>37.149999999999636</v>
      </c>
      <c r="F195" s="122">
        <f t="shared" si="3"/>
        <v>48.850000000000364</v>
      </c>
    </row>
    <row r="196" spans="2:6">
      <c r="B196" s="25">
        <f>운전실적_원본!A197</f>
        <v>45849</v>
      </c>
      <c r="C196" s="122">
        <f>일별!Q215</f>
        <v>167</v>
      </c>
      <c r="D196" s="15">
        <f>일별!I215</f>
        <v>27.859999999998763</v>
      </c>
      <c r="F196" s="122">
        <f t="shared" si="3"/>
        <v>139.14000000000124</v>
      </c>
    </row>
    <row r="197" spans="2:6">
      <c r="B197" s="25">
        <f>운전실적_원본!A198</f>
        <v>45850</v>
      </c>
      <c r="C197" s="122">
        <f>일별!Q216</f>
        <v>120</v>
      </c>
      <c r="D197" s="15">
        <f>일별!I216</f>
        <v>25.950000000000728</v>
      </c>
      <c r="F197" s="122">
        <f t="shared" si="3"/>
        <v>94.049999999999272</v>
      </c>
    </row>
    <row r="198" spans="2:6">
      <c r="B198" s="25">
        <f>운전실적_원본!A199</f>
        <v>45851</v>
      </c>
      <c r="C198" s="122">
        <f>일별!Q217</f>
        <v>81</v>
      </c>
      <c r="D198" s="15">
        <f>일별!I217</f>
        <v>28</v>
      </c>
      <c r="F198" s="122">
        <f t="shared" si="3"/>
        <v>53</v>
      </c>
    </row>
    <row r="199" spans="2:6">
      <c r="B199" s="25">
        <f>운전실적_원본!A200</f>
        <v>45852</v>
      </c>
      <c r="C199" s="122">
        <f>일별!Q218</f>
        <v>45</v>
      </c>
      <c r="D199" s="15">
        <f>일별!I218</f>
        <v>32.809999999999491</v>
      </c>
      <c r="F199" s="122">
        <f t="shared" si="3"/>
        <v>12.190000000000509</v>
      </c>
    </row>
    <row r="200" spans="2:6">
      <c r="B200" s="25">
        <f>운전실적_원본!A201</f>
        <v>45853</v>
      </c>
      <c r="C200" s="122">
        <f>일별!Q219</f>
        <v>41</v>
      </c>
      <c r="D200" s="15">
        <f>일별!I219</f>
        <v>32.050000000001091</v>
      </c>
      <c r="F200" s="122">
        <f t="shared" si="3"/>
        <v>8.9499999999989086</v>
      </c>
    </row>
    <row r="201" spans="2:6">
      <c r="B201" s="25">
        <f>운전실적_원본!A202</f>
        <v>45854</v>
      </c>
      <c r="C201" s="122">
        <f>일별!Q220</f>
        <v>110</v>
      </c>
      <c r="D201" s="15">
        <f>일별!I220</f>
        <v>12.599999999998545</v>
      </c>
      <c r="F201" s="122">
        <f t="shared" si="3"/>
        <v>97.400000000001455</v>
      </c>
    </row>
    <row r="202" spans="2:6">
      <c r="B202" s="25">
        <f>운전실적_원본!A203</f>
        <v>45855</v>
      </c>
      <c r="C202" s="122">
        <f>일별!Q221</f>
        <v>165</v>
      </c>
      <c r="D202" s="15">
        <f>일별!I221</f>
        <v>19.080000000001746</v>
      </c>
      <c r="F202" s="122">
        <f t="shared" si="3"/>
        <v>145.91999999999825</v>
      </c>
    </row>
    <row r="203" spans="2:6">
      <c r="B203" s="25">
        <f>운전실적_원본!A204</f>
        <v>45856</v>
      </c>
      <c r="C203" s="122">
        <f>일별!Q222</f>
        <v>161</v>
      </c>
      <c r="D203" s="15">
        <f>일별!I222</f>
        <v>17.279999999998836</v>
      </c>
      <c r="F203" s="122">
        <f t="shared" si="3"/>
        <v>143.72000000000116</v>
      </c>
    </row>
    <row r="204" spans="2:6">
      <c r="B204" s="25">
        <f>운전실적_원본!A205</f>
        <v>45857</v>
      </c>
      <c r="C204" s="122">
        <f>일별!Q223</f>
        <v>114</v>
      </c>
      <c r="D204" s="15">
        <f>일별!I223</f>
        <v>15.300000000001091</v>
      </c>
      <c r="F204" s="122">
        <f t="shared" si="3"/>
        <v>98.699999999998909</v>
      </c>
    </row>
    <row r="205" spans="2:6">
      <c r="B205" s="25">
        <f>운전실적_원본!A206</f>
        <v>45858</v>
      </c>
      <c r="C205" s="122">
        <f>일별!Q224</f>
        <v>27</v>
      </c>
      <c r="D205" s="15">
        <f>일별!I224</f>
        <v>18.420000000000073</v>
      </c>
      <c r="F205" s="122">
        <f t="shared" si="3"/>
        <v>8.5799999999999272</v>
      </c>
    </row>
    <row r="206" spans="2:6">
      <c r="B206" s="25">
        <f>운전실적_원본!A207</f>
        <v>45859</v>
      </c>
      <c r="C206" s="122">
        <f>일별!Q225</f>
        <v>70</v>
      </c>
      <c r="D206" s="15">
        <f>일별!I225</f>
        <v>17.959999999999127</v>
      </c>
      <c r="F206" s="122">
        <f t="shared" si="3"/>
        <v>52.040000000000873</v>
      </c>
    </row>
    <row r="207" spans="2:6">
      <c r="B207" s="25">
        <f>운전실적_원본!A208</f>
        <v>45860</v>
      </c>
      <c r="C207" s="122">
        <f>일별!Q226</f>
        <v>25</v>
      </c>
      <c r="D207" s="15">
        <f>일별!I226</f>
        <v>13.5</v>
      </c>
      <c r="F207" s="122">
        <f t="shared" si="3"/>
        <v>11.5</v>
      </c>
    </row>
    <row r="208" spans="2:6">
      <c r="B208" s="25">
        <f>운전실적_원본!A209</f>
        <v>45861</v>
      </c>
      <c r="C208" s="122">
        <f>일별!Q227</f>
        <v>70</v>
      </c>
      <c r="D208" s="15">
        <f>일별!I227</f>
        <v>14.290000000000873</v>
      </c>
      <c r="F208" s="122">
        <f t="shared" si="3"/>
        <v>55.709999999999127</v>
      </c>
    </row>
    <row r="209" spans="2:6">
      <c r="B209" s="25">
        <f>운전실적_원본!A210</f>
        <v>45862</v>
      </c>
      <c r="C209" s="122">
        <f>일별!Q228</f>
        <v>117</v>
      </c>
      <c r="D209" s="15">
        <f>일별!I228</f>
        <v>16.919999999998254</v>
      </c>
      <c r="F209" s="122">
        <f t="shared" si="3"/>
        <v>100.08000000000175</v>
      </c>
    </row>
    <row r="210" spans="2:6">
      <c r="B210" s="25">
        <f>운전실적_원본!A211</f>
        <v>45863</v>
      </c>
      <c r="C210" s="122">
        <f>일별!Q229</f>
        <v>201</v>
      </c>
      <c r="D210" s="15">
        <f>일별!I229</f>
        <v>17.720000000001164</v>
      </c>
      <c r="F210" s="122">
        <f t="shared" si="3"/>
        <v>183.27999999999884</v>
      </c>
    </row>
    <row r="211" spans="2:6">
      <c r="B211" s="25">
        <f>운전실적_원본!A212</f>
        <v>45864</v>
      </c>
      <c r="C211" s="122">
        <f>일별!Q230</f>
        <v>71</v>
      </c>
      <c r="D211" s="15">
        <f>일별!I230</f>
        <v>13.420000000000073</v>
      </c>
      <c r="F211" s="122">
        <f t="shared" si="3"/>
        <v>57.579999999999927</v>
      </c>
    </row>
    <row r="212" spans="2:6">
      <c r="B212" s="25">
        <f>운전실적_원본!A213</f>
        <v>45865</v>
      </c>
      <c r="C212" s="122">
        <f>일별!Q231</f>
        <v>163</v>
      </c>
      <c r="D212" s="15">
        <f>일별!I231</f>
        <v>14.270000000000437</v>
      </c>
      <c r="F212" s="122">
        <f t="shared" si="3"/>
        <v>148.72999999999956</v>
      </c>
    </row>
    <row r="213" spans="2:6">
      <c r="B213" s="25">
        <f>운전실적_원본!A214</f>
        <v>45866</v>
      </c>
      <c r="C213" s="122">
        <f>일별!Q232</f>
        <v>97</v>
      </c>
      <c r="D213" s="15">
        <f>일별!I232</f>
        <v>12.149999999999636</v>
      </c>
      <c r="F213" s="122">
        <f t="shared" si="3"/>
        <v>84.850000000000364</v>
      </c>
    </row>
    <row r="214" spans="2:6">
      <c r="B214" s="25">
        <f>운전실적_원본!A215</f>
        <v>45867</v>
      </c>
      <c r="C214" s="122">
        <f>일별!Q233</f>
        <v>83</v>
      </c>
      <c r="D214" s="15">
        <f>일별!I233</f>
        <v>13.399999999999636</v>
      </c>
      <c r="F214" s="122">
        <f t="shared" si="3"/>
        <v>69.600000000000364</v>
      </c>
    </row>
    <row r="215" spans="2:6">
      <c r="B215" s="25">
        <f>운전실적_원본!A216</f>
        <v>45868</v>
      </c>
      <c r="C215" s="122">
        <f>일별!Q234</f>
        <v>68</v>
      </c>
      <c r="D215" s="15">
        <f>일별!I234</f>
        <v>12.549999999999272</v>
      </c>
      <c r="F215" s="122">
        <f t="shared" si="3"/>
        <v>55.450000000000728</v>
      </c>
    </row>
    <row r="216" spans="2:6">
      <c r="B216" s="25">
        <f>운전실적_원본!A217</f>
        <v>45869</v>
      </c>
      <c r="C216" s="122">
        <f>일별!Q235</f>
        <v>73</v>
      </c>
      <c r="D216" s="15">
        <f>일별!I235</f>
        <v>16.020000000000437</v>
      </c>
      <c r="F216" s="122">
        <f t="shared" ref="F216:F279" si="4">IFERROR(C216-D216,"")</f>
        <v>56.979999999999563</v>
      </c>
    </row>
    <row r="217" spans="2:6">
      <c r="B217" s="25">
        <f>운전실적_원본!A218</f>
        <v>45870</v>
      </c>
      <c r="C217" s="122">
        <f>일별!Q236</f>
        <v>205</v>
      </c>
      <c r="D217" s="15">
        <f>일별!I236</f>
        <v>16.389999999999418</v>
      </c>
      <c r="F217" s="122">
        <f t="shared" si="4"/>
        <v>188.61000000000058</v>
      </c>
    </row>
    <row r="218" spans="2:6">
      <c r="B218" s="25">
        <f>운전실적_원본!A219</f>
        <v>45871</v>
      </c>
      <c r="C218" s="122">
        <f>일별!Q237</f>
        <v>120</v>
      </c>
      <c r="D218" s="15">
        <f>일별!I237</f>
        <v>18.760000000000218</v>
      </c>
      <c r="F218" s="122">
        <f t="shared" si="4"/>
        <v>101.23999999999978</v>
      </c>
    </row>
    <row r="219" spans="2:6">
      <c r="B219" s="25">
        <f>운전실적_원본!A220</f>
        <v>45872</v>
      </c>
      <c r="C219" s="122">
        <f>일별!Q238</f>
        <v>273</v>
      </c>
      <c r="D219" s="15">
        <f>일별!I238</f>
        <v>34.690000000000509</v>
      </c>
      <c r="F219" s="122">
        <f t="shared" si="4"/>
        <v>238.30999999999949</v>
      </c>
    </row>
    <row r="220" spans="2:6">
      <c r="B220" s="25">
        <f>운전실적_원본!A221</f>
        <v>45873</v>
      </c>
      <c r="C220" s="122">
        <f>일별!Q239</f>
        <v>217</v>
      </c>
      <c r="D220" s="15">
        <f>일별!I239</f>
        <v>22.329999999999927</v>
      </c>
      <c r="F220" s="122">
        <f t="shared" si="4"/>
        <v>194.67000000000007</v>
      </c>
    </row>
    <row r="221" spans="2:6">
      <c r="B221" s="25">
        <f>운전실적_원본!A222</f>
        <v>45874</v>
      </c>
      <c r="C221" s="122">
        <f>일별!Q240</f>
        <v>258</v>
      </c>
      <c r="D221" s="15">
        <f>일별!I240</f>
        <v>19.399999999999636</v>
      </c>
      <c r="F221" s="122">
        <f t="shared" si="4"/>
        <v>238.60000000000036</v>
      </c>
    </row>
    <row r="222" spans="2:6">
      <c r="B222" s="25">
        <f>운전실적_원본!A223</f>
        <v>45875</v>
      </c>
      <c r="C222" s="122">
        <f>일별!Q241</f>
        <v>209</v>
      </c>
      <c r="D222" s="15">
        <f>일별!I241</f>
        <v>24.899999999999636</v>
      </c>
      <c r="F222" s="122">
        <f t="shared" si="4"/>
        <v>184.10000000000036</v>
      </c>
    </row>
    <row r="223" spans="2:6">
      <c r="B223" s="25">
        <f>운전실적_원본!A224</f>
        <v>45876</v>
      </c>
      <c r="C223" s="122">
        <f>일별!Q242</f>
        <v>125</v>
      </c>
      <c r="D223" s="15">
        <f>일별!I242</f>
        <v>24.580000000001746</v>
      </c>
      <c r="F223" s="122">
        <f t="shared" si="4"/>
        <v>100.41999999999825</v>
      </c>
    </row>
    <row r="224" spans="2:6">
      <c r="B224" s="25">
        <f>운전실적_원본!A225</f>
        <v>45877</v>
      </c>
      <c r="C224" s="122">
        <f>일별!Q243</f>
        <v>215</v>
      </c>
      <c r="D224" s="15">
        <f>일별!I243</f>
        <v>27.659999999999854</v>
      </c>
      <c r="F224" s="122">
        <f t="shared" si="4"/>
        <v>187.34000000000015</v>
      </c>
    </row>
    <row r="225" spans="2:6">
      <c r="B225" s="25">
        <f>운전실적_원본!A226</f>
        <v>45878</v>
      </c>
      <c r="C225" s="122">
        <f>일별!Q244</f>
        <v>256</v>
      </c>
      <c r="D225" s="15">
        <f>일별!I244</f>
        <v>22.5</v>
      </c>
      <c r="F225" s="122">
        <f t="shared" si="4"/>
        <v>233.5</v>
      </c>
    </row>
    <row r="226" spans="2:6">
      <c r="B226" s="25">
        <f>운전실적_원본!A227</f>
        <v>45879</v>
      </c>
      <c r="C226" s="122">
        <f>일별!Q245</f>
        <v>253</v>
      </c>
      <c r="D226" s="15">
        <f>일별!I245</f>
        <v>23.590000000000146</v>
      </c>
      <c r="F226" s="122">
        <f t="shared" si="4"/>
        <v>229.40999999999985</v>
      </c>
    </row>
    <row r="227" spans="2:6">
      <c r="B227" s="25">
        <f>운전실적_원본!A228</f>
        <v>45880</v>
      </c>
      <c r="C227" s="122">
        <f>일별!Q246</f>
        <v>359</v>
      </c>
      <c r="D227" s="15">
        <f>일별!I246</f>
        <v>22.369999999998981</v>
      </c>
      <c r="F227" s="122">
        <f t="shared" si="4"/>
        <v>336.63000000000102</v>
      </c>
    </row>
    <row r="228" spans="2:6">
      <c r="B228" s="25">
        <f>운전실적_원본!A229</f>
        <v>45881</v>
      </c>
      <c r="C228" s="122">
        <f>일별!Q247</f>
        <v>310</v>
      </c>
      <c r="D228" s="15">
        <f>일별!I247</f>
        <v>17.059999999999491</v>
      </c>
      <c r="F228" s="122">
        <f t="shared" si="4"/>
        <v>292.94000000000051</v>
      </c>
    </row>
    <row r="229" spans="2:6">
      <c r="B229" s="25">
        <f>운전실적_원본!A230</f>
        <v>45882</v>
      </c>
      <c r="C229" s="122">
        <f>일별!Q248</f>
        <v>318</v>
      </c>
      <c r="D229" s="15">
        <f>일별!I248</f>
        <v>26.950000000000728</v>
      </c>
      <c r="F229" s="122">
        <f t="shared" si="4"/>
        <v>291.04999999999927</v>
      </c>
    </row>
    <row r="230" spans="2:6">
      <c r="B230" s="25">
        <f>운전실적_원본!A231</f>
        <v>45883</v>
      </c>
      <c r="C230" s="122">
        <f>일별!Q249</f>
        <v>303</v>
      </c>
      <c r="D230" s="15">
        <f>일별!I249</f>
        <v>23.860000000000582</v>
      </c>
      <c r="F230" s="122">
        <f t="shared" si="4"/>
        <v>279.13999999999942</v>
      </c>
    </row>
    <row r="231" spans="2:6">
      <c r="B231" s="25">
        <f>운전실적_원본!A232</f>
        <v>45884</v>
      </c>
      <c r="C231" s="122">
        <f>일별!Q250</f>
        <v>307</v>
      </c>
      <c r="D231" s="15">
        <f>일별!I250</f>
        <v>19.3799999999992</v>
      </c>
      <c r="F231" s="122">
        <f t="shared" si="4"/>
        <v>287.6200000000008</v>
      </c>
    </row>
    <row r="232" spans="2:6">
      <c r="B232" s="25">
        <f>운전실적_원본!A233</f>
        <v>45885</v>
      </c>
      <c r="C232" s="122">
        <f>일별!Q251</f>
        <v>268</v>
      </c>
      <c r="D232" s="15">
        <f>일별!I251</f>
        <v>25.420000000000073</v>
      </c>
      <c r="F232" s="122">
        <f t="shared" si="4"/>
        <v>242.57999999999993</v>
      </c>
    </row>
    <row r="233" spans="2:6">
      <c r="B233" s="25">
        <f>운전실적_원본!A234</f>
        <v>45886</v>
      </c>
      <c r="C233" s="122">
        <f>일별!Q252</f>
        <v>305</v>
      </c>
      <c r="D233" s="15">
        <f>일별!I252</f>
        <v>20.090000000000146</v>
      </c>
      <c r="F233" s="122">
        <f t="shared" si="4"/>
        <v>284.90999999999985</v>
      </c>
    </row>
    <row r="234" spans="2:6">
      <c r="B234" s="25">
        <f>운전실적_원본!A235</f>
        <v>45887</v>
      </c>
      <c r="C234" s="122">
        <f>일별!Q253</f>
        <v>229</v>
      </c>
      <c r="D234" s="15">
        <f>일별!I253</f>
        <v>22.190000000000509</v>
      </c>
      <c r="F234" s="122">
        <f t="shared" si="4"/>
        <v>206.80999999999949</v>
      </c>
    </row>
    <row r="235" spans="2:6">
      <c r="B235" s="25">
        <f>운전실적_원본!A236</f>
        <v>45888</v>
      </c>
      <c r="C235" s="122">
        <f>일별!Q254</f>
        <v>265</v>
      </c>
      <c r="D235" s="15">
        <f>일별!I254</f>
        <v>11.279999999998836</v>
      </c>
      <c r="F235" s="122">
        <f t="shared" si="4"/>
        <v>253.72000000000116</v>
      </c>
    </row>
    <row r="236" spans="2:6">
      <c r="B236" s="25">
        <f>운전실적_원본!A237</f>
        <v>45889</v>
      </c>
      <c r="C236" s="122">
        <f>일별!Q255</f>
        <v>276</v>
      </c>
      <c r="D236" s="15">
        <f>일별!I255</f>
        <v>10.170000000000073</v>
      </c>
      <c r="F236" s="122">
        <f t="shared" si="4"/>
        <v>265.82999999999993</v>
      </c>
    </row>
    <row r="237" spans="2:6">
      <c r="B237" s="25">
        <f>운전실적_원본!A238</f>
        <v>45890</v>
      </c>
      <c r="C237" s="122">
        <f>일별!Q256</f>
        <v>384</v>
      </c>
      <c r="D237" s="15">
        <f>일별!I256</f>
        <v>27.579999999999927</v>
      </c>
      <c r="F237" s="122">
        <f t="shared" si="4"/>
        <v>356.42000000000007</v>
      </c>
    </row>
    <row r="238" spans="2:6">
      <c r="B238" s="25">
        <f>운전실적_원본!A239</f>
        <v>45891</v>
      </c>
      <c r="C238" s="122">
        <f>일별!Q257</f>
        <v>313</v>
      </c>
      <c r="D238" s="15">
        <f>일별!I257</f>
        <v>25.860000000000582</v>
      </c>
      <c r="F238" s="122">
        <f t="shared" si="4"/>
        <v>287.13999999999942</v>
      </c>
    </row>
    <row r="239" spans="2:6">
      <c r="B239" s="25">
        <f>운전실적_원본!A240</f>
        <v>45892</v>
      </c>
      <c r="C239" s="122">
        <f>일별!Q258</f>
        <v>326</v>
      </c>
      <c r="D239" s="15">
        <f>일별!I258</f>
        <v>26.100000000000364</v>
      </c>
      <c r="F239" s="122">
        <f t="shared" si="4"/>
        <v>299.89999999999964</v>
      </c>
    </row>
    <row r="240" spans="2:6">
      <c r="B240" s="25">
        <f>운전실적_원본!A241</f>
        <v>45893</v>
      </c>
      <c r="C240" s="122">
        <f>일별!Q259</f>
        <v>243</v>
      </c>
      <c r="D240" s="15">
        <f>일별!I259</f>
        <v>27.329999999999927</v>
      </c>
      <c r="F240" s="122">
        <f t="shared" si="4"/>
        <v>215.67000000000007</v>
      </c>
    </row>
    <row r="241" spans="2:6">
      <c r="B241" s="25">
        <f>운전실적_원본!A242</f>
        <v>45894</v>
      </c>
      <c r="C241" s="122">
        <f>일별!Q260</f>
        <v>188</v>
      </c>
      <c r="D241" s="15">
        <f>일별!I260</f>
        <v>27.110000000000582</v>
      </c>
      <c r="F241" s="122">
        <f t="shared" si="4"/>
        <v>160.88999999999942</v>
      </c>
    </row>
    <row r="242" spans="2:6">
      <c r="B242" s="25">
        <f>운전실적_원본!A243</f>
        <v>45895</v>
      </c>
      <c r="C242" s="122">
        <f>일별!Q261</f>
        <v>163</v>
      </c>
      <c r="D242" s="15">
        <f>일별!I261</f>
        <v>20.579999999999927</v>
      </c>
      <c r="F242" s="122">
        <f t="shared" si="4"/>
        <v>142.42000000000007</v>
      </c>
    </row>
    <row r="243" spans="2:6">
      <c r="B243" s="25">
        <f>운전실적_원본!A244</f>
        <v>45896</v>
      </c>
      <c r="C243" s="122">
        <f>일별!Q262</f>
        <v>-288986</v>
      </c>
      <c r="D243" s="15">
        <f>일별!I262</f>
        <v>24.069999999999709</v>
      </c>
      <c r="F243" s="122">
        <f t="shared" si="4"/>
        <v>-289010.07</v>
      </c>
    </row>
    <row r="244" spans="2:6">
      <c r="B244" s="25">
        <f>운전실적_원본!A245</f>
        <v>45897</v>
      </c>
      <c r="C244" s="122">
        <f>일별!Q263</f>
        <v>194</v>
      </c>
      <c r="D244" s="15">
        <f>일별!I263</f>
        <v>42.499999999998181</v>
      </c>
      <c r="F244" s="122">
        <f t="shared" si="4"/>
        <v>151.50000000000182</v>
      </c>
    </row>
    <row r="245" spans="2:6">
      <c r="B245" s="25">
        <f>운전실적_원본!A246</f>
        <v>45898</v>
      </c>
      <c r="C245" s="122">
        <f>일별!Q264</f>
        <v>260</v>
      </c>
      <c r="D245" s="15">
        <f>일별!I264</f>
        <v>34.81000000000131</v>
      </c>
      <c r="F245" s="122">
        <f t="shared" si="4"/>
        <v>225.18999999999869</v>
      </c>
    </row>
    <row r="246" spans="2:6">
      <c r="B246" s="25">
        <f>운전실적_원본!A247</f>
        <v>45899</v>
      </c>
      <c r="C246" s="122">
        <f>일별!Q265</f>
        <v>252</v>
      </c>
      <c r="D246" s="15">
        <f>일별!I265</f>
        <v>15.349999999998545</v>
      </c>
      <c r="F246" s="122">
        <f t="shared" si="4"/>
        <v>236.65000000000146</v>
      </c>
    </row>
    <row r="247" spans="2:6">
      <c r="B247" s="25">
        <f>운전실적_원본!A248</f>
        <v>45900</v>
      </c>
      <c r="C247" s="122">
        <f>일별!Q266</f>
        <v>267</v>
      </c>
      <c r="D247" s="15">
        <f>일별!I266</f>
        <v>16.470000000001164</v>
      </c>
      <c r="F247" s="122">
        <f t="shared" si="4"/>
        <v>250.52999999999884</v>
      </c>
    </row>
    <row r="248" spans="2:6">
      <c r="B248" s="25">
        <f>운전실적_원본!A249</f>
        <v>45901</v>
      </c>
      <c r="C248" s="122">
        <f>일별!Q267</f>
        <v>255</v>
      </c>
      <c r="D248" s="15">
        <f>일별!I267</f>
        <v>14.029999999998836</v>
      </c>
      <c r="F248" s="122">
        <f t="shared" si="4"/>
        <v>240.97000000000116</v>
      </c>
    </row>
    <row r="249" spans="2:6">
      <c r="B249" s="25">
        <f>운전실적_원본!A250</f>
        <v>45902</v>
      </c>
      <c r="C249" s="122">
        <f>일별!Q268</f>
        <v>268</v>
      </c>
      <c r="D249" s="15">
        <f>일별!I268</f>
        <v>7</v>
      </c>
      <c r="F249" s="122">
        <f t="shared" si="4"/>
        <v>261</v>
      </c>
    </row>
    <row r="250" spans="2:6">
      <c r="B250" s="25">
        <f>운전실적_원본!A251</f>
        <v>45903</v>
      </c>
      <c r="C250" s="122">
        <f>일별!Q269</f>
        <v>64</v>
      </c>
      <c r="D250" s="15">
        <f>일별!I269</f>
        <v>8.8400000000001455</v>
      </c>
      <c r="F250" s="122">
        <f t="shared" si="4"/>
        <v>55.159999999999854</v>
      </c>
    </row>
    <row r="251" spans="2:6">
      <c r="B251" s="25">
        <f>운전실적_원본!A252</f>
        <v>45904</v>
      </c>
      <c r="C251" s="122">
        <f>일별!Q270</f>
        <v>150</v>
      </c>
      <c r="D251" s="15">
        <f>일별!I270</f>
        <v>11.920000000001892</v>
      </c>
      <c r="F251" s="122">
        <f t="shared" si="4"/>
        <v>138.07999999999811</v>
      </c>
    </row>
    <row r="252" spans="2:6">
      <c r="B252" s="25">
        <f>운전실적_원본!A253</f>
        <v>45905</v>
      </c>
      <c r="C252" s="122">
        <f>일별!Q271</f>
        <v>114</v>
      </c>
      <c r="D252" s="15">
        <f>일별!I271</f>
        <v>11.369999999998981</v>
      </c>
      <c r="F252" s="122">
        <f t="shared" si="4"/>
        <v>102.63000000000102</v>
      </c>
    </row>
    <row r="253" spans="2:6">
      <c r="B253" s="25">
        <f>운전실적_원본!A254</f>
        <v>45906</v>
      </c>
      <c r="C253" s="122">
        <f>일별!Q272</f>
        <v>67</v>
      </c>
      <c r="D253" s="15">
        <f>일별!I272</f>
        <v>11.779999999998836</v>
      </c>
      <c r="F253" s="122">
        <f t="shared" si="4"/>
        <v>55.220000000001164</v>
      </c>
    </row>
    <row r="254" spans="2:6">
      <c r="B254" s="25">
        <f>운전실적_원본!A255</f>
        <v>45907</v>
      </c>
      <c r="C254" s="122">
        <f>일별!Q273</f>
        <v>75</v>
      </c>
      <c r="D254" s="15">
        <f>일별!I273</f>
        <v>12.210000000002765</v>
      </c>
      <c r="F254" s="122">
        <f t="shared" si="4"/>
        <v>62.789999999997235</v>
      </c>
    </row>
    <row r="255" spans="2:6">
      <c r="B255" s="25">
        <f>운전실적_원본!A256</f>
        <v>45908</v>
      </c>
      <c r="C255" s="122">
        <f>일별!Q274</f>
        <v>123</v>
      </c>
      <c r="D255" s="15">
        <f>일별!I274</f>
        <v>12.770000000000437</v>
      </c>
      <c r="F255" s="122">
        <f t="shared" si="4"/>
        <v>110.22999999999956</v>
      </c>
    </row>
    <row r="256" spans="2:6">
      <c r="B256" s="25">
        <f>운전실적_원본!A257</f>
        <v>45909</v>
      </c>
      <c r="C256" s="122">
        <f>일별!Q275</f>
        <v>58</v>
      </c>
      <c r="D256" s="15">
        <f>일별!I275</f>
        <v>7.8499999999985448</v>
      </c>
      <c r="F256" s="122">
        <f t="shared" si="4"/>
        <v>50.150000000001455</v>
      </c>
    </row>
    <row r="257" spans="2:6">
      <c r="B257" s="25">
        <f>운전실적_원본!A258</f>
        <v>45910</v>
      </c>
      <c r="C257" s="122">
        <f>일별!Q276</f>
        <v>19</v>
      </c>
      <c r="D257" s="15">
        <f>일별!I276</f>
        <v>6.9199999999982538</v>
      </c>
      <c r="F257" s="122">
        <f t="shared" si="4"/>
        <v>12.080000000001746</v>
      </c>
    </row>
    <row r="258" spans="2:6">
      <c r="B258" s="25">
        <f>운전실적_원본!A259</f>
        <v>45911</v>
      </c>
      <c r="C258" s="122">
        <f>일별!Q277</f>
        <v>157</v>
      </c>
      <c r="D258" s="15">
        <f>일별!I277</f>
        <v>11.110000000000582</v>
      </c>
      <c r="F258" s="122">
        <f t="shared" si="4"/>
        <v>145.88999999999942</v>
      </c>
    </row>
    <row r="259" spans="2:6">
      <c r="B259" s="25">
        <f>운전실적_원본!A260</f>
        <v>45912</v>
      </c>
      <c r="C259" s="122">
        <f>일별!Q278</f>
        <v>67</v>
      </c>
      <c r="D259" s="15">
        <f>일별!I278</f>
        <v>11.130000000001019</v>
      </c>
      <c r="F259" s="122">
        <f t="shared" si="4"/>
        <v>55.869999999998981</v>
      </c>
    </row>
    <row r="260" spans="2:6">
      <c r="B260" s="25">
        <f>운전실적_원본!A261</f>
        <v>45913</v>
      </c>
      <c r="C260" s="122">
        <f>일별!Q279</f>
        <v>112</v>
      </c>
      <c r="D260" s="15">
        <f>일별!I279</f>
        <v>10.590000000000146</v>
      </c>
      <c r="F260" s="122">
        <f t="shared" si="4"/>
        <v>101.40999999999985</v>
      </c>
    </row>
    <row r="261" spans="2:6">
      <c r="B261" s="25">
        <f>운전실적_원본!A262</f>
        <v>45914</v>
      </c>
      <c r="C261" s="122">
        <f>일별!Q280</f>
        <v>117</v>
      </c>
      <c r="D261" s="15">
        <f>일별!I280</f>
        <v>9.7999999999992724</v>
      </c>
      <c r="F261" s="122">
        <f t="shared" si="4"/>
        <v>107.20000000000073</v>
      </c>
    </row>
    <row r="262" spans="2:6">
      <c r="B262" s="25">
        <f>운전실적_원본!A263</f>
        <v>45915</v>
      </c>
      <c r="C262" s="122">
        <f>일별!Q281</f>
        <v>152</v>
      </c>
      <c r="D262" s="15">
        <f>일별!I281</f>
        <v>2.0400000000008731</v>
      </c>
      <c r="F262" s="122">
        <f t="shared" si="4"/>
        <v>149.95999999999913</v>
      </c>
    </row>
    <row r="263" spans="2:6">
      <c r="B263" s="25">
        <f>운전실적_원본!A264</f>
        <v>45916</v>
      </c>
      <c r="C263" s="122">
        <f>일별!Q282</f>
        <v>17</v>
      </c>
      <c r="D263" s="15">
        <f>일별!I282</f>
        <v>2.7599999999983993</v>
      </c>
      <c r="F263" s="122">
        <f t="shared" si="4"/>
        <v>14.240000000001601</v>
      </c>
    </row>
    <row r="264" spans="2:6">
      <c r="B264" s="25">
        <f>운전실적_원본!A265</f>
        <v>45917</v>
      </c>
      <c r="C264" s="122">
        <f>일별!Q283</f>
        <v>15</v>
      </c>
      <c r="D264" s="15">
        <f>일별!I283</f>
        <v>1.9799999999995634</v>
      </c>
      <c r="F264" s="122">
        <f t="shared" si="4"/>
        <v>13.020000000000437</v>
      </c>
    </row>
    <row r="265" spans="2:6">
      <c r="B265" s="25">
        <f>운전실적_원본!A266</f>
        <v>45918</v>
      </c>
      <c r="C265" s="122">
        <f>일별!Q284</f>
        <v>16</v>
      </c>
      <c r="D265" s="15">
        <f>일별!I284</f>
        <v>2.2000000000007276</v>
      </c>
      <c r="F265" s="122">
        <f t="shared" si="4"/>
        <v>13.799999999999272</v>
      </c>
    </row>
    <row r="266" spans="2:6">
      <c r="B266" s="25">
        <f>운전실적_원본!A267</f>
        <v>45919</v>
      </c>
      <c r="C266" s="122">
        <f>일별!Q285</f>
        <v>14</v>
      </c>
      <c r="D266" s="15">
        <f>일별!I285</f>
        <v>1.6700000000018917</v>
      </c>
      <c r="F266" s="122">
        <f t="shared" si="4"/>
        <v>12.329999999998108</v>
      </c>
    </row>
    <row r="267" spans="2:6">
      <c r="B267" s="25">
        <f>운전실적_원본!A268</f>
        <v>45920</v>
      </c>
      <c r="C267" s="122">
        <f>일별!Q286</f>
        <v>153</v>
      </c>
      <c r="D267" s="15">
        <f>일별!I286</f>
        <v>4.4599999999991269</v>
      </c>
      <c r="F267" s="122">
        <f t="shared" si="4"/>
        <v>148.54000000000087</v>
      </c>
    </row>
    <row r="268" spans="2:6">
      <c r="B268" s="25">
        <f>운전실적_원본!A269</f>
        <v>45921</v>
      </c>
      <c r="C268" s="122">
        <f>일별!Q287</f>
        <v>70</v>
      </c>
      <c r="D268" s="15">
        <f>일별!I287</f>
        <v>2.1699999999982538</v>
      </c>
      <c r="F268" s="122">
        <f t="shared" si="4"/>
        <v>67.830000000001746</v>
      </c>
    </row>
    <row r="269" spans="2:6">
      <c r="B269" s="25">
        <f>운전실적_원본!A270</f>
        <v>45922</v>
      </c>
      <c r="C269" s="122">
        <f>일별!Q288</f>
        <v>61</v>
      </c>
      <c r="D269" s="15">
        <f>일별!I288</f>
        <v>2.3200000000033469</v>
      </c>
      <c r="F269" s="122">
        <f t="shared" si="4"/>
        <v>58.679999999996653</v>
      </c>
    </row>
    <row r="270" spans="2:6">
      <c r="B270" s="25">
        <f>운전실적_원본!A271</f>
        <v>45923</v>
      </c>
      <c r="C270" s="122">
        <f>일별!Q289</f>
        <v>4</v>
      </c>
      <c r="D270" s="15">
        <f>일별!I289</f>
        <v>3.3599999999969441</v>
      </c>
      <c r="F270" s="122">
        <f t="shared" si="4"/>
        <v>0.6400000000030559</v>
      </c>
    </row>
    <row r="271" spans="2:6">
      <c r="B271" s="25">
        <f>운전실적_원본!A272</f>
        <v>45924</v>
      </c>
      <c r="C271" s="122">
        <f>일별!Q290</f>
        <v>17</v>
      </c>
      <c r="D271" s="15">
        <f>일별!I290</f>
        <v>1.9200000000018917</v>
      </c>
      <c r="F271" s="122">
        <f t="shared" si="4"/>
        <v>15.079999999998108</v>
      </c>
    </row>
    <row r="272" spans="2:6">
      <c r="B272" s="25">
        <f>운전실적_원본!A273</f>
        <v>45925</v>
      </c>
      <c r="C272" s="122">
        <f>일별!Q291</f>
        <v>150</v>
      </c>
      <c r="D272" s="15">
        <f>일별!I291</f>
        <v>4.8499999999985448</v>
      </c>
      <c r="F272" s="122">
        <f t="shared" si="4"/>
        <v>145.15000000000146</v>
      </c>
    </row>
    <row r="273" spans="2:6">
      <c r="B273" s="25">
        <f>운전실적_원본!A274</f>
        <v>45926</v>
      </c>
      <c r="C273" s="122">
        <f>일별!Q292</f>
        <v>108</v>
      </c>
      <c r="D273" s="15">
        <f>일별!I292</f>
        <v>5.6399999999994179</v>
      </c>
      <c r="F273" s="122">
        <f t="shared" si="4"/>
        <v>102.36000000000058</v>
      </c>
    </row>
    <row r="274" spans="2:6">
      <c r="B274" s="25">
        <f>운전실적_원본!A275</f>
        <v>45927</v>
      </c>
      <c r="C274" s="122">
        <f>일별!Q293</f>
        <v>127</v>
      </c>
      <c r="D274" s="15">
        <f>일별!I293</f>
        <v>5.1599999999998545</v>
      </c>
      <c r="F274" s="122">
        <f t="shared" si="4"/>
        <v>121.84000000000015</v>
      </c>
    </row>
    <row r="275" spans="2:6">
      <c r="B275" s="25">
        <f>운전실적_원본!A276</f>
        <v>45928</v>
      </c>
      <c r="C275" s="122">
        <f>일별!Q294</f>
        <v>95</v>
      </c>
      <c r="D275" s="15">
        <f>일별!I294</f>
        <v>4.5700000000033469</v>
      </c>
      <c r="F275" s="122">
        <f t="shared" si="4"/>
        <v>90.429999999996653</v>
      </c>
    </row>
    <row r="276" spans="2:6">
      <c r="B276" s="25">
        <f>운전실적_원본!A277</f>
        <v>45929</v>
      </c>
      <c r="C276" s="122">
        <f>일별!Q295</f>
        <v>107</v>
      </c>
      <c r="D276" s="15">
        <f>일별!I295</f>
        <v>5.5399999999972351</v>
      </c>
      <c r="F276" s="122">
        <f t="shared" si="4"/>
        <v>101.46000000000276</v>
      </c>
    </row>
    <row r="277" spans="2:6">
      <c r="B277" s="25">
        <f>운전실적_원본!A278</f>
        <v>45930</v>
      </c>
      <c r="C277" s="122">
        <f>일별!Q296</f>
        <v>62</v>
      </c>
      <c r="D277" s="15">
        <f>일별!I296</f>
        <v>2.6000000000021828</v>
      </c>
      <c r="F277" s="122">
        <f t="shared" si="4"/>
        <v>59.399999999997817</v>
      </c>
    </row>
    <row r="278" spans="2:6">
      <c r="B278" s="25">
        <f>운전실적_원본!A279</f>
        <v>45931</v>
      </c>
      <c r="C278" s="122">
        <f>일별!Q297</f>
        <v>19</v>
      </c>
      <c r="D278" s="15">
        <f>일별!I297</f>
        <v>2.0900000000001455</v>
      </c>
      <c r="F278" s="122">
        <f t="shared" si="4"/>
        <v>16.909999999999854</v>
      </c>
    </row>
    <row r="279" spans="2:6">
      <c r="B279" s="25">
        <f>운전실적_원본!A280</f>
        <v>45932</v>
      </c>
      <c r="C279" s="122">
        <f>일별!Q298</f>
        <v>162</v>
      </c>
      <c r="D279" s="15">
        <f>일별!I298</f>
        <v>4.4199999999982538</v>
      </c>
      <c r="F279" s="122">
        <f t="shared" si="4"/>
        <v>157.58000000000175</v>
      </c>
    </row>
    <row r="280" spans="2:6">
      <c r="B280" s="25">
        <f>운전실적_원본!A281</f>
        <v>45933</v>
      </c>
      <c r="C280" s="122">
        <f>일별!Q299</f>
        <v>152</v>
      </c>
      <c r="D280" s="15">
        <f>일별!I299</f>
        <v>4.4900000000016007</v>
      </c>
      <c r="F280" s="122">
        <f t="shared" ref="F280:F343" si="5">IFERROR(C280-D280,"")</f>
        <v>147.5099999999984</v>
      </c>
    </row>
    <row r="281" spans="2:6">
      <c r="B281" s="25">
        <f>운전실적_원본!A282</f>
        <v>45934</v>
      </c>
      <c r="C281" s="122">
        <f>일별!Q300</f>
        <v>72</v>
      </c>
      <c r="D281" s="15">
        <f>일별!I300</f>
        <v>4.6199999999989814</v>
      </c>
      <c r="F281" s="122">
        <f t="shared" si="5"/>
        <v>67.380000000001019</v>
      </c>
    </row>
    <row r="282" spans="2:6">
      <c r="B282" s="25">
        <f>운전실적_원본!A283</f>
        <v>45935</v>
      </c>
      <c r="C282" s="122">
        <f>일별!Q301</f>
        <v>112</v>
      </c>
      <c r="D282" s="15">
        <f>일별!I301</f>
        <v>4.9900000000016007</v>
      </c>
      <c r="F282" s="122">
        <f t="shared" si="5"/>
        <v>107.0099999999984</v>
      </c>
    </row>
    <row r="283" spans="2:6">
      <c r="B283" s="25">
        <f>운전실적_원본!A284</f>
        <v>45936</v>
      </c>
      <c r="C283" s="122">
        <f>일별!Q302</f>
        <v>156</v>
      </c>
      <c r="D283" s="15">
        <f>일별!I302</f>
        <v>4.6199999999989814</v>
      </c>
      <c r="F283" s="122">
        <f t="shared" si="5"/>
        <v>151.38000000000102</v>
      </c>
    </row>
    <row r="284" spans="2:6">
      <c r="B284" s="25">
        <f>운전실적_원본!A285</f>
        <v>45937</v>
      </c>
      <c r="C284" s="122">
        <f>일별!Q303</f>
        <v>23</v>
      </c>
      <c r="D284" s="15">
        <f>일별!I303</f>
        <v>2.3800000000010186</v>
      </c>
      <c r="F284" s="122">
        <f t="shared" si="5"/>
        <v>20.619999999998981</v>
      </c>
    </row>
    <row r="285" spans="2:6">
      <c r="B285" s="25">
        <f>운전실적_원본!A286</f>
        <v>45938</v>
      </c>
      <c r="C285" s="122">
        <f>일별!Q304</f>
        <v>23</v>
      </c>
      <c r="D285" s="15">
        <f>일별!I304</f>
        <v>1.9199999999982538</v>
      </c>
      <c r="F285" s="122">
        <f t="shared" si="5"/>
        <v>21.080000000001746</v>
      </c>
    </row>
    <row r="286" spans="2:6">
      <c r="B286" s="25">
        <f>운전실적_원본!A287</f>
        <v>45939</v>
      </c>
      <c r="C286" s="122">
        <f>일별!Q305</f>
        <v>118</v>
      </c>
      <c r="D286" s="15">
        <f>일별!I305</f>
        <v>4.1500000000014552</v>
      </c>
      <c r="F286" s="122">
        <f t="shared" si="5"/>
        <v>113.84999999999854</v>
      </c>
    </row>
    <row r="287" spans="2:6">
      <c r="B287" s="25">
        <f>운전실적_원본!A288</f>
        <v>45940</v>
      </c>
      <c r="C287" s="122">
        <f>일별!Q306</f>
        <v>113</v>
      </c>
      <c r="D287" s="15">
        <f>일별!I306</f>
        <v>4.069999999999709</v>
      </c>
      <c r="F287" s="122">
        <f t="shared" si="5"/>
        <v>108.93000000000029</v>
      </c>
    </row>
    <row r="288" spans="2:6">
      <c r="B288" s="25">
        <f>운전실적_원본!A289</f>
        <v>45941</v>
      </c>
      <c r="C288" s="122">
        <f>일별!Q307</f>
        <v>111</v>
      </c>
      <c r="D288" s="15">
        <f>일별!I307</f>
        <v>4.0299999999988358</v>
      </c>
      <c r="F288" s="122">
        <f t="shared" si="5"/>
        <v>106.97000000000116</v>
      </c>
    </row>
    <row r="289" spans="2:6">
      <c r="B289" s="25">
        <f>운전실적_원본!A290</f>
        <v>45942</v>
      </c>
      <c r="C289" s="122">
        <f>일별!Q308</f>
        <v>155</v>
      </c>
      <c r="D289" s="15">
        <f>일별!I308</f>
        <v>3.9700000000011642</v>
      </c>
      <c r="F289" s="122">
        <f t="shared" si="5"/>
        <v>151.02999999999884</v>
      </c>
    </row>
    <row r="290" spans="2:6">
      <c r="B290" s="25">
        <f>운전실적_원본!A291</f>
        <v>45943</v>
      </c>
      <c r="C290" s="122">
        <f>일별!Q309</f>
        <v>247</v>
      </c>
      <c r="D290" s="15">
        <f>일별!I309</f>
        <v>4.7399999999979627</v>
      </c>
      <c r="F290" s="122">
        <f t="shared" si="5"/>
        <v>242.26000000000204</v>
      </c>
    </row>
    <row r="291" spans="2:6">
      <c r="B291" s="25">
        <f>운전실적_원본!A292</f>
        <v>45944</v>
      </c>
      <c r="C291" s="122">
        <f>일별!Q310</f>
        <v>252</v>
      </c>
      <c r="D291" s="15">
        <f>일별!I310</f>
        <v>1.7700000000004366</v>
      </c>
      <c r="F291" s="122">
        <f t="shared" si="5"/>
        <v>250.22999999999956</v>
      </c>
    </row>
    <row r="292" spans="2:6">
      <c r="B292" s="25">
        <f>운전실적_원본!A293</f>
        <v>45945</v>
      </c>
      <c r="C292" s="122">
        <f>일별!Q311</f>
        <v>70</v>
      </c>
      <c r="D292" s="15">
        <f>일별!I311</f>
        <v>4.6599999999998545</v>
      </c>
      <c r="F292" s="122">
        <f t="shared" si="5"/>
        <v>65.340000000000146</v>
      </c>
    </row>
    <row r="293" spans="2:6">
      <c r="B293" s="25">
        <f>운전실적_원본!A294</f>
        <v>45946</v>
      </c>
      <c r="C293" s="122">
        <f>일별!Q312</f>
        <v>70</v>
      </c>
      <c r="D293" s="15">
        <f>일별!I312</f>
        <v>4.25</v>
      </c>
      <c r="F293" s="122">
        <f t="shared" si="5"/>
        <v>65.75</v>
      </c>
    </row>
    <row r="294" spans="2:6">
      <c r="B294" s="25">
        <f>운전실적_원본!A295</f>
        <v>45947</v>
      </c>
      <c r="C294" s="122">
        <f>일별!Q313</f>
        <v>161</v>
      </c>
      <c r="D294" s="15">
        <f>일별!I313</f>
        <v>3.5900000000001455</v>
      </c>
      <c r="F294" s="122">
        <f t="shared" si="5"/>
        <v>157.40999999999985</v>
      </c>
    </row>
    <row r="295" spans="2:6">
      <c r="B295" s="25">
        <f>운전실적_원본!A296</f>
        <v>45948</v>
      </c>
      <c r="C295" s="122">
        <f>일별!Q314</f>
        <v>148</v>
      </c>
      <c r="D295" s="15">
        <f>일별!I314</f>
        <v>9.7099999999991269</v>
      </c>
      <c r="F295" s="122">
        <f t="shared" si="5"/>
        <v>138.29000000000087</v>
      </c>
    </row>
    <row r="296" spans="2:6">
      <c r="B296" s="25">
        <f>운전실적_원본!A297</f>
        <v>45949</v>
      </c>
      <c r="C296" s="122">
        <f>일별!Q315</f>
        <v>159</v>
      </c>
      <c r="D296" s="15">
        <f>일별!I315</f>
        <v>4</v>
      </c>
      <c r="F296" s="122">
        <f t="shared" si="5"/>
        <v>155</v>
      </c>
    </row>
    <row r="297" spans="2:6">
      <c r="B297" s="25">
        <f>운전실적_원본!A298</f>
        <v>45950</v>
      </c>
      <c r="C297" s="122">
        <f>일별!Q316</f>
        <v>213</v>
      </c>
      <c r="D297" s="15">
        <f>일별!I316</f>
        <v>4.1100000000005821</v>
      </c>
      <c r="F297" s="122">
        <f t="shared" si="5"/>
        <v>208.88999999999942</v>
      </c>
    </row>
    <row r="298" spans="2:6">
      <c r="B298" s="25">
        <f>운전실적_원본!A299</f>
        <v>45951</v>
      </c>
      <c r="C298" s="122">
        <f>일별!Q317</f>
        <v>148</v>
      </c>
      <c r="D298" s="15">
        <f>일별!I317</f>
        <v>1.6500000000014552</v>
      </c>
      <c r="F298" s="122">
        <f t="shared" si="5"/>
        <v>146.34999999999854</v>
      </c>
    </row>
    <row r="299" spans="2:6">
      <c r="B299" s="25">
        <f>운전실적_원본!A300</f>
        <v>45952</v>
      </c>
      <c r="C299" s="122">
        <f>일별!Q318</f>
        <v>66</v>
      </c>
      <c r="D299" s="15">
        <f>일별!I318</f>
        <v>1.6300000000010186</v>
      </c>
      <c r="F299" s="122">
        <f t="shared" si="5"/>
        <v>64.369999999998981</v>
      </c>
    </row>
    <row r="300" spans="2:6">
      <c r="B300" s="25">
        <f>운전실적_원본!A301</f>
        <v>45953</v>
      </c>
      <c r="C300" s="122">
        <f>일별!Q319</f>
        <v>165</v>
      </c>
      <c r="D300" s="15">
        <f>일별!I319</f>
        <v>6.8099999999976717</v>
      </c>
      <c r="F300" s="122">
        <f t="shared" si="5"/>
        <v>158.19000000000233</v>
      </c>
    </row>
    <row r="301" spans="2:6">
      <c r="B301" s="25">
        <f>운전실적_원본!A302</f>
        <v>45954</v>
      </c>
      <c r="C301" s="122">
        <f>일별!Q320</f>
        <v>96</v>
      </c>
      <c r="D301" s="15">
        <f>일별!I320</f>
        <v>4.319999999999709</v>
      </c>
      <c r="F301" s="122">
        <f t="shared" si="5"/>
        <v>91.680000000000291</v>
      </c>
    </row>
    <row r="302" spans="2:6">
      <c r="B302" s="25">
        <f>운전실적_원본!A303</f>
        <v>45955</v>
      </c>
      <c r="C302" s="122">
        <f>일별!Q321</f>
        <v>125</v>
      </c>
      <c r="D302" s="15">
        <f>일별!I321</f>
        <v>4.1599999999998545</v>
      </c>
      <c r="F302" s="122">
        <f t="shared" si="5"/>
        <v>120.84000000000015</v>
      </c>
    </row>
    <row r="303" spans="2:6">
      <c r="B303" s="25">
        <f>운전실적_원본!A304</f>
        <v>45956</v>
      </c>
      <c r="C303" s="122">
        <f>일별!Q322</f>
        <v>126</v>
      </c>
      <c r="D303" s="15">
        <f>일별!I322</f>
        <v>3.9900000000016007</v>
      </c>
      <c r="F303" s="122">
        <f t="shared" si="5"/>
        <v>122.0099999999984</v>
      </c>
    </row>
    <row r="304" spans="2:6">
      <c r="B304" s="25">
        <f>운전실적_원본!A305</f>
        <v>45957</v>
      </c>
      <c r="C304" s="122">
        <f>일별!Q323</f>
        <v>77</v>
      </c>
      <c r="D304" s="15">
        <f>일별!I323</f>
        <v>4.2099999999991269</v>
      </c>
      <c r="F304" s="122">
        <f t="shared" si="5"/>
        <v>72.790000000000873</v>
      </c>
    </row>
    <row r="305" spans="2:6">
      <c r="B305" s="25">
        <f>운전실적_원본!A306</f>
        <v>45958</v>
      </c>
      <c r="C305" s="122">
        <f>일별!Q324</f>
        <v>23</v>
      </c>
      <c r="D305" s="15">
        <f>일별!I324</f>
        <v>1.8699999999989814</v>
      </c>
      <c r="F305" s="122">
        <f t="shared" si="5"/>
        <v>21.130000000001019</v>
      </c>
    </row>
    <row r="306" spans="2:6">
      <c r="B306" s="25">
        <f>운전실적_원본!A307</f>
        <v>45959</v>
      </c>
      <c r="C306" s="122">
        <f>일별!Q325</f>
        <v>22</v>
      </c>
      <c r="D306" s="15">
        <f>일별!I325</f>
        <v>1.25</v>
      </c>
      <c r="F306" s="122">
        <f t="shared" si="5"/>
        <v>20.75</v>
      </c>
    </row>
    <row r="307" spans="2:6">
      <c r="B307" s="25">
        <f>운전실적_원본!A308</f>
        <v>45960</v>
      </c>
      <c r="C307" s="122">
        <f>일별!Q326</f>
        <v>192</v>
      </c>
      <c r="D307" s="15">
        <f>일별!I326</f>
        <v>4.3300000000017462</v>
      </c>
      <c r="F307" s="122">
        <f t="shared" si="5"/>
        <v>187.66999999999825</v>
      </c>
    </row>
    <row r="308" spans="2:6">
      <c r="B308" s="25">
        <f>운전실적_원본!A309</f>
        <v>45961</v>
      </c>
      <c r="C308" s="122">
        <f>일별!Q327</f>
        <v>199</v>
      </c>
      <c r="D308" s="15">
        <f>일별!I327</f>
        <v>20.069999999999709</v>
      </c>
      <c r="F308" s="122">
        <f t="shared" si="5"/>
        <v>178.93000000000029</v>
      </c>
    </row>
    <row r="309" spans="2:6">
      <c r="B309" s="25">
        <f>운전실적_원본!A310</f>
        <v>45962</v>
      </c>
      <c r="C309" s="122">
        <f>일별!Q328</f>
        <v>167</v>
      </c>
      <c r="D309" s="15">
        <f>일별!I328</f>
        <v>9.4399999999986903</v>
      </c>
      <c r="F309" s="122">
        <f t="shared" si="5"/>
        <v>157.56000000000131</v>
      </c>
    </row>
    <row r="310" spans="2:6">
      <c r="B310" s="25">
        <f>운전실적_원본!A311</f>
        <v>45963</v>
      </c>
      <c r="C310" s="122">
        <f>일별!Q329</f>
        <v>102</v>
      </c>
      <c r="D310" s="15">
        <f>일별!I329</f>
        <v>15.130000000001019</v>
      </c>
      <c r="F310" s="122">
        <f t="shared" si="5"/>
        <v>86.869999999998981</v>
      </c>
    </row>
    <row r="311" spans="2:6">
      <c r="B311" s="25">
        <f>운전실적_원본!A312</f>
        <v>45964</v>
      </c>
      <c r="C311" s="122">
        <f>일별!Q330</f>
        <v>199</v>
      </c>
      <c r="D311" s="15">
        <f>일별!I330</f>
        <v>4.7099999999991269</v>
      </c>
      <c r="F311" s="122">
        <f t="shared" si="5"/>
        <v>194.29000000000087</v>
      </c>
    </row>
    <row r="312" spans="2:6">
      <c r="B312" s="25">
        <f>운전실적_원본!A313</f>
        <v>45965</v>
      </c>
      <c r="C312" s="122">
        <f>일별!Q331</f>
        <v>165</v>
      </c>
      <c r="D312" s="15">
        <f>일별!I331</f>
        <v>1.8500000000021828</v>
      </c>
      <c r="F312" s="122">
        <f t="shared" si="5"/>
        <v>163.14999999999782</v>
      </c>
    </row>
    <row r="313" spans="2:6">
      <c r="B313" s="25">
        <f>운전실적_원본!A314</f>
        <v>45966</v>
      </c>
      <c r="C313" s="122">
        <f>일별!Q332</f>
        <v>126</v>
      </c>
      <c r="D313" s="15">
        <f>일별!I332</f>
        <v>1.1699999999982538</v>
      </c>
      <c r="F313" s="122">
        <f t="shared" si="5"/>
        <v>124.83000000000175</v>
      </c>
    </row>
    <row r="314" spans="2:6">
      <c r="B314" s="25">
        <f>운전실적_원본!A315</f>
        <v>45967</v>
      </c>
      <c r="C314" s="122">
        <f>일별!Q333</f>
        <v>197</v>
      </c>
      <c r="D314" s="15">
        <f>일별!I333</f>
        <v>4.7700000000004366</v>
      </c>
      <c r="F314" s="122">
        <f t="shared" si="5"/>
        <v>192.22999999999956</v>
      </c>
    </row>
    <row r="315" spans="2:6">
      <c r="B315" s="25">
        <f>운전실적_원본!A316</f>
        <v>45968</v>
      </c>
      <c r="C315" s="122">
        <f>일별!Q334</f>
        <v>181</v>
      </c>
      <c r="D315" s="15">
        <f>일별!I334</f>
        <v>4.0499999999992724</v>
      </c>
      <c r="F315" s="122">
        <f t="shared" si="5"/>
        <v>176.95000000000073</v>
      </c>
    </row>
    <row r="316" spans="2:6">
      <c r="B316" s="25">
        <f>운전실적_원본!A317</f>
        <v>45969</v>
      </c>
      <c r="C316" s="122">
        <f>일별!Q335</f>
        <v>157</v>
      </c>
      <c r="D316" s="15">
        <f>일별!I335</f>
        <v>4.4200000000018917</v>
      </c>
      <c r="F316" s="122">
        <f t="shared" si="5"/>
        <v>152.57999999999811</v>
      </c>
    </row>
    <row r="317" spans="2:6">
      <c r="B317" s="25">
        <f>운전실적_원본!A318</f>
        <v>45970</v>
      </c>
      <c r="C317" s="122">
        <f>일별!Q336</f>
        <v>225</v>
      </c>
      <c r="D317" s="15">
        <f>일별!I336</f>
        <v>7.9199999999982538</v>
      </c>
      <c r="F317" s="122">
        <f t="shared" si="5"/>
        <v>217.08000000000175</v>
      </c>
    </row>
    <row r="318" spans="2:6">
      <c r="B318" s="25">
        <f>운전실적_원본!A319</f>
        <v>45971</v>
      </c>
      <c r="C318" s="122">
        <f>일별!Q337</f>
        <v>83</v>
      </c>
      <c r="D318" s="15">
        <f>일별!I337</f>
        <v>7.4599999999991269</v>
      </c>
      <c r="F318" s="122">
        <f t="shared" si="5"/>
        <v>75.540000000000873</v>
      </c>
    </row>
    <row r="319" spans="2:6">
      <c r="B319" s="25">
        <f>운전실적_원본!A320</f>
        <v>45972</v>
      </c>
      <c r="C319" s="122">
        <f>일별!Q338</f>
        <v>168</v>
      </c>
      <c r="D319" s="15">
        <f>일별!I338</f>
        <v>1.9600000000027649</v>
      </c>
      <c r="F319" s="122">
        <f t="shared" si="5"/>
        <v>166.03999999999724</v>
      </c>
    </row>
    <row r="320" spans="2:6">
      <c r="B320" s="25">
        <f>운전실적_원본!A321</f>
        <v>45973</v>
      </c>
      <c r="C320" s="122">
        <f>일별!Q339</f>
        <v>111</v>
      </c>
      <c r="D320" s="15">
        <f>일별!I339</f>
        <v>1.4500000000007276</v>
      </c>
      <c r="F320" s="122">
        <f t="shared" si="5"/>
        <v>109.54999999999927</v>
      </c>
    </row>
    <row r="321" spans="2:6">
      <c r="B321" s="25">
        <f>운전실적_원본!A322</f>
        <v>45974</v>
      </c>
      <c r="C321" s="122">
        <f>일별!Q340</f>
        <v>93</v>
      </c>
      <c r="D321" s="15">
        <f>일별!I340</f>
        <v>5.7599999999983993</v>
      </c>
      <c r="F321" s="122">
        <f t="shared" si="5"/>
        <v>87.240000000001601</v>
      </c>
    </row>
    <row r="322" spans="2:6">
      <c r="B322" s="25">
        <f>운전실적_원본!A323</f>
        <v>45975</v>
      </c>
      <c r="C322" s="122">
        <f>일별!Q341</f>
        <v>169</v>
      </c>
      <c r="D322" s="15">
        <f>일별!I341</f>
        <v>4.5099999999983993</v>
      </c>
      <c r="F322" s="122">
        <f t="shared" si="5"/>
        <v>164.4900000000016</v>
      </c>
    </row>
    <row r="323" spans="2:6">
      <c r="B323" s="25">
        <f>운전실적_원본!A324</f>
        <v>45976</v>
      </c>
      <c r="C323" s="122">
        <f>일별!Q342</f>
        <v>248</v>
      </c>
      <c r="D323" s="15">
        <f>일별!I342</f>
        <v>5.7000000000007276</v>
      </c>
      <c r="F323" s="122">
        <f t="shared" si="5"/>
        <v>242.29999999999927</v>
      </c>
    </row>
    <row r="324" spans="2:6">
      <c r="B324" s="25">
        <f>운전실적_원본!A325</f>
        <v>45977</v>
      </c>
      <c r="C324" s="122">
        <f>일별!Q343</f>
        <v>123</v>
      </c>
      <c r="D324" s="15">
        <f>일별!I343</f>
        <v>5.7200000000011642</v>
      </c>
      <c r="F324" s="122">
        <f t="shared" si="5"/>
        <v>117.27999999999884</v>
      </c>
    </row>
    <row r="325" spans="2:6">
      <c r="B325" s="25">
        <f>운전실적_원본!A326</f>
        <v>45978</v>
      </c>
      <c r="C325" s="122">
        <f>일별!Q344</f>
        <v>206</v>
      </c>
      <c r="D325" s="15">
        <f>일별!I344</f>
        <v>5.8699999999989814</v>
      </c>
      <c r="F325" s="122">
        <f t="shared" si="5"/>
        <v>200.13000000000102</v>
      </c>
    </row>
    <row r="326" spans="2:6">
      <c r="B326" s="25">
        <f>운전실적_원본!A327</f>
        <v>45979</v>
      </c>
      <c r="C326" s="122">
        <f>일별!Q345</f>
        <v>208</v>
      </c>
      <c r="D326" s="15">
        <f>일별!I345</f>
        <v>5.0400000000008731</v>
      </c>
      <c r="F326" s="122">
        <f t="shared" si="5"/>
        <v>202.95999999999913</v>
      </c>
    </row>
    <row r="327" spans="2:6">
      <c r="B327" s="25">
        <f>운전실적_원본!A328</f>
        <v>45980</v>
      </c>
      <c r="C327" s="122">
        <f>일별!Q346</f>
        <v>27</v>
      </c>
      <c r="D327" s="15">
        <f>일별!I346</f>
        <v>4.930000000000291</v>
      </c>
      <c r="F327" s="122">
        <f t="shared" si="5"/>
        <v>22.069999999999709</v>
      </c>
    </row>
    <row r="328" spans="2:6">
      <c r="B328" s="25">
        <f>운전실적_원본!A329</f>
        <v>45981</v>
      </c>
      <c r="C328" s="122">
        <f>일별!Q347</f>
        <v>219</v>
      </c>
      <c r="D328" s="15">
        <f>일별!I347</f>
        <v>6.7599999999983993</v>
      </c>
      <c r="F328" s="122">
        <f t="shared" si="5"/>
        <v>212.2400000000016</v>
      </c>
    </row>
    <row r="329" spans="2:6">
      <c r="B329" s="25">
        <f>운전실적_원본!A330</f>
        <v>45982</v>
      </c>
      <c r="C329" s="122">
        <f>일별!Q348</f>
        <v>257</v>
      </c>
      <c r="D329" s="15">
        <f>일별!I348</f>
        <v>4.8700000000026193</v>
      </c>
      <c r="F329" s="122">
        <f t="shared" si="5"/>
        <v>252.12999999999738</v>
      </c>
    </row>
    <row r="330" spans="2:6">
      <c r="B330" s="25">
        <f>운전실적_원본!A331</f>
        <v>45983</v>
      </c>
      <c r="C330" s="122">
        <f>일별!Q349</f>
        <v>72</v>
      </c>
      <c r="D330" s="15">
        <f>일별!I349</f>
        <v>4.3499999999985448</v>
      </c>
      <c r="F330" s="122">
        <f t="shared" si="5"/>
        <v>67.650000000001455</v>
      </c>
    </row>
    <row r="331" spans="2:6">
      <c r="B331" s="25">
        <f>운전실적_원본!A332</f>
        <v>45984</v>
      </c>
      <c r="C331" s="122">
        <f>일별!Q350</f>
        <v>264</v>
      </c>
      <c r="D331" s="15">
        <f>일별!I350</f>
        <v>4.5799999999981083</v>
      </c>
      <c r="F331" s="122">
        <f t="shared" si="5"/>
        <v>259.42000000000189</v>
      </c>
    </row>
    <row r="332" spans="2:6">
      <c r="B332" s="25">
        <f>운전실적_원본!A333</f>
        <v>45985</v>
      </c>
      <c r="C332" s="122">
        <f>일별!Q351</f>
        <v>116</v>
      </c>
      <c r="D332" s="15">
        <f>일별!I351</f>
        <v>5.6300000000010186</v>
      </c>
      <c r="F332" s="122">
        <f t="shared" si="5"/>
        <v>110.36999999999898</v>
      </c>
    </row>
    <row r="333" spans="2:6">
      <c r="B333" s="25">
        <f>운전실적_원본!A334</f>
        <v>45986</v>
      </c>
      <c r="C333" s="122">
        <f>일별!Q352</f>
        <v>69</v>
      </c>
      <c r="D333" s="15">
        <f>일별!I352</f>
        <v>3.2000000000007276</v>
      </c>
      <c r="F333" s="122">
        <f t="shared" si="5"/>
        <v>65.799999999999272</v>
      </c>
    </row>
    <row r="334" spans="2:6">
      <c r="B334" s="25">
        <f>운전실적_원본!A335</f>
        <v>45987</v>
      </c>
      <c r="C334" s="122">
        <f>일별!Q353</f>
        <v>204</v>
      </c>
      <c r="D334" s="15">
        <f>일별!I353</f>
        <v>2.8400000000001455</v>
      </c>
      <c r="F334" s="122">
        <f t="shared" si="5"/>
        <v>201.15999999999985</v>
      </c>
    </row>
    <row r="335" spans="2:6">
      <c r="B335" s="25">
        <f>운전실적_원본!A336</f>
        <v>45988</v>
      </c>
      <c r="C335" s="122">
        <f>일별!Q354</f>
        <v>423</v>
      </c>
      <c r="D335" s="15">
        <f>일별!I354</f>
        <v>6.069999999999709</v>
      </c>
      <c r="F335" s="122">
        <f t="shared" si="5"/>
        <v>416.93000000000029</v>
      </c>
    </row>
    <row r="336" spans="2:6">
      <c r="B336" s="25">
        <f>운전실적_원본!A337</f>
        <v>45989</v>
      </c>
      <c r="C336" s="122">
        <f>일별!Q355</f>
        <v>-212</v>
      </c>
      <c r="D336" s="15">
        <f>일별!I355</f>
        <v>5.2700000000004366</v>
      </c>
      <c r="F336" s="122">
        <f t="shared" si="5"/>
        <v>-217.27000000000044</v>
      </c>
    </row>
    <row r="337" spans="2:6">
      <c r="B337" s="25">
        <f>운전실적_원본!A338</f>
        <v>45990</v>
      </c>
      <c r="C337" s="122">
        <f>일별!Q356</f>
        <v>360</v>
      </c>
      <c r="D337" s="15">
        <f>일별!I356</f>
        <v>4.3600000000005821</v>
      </c>
      <c r="F337" s="122">
        <f t="shared" si="5"/>
        <v>355.63999999999942</v>
      </c>
    </row>
    <row r="338" spans="2:6">
      <c r="B338" s="25">
        <f>운전실적_원본!A339</f>
        <v>45991</v>
      </c>
      <c r="C338" s="122">
        <f>일별!Q357</f>
        <v>201</v>
      </c>
      <c r="D338" s="15">
        <f>일별!I357</f>
        <v>4.3299999999981083</v>
      </c>
      <c r="F338" s="122">
        <f t="shared" si="5"/>
        <v>196.67000000000189</v>
      </c>
    </row>
    <row r="339" spans="2:6">
      <c r="B339" s="25">
        <f>운전실적_원본!A340</f>
        <v>45992</v>
      </c>
      <c r="C339" s="122">
        <f>일별!Q358</f>
        <v>196</v>
      </c>
      <c r="D339" s="15">
        <f>일별!I358</f>
        <v>5.0300000000024738</v>
      </c>
      <c r="F339" s="122">
        <f t="shared" si="5"/>
        <v>190.96999999999753</v>
      </c>
    </row>
    <row r="340" spans="2:6">
      <c r="B340" s="25">
        <f>운전실적_원본!A341</f>
        <v>45993</v>
      </c>
      <c r="C340" s="122">
        <f>일별!Q359</f>
        <v>152</v>
      </c>
      <c r="D340" s="15">
        <f>일별!I359</f>
        <v>2.1499999999978172</v>
      </c>
      <c r="F340" s="122">
        <f t="shared" si="5"/>
        <v>149.85000000000218</v>
      </c>
    </row>
    <row r="341" spans="2:6">
      <c r="B341" s="25">
        <f>운전실적_원본!A342</f>
        <v>45994</v>
      </c>
      <c r="C341" s="122">
        <f>일별!Q360</f>
        <v>23</v>
      </c>
      <c r="D341" s="15">
        <f>일별!I360</f>
        <v>2.3600000000005821</v>
      </c>
      <c r="F341" s="122">
        <f t="shared" si="5"/>
        <v>20.639999999999418</v>
      </c>
    </row>
    <row r="342" spans="2:6">
      <c r="B342" s="25">
        <f>운전실적_원본!A343</f>
        <v>45995</v>
      </c>
      <c r="C342" s="122">
        <f>일별!Q361</f>
        <v>243</v>
      </c>
      <c r="D342" s="15">
        <f>일별!I361</f>
        <v>4.1599999999998545</v>
      </c>
      <c r="F342" s="122">
        <f t="shared" si="5"/>
        <v>238.84000000000015</v>
      </c>
    </row>
    <row r="343" spans="2:6">
      <c r="B343" s="25">
        <f>운전실적_원본!A344</f>
        <v>45996</v>
      </c>
      <c r="C343" s="122">
        <f>일별!Q362</f>
        <v>156</v>
      </c>
      <c r="D343" s="15">
        <f>일별!I362</f>
        <v>4.75</v>
      </c>
      <c r="F343" s="122">
        <f t="shared" si="5"/>
        <v>151.25</v>
      </c>
    </row>
    <row r="344" spans="2:6">
      <c r="B344" s="25">
        <f>운전실적_원본!A345</f>
        <v>45997</v>
      </c>
      <c r="C344" s="122">
        <f>일별!Q363</f>
        <v>210</v>
      </c>
      <c r="D344" s="15">
        <f>일별!I363</f>
        <v>4.3400000000001455</v>
      </c>
      <c r="F344" s="122">
        <f t="shared" ref="F344:F369" si="6">IFERROR(C344-D344,"")</f>
        <v>205.65999999999985</v>
      </c>
    </row>
    <row r="345" spans="2:6">
      <c r="B345" s="25">
        <f>운전실적_원본!A346</f>
        <v>45998</v>
      </c>
      <c r="C345" s="122">
        <f>일별!Q364</f>
        <v>198</v>
      </c>
      <c r="D345" s="15">
        <f>일별!I364</f>
        <v>2.5800000000017462</v>
      </c>
      <c r="F345" s="122">
        <f t="shared" si="6"/>
        <v>195.41999999999825</v>
      </c>
    </row>
    <row r="346" spans="2:6">
      <c r="B346" s="25">
        <f>운전실적_원본!A347</f>
        <v>45999</v>
      </c>
      <c r="C346" s="122">
        <f>일별!Q365</f>
        <v>258</v>
      </c>
      <c r="D346" s="15">
        <f>일별!I365</f>
        <v>5.2399999999979627</v>
      </c>
      <c r="F346" s="122">
        <f t="shared" si="6"/>
        <v>252.76000000000204</v>
      </c>
    </row>
    <row r="347" spans="2:6">
      <c r="B347" s="25">
        <f>운전실적_원본!A348</f>
        <v>46000</v>
      </c>
      <c r="C347" s="122">
        <f>일별!Q366</f>
        <v>116</v>
      </c>
      <c r="D347" s="15">
        <f>일별!I366</f>
        <v>3.8899999999994179</v>
      </c>
      <c r="F347" s="122">
        <f t="shared" si="6"/>
        <v>112.11000000000058</v>
      </c>
    </row>
    <row r="348" spans="2:6">
      <c r="B348" s="25">
        <f>운전실적_원본!A349</f>
        <v>46001</v>
      </c>
      <c r="C348" s="122">
        <f>일별!Q367</f>
        <v>115</v>
      </c>
      <c r="D348" s="15">
        <f>일별!I367</f>
        <v>4</v>
      </c>
      <c r="F348" s="122">
        <f t="shared" si="6"/>
        <v>111</v>
      </c>
    </row>
    <row r="349" spans="2:6">
      <c r="B349" s="25">
        <f>운전실적_원본!A350</f>
        <v>46002</v>
      </c>
      <c r="C349" s="122">
        <f>일별!Q368</f>
        <v>193</v>
      </c>
      <c r="D349" s="15">
        <f>일별!I368</f>
        <v>3.7999999999992724</v>
      </c>
      <c r="F349" s="122">
        <f t="shared" si="6"/>
        <v>189.20000000000073</v>
      </c>
    </row>
    <row r="350" spans="2:6">
      <c r="B350" s="25">
        <f>운전실적_원본!A351</f>
        <v>46003</v>
      </c>
      <c r="C350" s="122">
        <f>일별!Q369</f>
        <v>157</v>
      </c>
      <c r="D350" s="15">
        <f>일별!I369</f>
        <v>6.3100000000013097</v>
      </c>
      <c r="F350" s="122">
        <f t="shared" si="6"/>
        <v>150.68999999999869</v>
      </c>
    </row>
    <row r="351" spans="2:6">
      <c r="B351" s="25">
        <f>운전실적_원본!A352</f>
        <v>46004</v>
      </c>
      <c r="C351" s="122">
        <f>일별!Q370</f>
        <v>115</v>
      </c>
      <c r="D351" s="15">
        <f>일별!I370</f>
        <v>5.6700000000018917</v>
      </c>
      <c r="F351" s="122">
        <f t="shared" si="6"/>
        <v>109.32999999999811</v>
      </c>
    </row>
    <row r="352" spans="2:6">
      <c r="B352" s="25">
        <f>운전실적_원본!A353</f>
        <v>46005</v>
      </c>
      <c r="C352" s="122">
        <f>일별!Q371</f>
        <v>0</v>
      </c>
      <c r="D352" s="15">
        <f>일별!I371</f>
        <v>0</v>
      </c>
      <c r="F352" s="122">
        <f t="shared" si="6"/>
        <v>0</v>
      </c>
    </row>
    <row r="353" spans="2:6">
      <c r="B353" s="25">
        <f>운전실적_원본!A354</f>
        <v>46006</v>
      </c>
      <c r="C353" s="122">
        <f>일별!Q372</f>
        <v>0</v>
      </c>
      <c r="D353" s="15">
        <f>일별!I372</f>
        <v>0</v>
      </c>
      <c r="F353" s="122">
        <f t="shared" si="6"/>
        <v>0</v>
      </c>
    </row>
    <row r="354" spans="2:6">
      <c r="B354" s="25">
        <f>운전실적_원본!A355</f>
        <v>46007</v>
      </c>
      <c r="C354" s="122">
        <f>일별!Q373</f>
        <v>0</v>
      </c>
      <c r="D354" s="15">
        <f>일별!I373</f>
        <v>0</v>
      </c>
      <c r="F354" s="122">
        <f t="shared" si="6"/>
        <v>0</v>
      </c>
    </row>
    <row r="355" spans="2:6">
      <c r="B355" s="25">
        <f>운전실적_원본!A356</f>
        <v>46008</v>
      </c>
      <c r="C355" s="122">
        <f>일별!Q374</f>
        <v>0</v>
      </c>
      <c r="D355" s="15">
        <f>일별!I374</f>
        <v>0</v>
      </c>
      <c r="F355" s="122">
        <f t="shared" si="6"/>
        <v>0</v>
      </c>
    </row>
    <row r="356" spans="2:6">
      <c r="B356" s="25">
        <f>운전실적_원본!A357</f>
        <v>46009</v>
      </c>
      <c r="C356" s="122">
        <f>일별!Q375</f>
        <v>0</v>
      </c>
      <c r="D356" s="15">
        <f>일별!I375</f>
        <v>0</v>
      </c>
      <c r="F356" s="122">
        <f t="shared" si="6"/>
        <v>0</v>
      </c>
    </row>
    <row r="357" spans="2:6">
      <c r="B357" s="25">
        <f>운전실적_원본!A358</f>
        <v>46010</v>
      </c>
      <c r="C357" s="122">
        <f>일별!Q376</f>
        <v>0</v>
      </c>
      <c r="D357" s="15">
        <f>일별!I376</f>
        <v>0</v>
      </c>
      <c r="F357" s="122">
        <f t="shared" si="6"/>
        <v>0</v>
      </c>
    </row>
    <row r="358" spans="2:6">
      <c r="B358" s="25">
        <f>운전실적_원본!A359</f>
        <v>46011</v>
      </c>
      <c r="C358" s="122">
        <f>일별!Q377</f>
        <v>0</v>
      </c>
      <c r="D358" s="15">
        <f>일별!I377</f>
        <v>0</v>
      </c>
      <c r="F358" s="122">
        <f t="shared" si="6"/>
        <v>0</v>
      </c>
    </row>
    <row r="359" spans="2:6">
      <c r="B359" s="25">
        <f>운전실적_원본!A360</f>
        <v>46012</v>
      </c>
      <c r="C359" s="122">
        <f>일별!Q378</f>
        <v>0</v>
      </c>
      <c r="D359" s="15">
        <f>일별!I378</f>
        <v>0</v>
      </c>
      <c r="F359" s="122">
        <f t="shared" si="6"/>
        <v>0</v>
      </c>
    </row>
    <row r="360" spans="2:6">
      <c r="B360" s="25">
        <f>운전실적_원본!A361</f>
        <v>46013</v>
      </c>
      <c r="C360" s="122">
        <f>일별!Q379</f>
        <v>0</v>
      </c>
      <c r="D360" s="15">
        <f>일별!I379</f>
        <v>0</v>
      </c>
      <c r="F360" s="122">
        <f t="shared" si="6"/>
        <v>0</v>
      </c>
    </row>
    <row r="361" spans="2:6">
      <c r="B361" s="25">
        <f>운전실적_원본!A362</f>
        <v>46014</v>
      </c>
      <c r="C361" s="122">
        <f>일별!Q380</f>
        <v>0</v>
      </c>
      <c r="D361" s="15">
        <f>일별!I380</f>
        <v>0</v>
      </c>
      <c r="F361" s="122">
        <f t="shared" si="6"/>
        <v>0</v>
      </c>
    </row>
    <row r="362" spans="2:6">
      <c r="B362" s="25">
        <f>운전실적_원본!A363</f>
        <v>46015</v>
      </c>
      <c r="C362" s="122">
        <f>일별!Q381</f>
        <v>0</v>
      </c>
      <c r="D362" s="15">
        <f>일별!I381</f>
        <v>0</v>
      </c>
      <c r="F362" s="122">
        <f t="shared" si="6"/>
        <v>0</v>
      </c>
    </row>
    <row r="363" spans="2:6">
      <c r="B363" s="25">
        <f>운전실적_원본!A364</f>
        <v>46016</v>
      </c>
      <c r="C363" s="122">
        <f>일별!Q382</f>
        <v>0</v>
      </c>
      <c r="D363" s="15">
        <f>일별!I382</f>
        <v>0</v>
      </c>
      <c r="F363" s="122">
        <f t="shared" si="6"/>
        <v>0</v>
      </c>
    </row>
    <row r="364" spans="2:6">
      <c r="B364" s="25">
        <f>운전실적_원본!A365</f>
        <v>46017</v>
      </c>
      <c r="C364" s="122">
        <f>일별!Q383</f>
        <v>0</v>
      </c>
      <c r="D364" s="15">
        <f>일별!I383</f>
        <v>0</v>
      </c>
      <c r="F364" s="122">
        <f t="shared" si="6"/>
        <v>0</v>
      </c>
    </row>
    <row r="365" spans="2:6">
      <c r="B365" s="25">
        <f>운전실적_원본!A366</f>
        <v>46018</v>
      </c>
      <c r="C365" s="122">
        <f>일별!Q384</f>
        <v>0</v>
      </c>
      <c r="D365" s="15">
        <f>일별!I384</f>
        <v>0</v>
      </c>
      <c r="F365" s="122">
        <f t="shared" si="6"/>
        <v>0</v>
      </c>
    </row>
    <row r="366" spans="2:6">
      <c r="B366" s="25">
        <f>운전실적_원본!A367</f>
        <v>46019</v>
      </c>
      <c r="C366" s="122">
        <f>일별!Q385</f>
        <v>0</v>
      </c>
      <c r="D366" s="15">
        <f>일별!I385</f>
        <v>0</v>
      </c>
      <c r="F366" s="122">
        <f t="shared" si="6"/>
        <v>0</v>
      </c>
    </row>
    <row r="367" spans="2:6">
      <c r="B367" s="25">
        <f>운전실적_원본!A368</f>
        <v>46020</v>
      </c>
      <c r="C367" s="122">
        <f>일별!Q386</f>
        <v>0</v>
      </c>
      <c r="D367" s="15">
        <f>일별!I386</f>
        <v>0</v>
      </c>
      <c r="F367" s="122">
        <f t="shared" si="6"/>
        <v>0</v>
      </c>
    </row>
    <row r="368" spans="2:6">
      <c r="B368" s="25">
        <f>운전실적_원본!A369</f>
        <v>46021</v>
      </c>
      <c r="C368" s="122">
        <f>일별!Q387</f>
        <v>0</v>
      </c>
      <c r="D368" s="15">
        <f>일별!I387</f>
        <v>0</v>
      </c>
      <c r="F368" s="122">
        <f t="shared" si="6"/>
        <v>0</v>
      </c>
    </row>
    <row r="369" spans="2:6">
      <c r="B369" s="25">
        <f>운전실적_원본!A370</f>
        <v>46022</v>
      </c>
      <c r="C369" s="122">
        <f>일별!Q388</f>
        <v>0</v>
      </c>
      <c r="D369" s="15">
        <f>일별!I388</f>
        <v>0</v>
      </c>
      <c r="F369" s="123">
        <f t="shared" si="6"/>
        <v>0</v>
      </c>
    </row>
  </sheetData>
  <phoneticPr fontId="3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D5417-52A2-414D-9CB7-4620EE6E2290}">
  <dimension ref="A1:BO48"/>
  <sheetViews>
    <sheetView showGridLines="0" defaultGridColor="0" colorId="8" zoomScale="55" zoomScaleNormal="55" workbookViewId="0">
      <selection activeCell="L2" sqref="L2:N2"/>
    </sheetView>
  </sheetViews>
  <sheetFormatPr defaultColWidth="3" defaultRowHeight="16.5"/>
  <cols>
    <col min="1" max="27" width="3" style="126"/>
    <col min="28" max="28" width="3" style="126" customWidth="1"/>
    <col min="29" max="66" width="3" style="126"/>
    <col min="67" max="67" width="3.375" style="126" customWidth="1"/>
    <col min="68" max="16384" width="3" style="126"/>
  </cols>
  <sheetData>
    <row r="1" spans="1:63" ht="17.25" thickTop="1">
      <c r="A1" s="152"/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0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8"/>
    </row>
    <row r="2" spans="1:63">
      <c r="A2" s="142"/>
      <c r="B2" s="132" t="s">
        <v>166</v>
      </c>
      <c r="C2" s="132"/>
      <c r="D2" s="132"/>
      <c r="E2" s="132"/>
      <c r="F2" s="132"/>
      <c r="G2" s="132"/>
      <c r="H2" s="132" t="s">
        <v>167</v>
      </c>
      <c r="I2" s="132"/>
      <c r="J2" s="132"/>
      <c r="K2" s="132"/>
      <c r="L2" s="254">
        <v>0.6</v>
      </c>
      <c r="M2" s="254"/>
      <c r="N2" s="254"/>
      <c r="O2" s="146"/>
      <c r="BK2" s="130"/>
    </row>
    <row r="3" spans="1:63" s="132" customFormat="1">
      <c r="A3" s="147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46"/>
      <c r="BK3" s="145"/>
    </row>
    <row r="4" spans="1:63">
      <c r="A4" s="142"/>
      <c r="B4" s="144"/>
      <c r="C4" s="144"/>
      <c r="D4" s="144"/>
      <c r="F4" s="126" t="s">
        <v>168</v>
      </c>
      <c r="O4" s="141"/>
      <c r="AY4" s="126" t="s">
        <v>169</v>
      </c>
      <c r="BK4" s="130"/>
    </row>
    <row r="5" spans="1:63">
      <c r="A5" s="142"/>
      <c r="B5" s="143"/>
      <c r="C5" s="143"/>
      <c r="D5" s="143"/>
      <c r="F5" s="126" t="s">
        <v>170</v>
      </c>
      <c r="O5" s="141"/>
      <c r="U5" s="126" t="s">
        <v>169</v>
      </c>
      <c r="AY5" s="255">
        <v>0</v>
      </c>
      <c r="AZ5" s="255"/>
      <c r="BA5" s="255"/>
      <c r="BB5" s="131" t="s">
        <v>171</v>
      </c>
      <c r="BK5" s="130"/>
    </row>
    <row r="6" spans="1:63">
      <c r="A6" s="142"/>
      <c r="B6" s="256"/>
      <c r="C6" s="256"/>
      <c r="D6" s="256"/>
      <c r="F6" s="126" t="s">
        <v>172</v>
      </c>
      <c r="O6" s="141"/>
      <c r="U6" s="255">
        <v>0</v>
      </c>
      <c r="V6" s="255"/>
      <c r="W6" s="255"/>
      <c r="X6" s="131" t="s">
        <v>171</v>
      </c>
      <c r="BK6" s="130"/>
    </row>
    <row r="7" spans="1:63">
      <c r="A7" s="142"/>
      <c r="B7" s="257"/>
      <c r="C7" s="257"/>
      <c r="D7" s="257"/>
      <c r="O7" s="141"/>
      <c r="AY7" s="126" t="s">
        <v>169</v>
      </c>
      <c r="BK7" s="130"/>
    </row>
    <row r="8" spans="1:63">
      <c r="A8" s="142"/>
      <c r="O8" s="141"/>
      <c r="AY8" s="258">
        <f>IF(L2="미가동",0,16.7)</f>
        <v>16.7</v>
      </c>
      <c r="AZ8" s="258"/>
      <c r="BA8" s="258"/>
      <c r="BB8" s="131" t="s">
        <v>171</v>
      </c>
      <c r="BK8" s="130"/>
    </row>
    <row r="9" spans="1:63" ht="17.25" thickBot="1">
      <c r="A9" s="140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8"/>
      <c r="BK9" s="130"/>
    </row>
    <row r="10" spans="1:63" ht="17.25" thickTop="1">
      <c r="A10" s="133"/>
      <c r="J10" s="126" t="s">
        <v>173</v>
      </c>
      <c r="AY10" s="126" t="s">
        <v>169</v>
      </c>
      <c r="BE10" s="132"/>
      <c r="BK10" s="130"/>
    </row>
    <row r="11" spans="1:63">
      <c r="A11" s="133"/>
      <c r="J11" s="260">
        <f>U6+AY5+AY8+AY11+AY14+AY18+AY25+C26</f>
        <v>73.740068307013019</v>
      </c>
      <c r="K11" s="260"/>
      <c r="L11" s="260"/>
      <c r="M11" s="131" t="s">
        <v>171</v>
      </c>
      <c r="AY11" s="259">
        <v>0.65300000000000002</v>
      </c>
      <c r="AZ11" s="259"/>
      <c r="BA11" s="259"/>
      <c r="BB11" s="131" t="s">
        <v>171</v>
      </c>
      <c r="BK11" s="130"/>
    </row>
    <row r="12" spans="1:63">
      <c r="A12" s="133"/>
      <c r="BK12" s="130"/>
    </row>
    <row r="13" spans="1:63">
      <c r="A13" s="133"/>
      <c r="AY13" s="126" t="s">
        <v>169</v>
      </c>
      <c r="BK13" s="130"/>
    </row>
    <row r="14" spans="1:63">
      <c r="A14" s="133"/>
      <c r="AY14" s="259">
        <v>1.92</v>
      </c>
      <c r="AZ14" s="259"/>
      <c r="BA14" s="259"/>
      <c r="BB14" s="131" t="s">
        <v>171</v>
      </c>
      <c r="BK14" s="130"/>
    </row>
    <row r="15" spans="1:63">
      <c r="A15" s="133"/>
      <c r="AB15" s="137" t="s">
        <v>174</v>
      </c>
      <c r="BK15" s="130"/>
    </row>
    <row r="16" spans="1:63">
      <c r="A16" s="133"/>
      <c r="AB16" s="136">
        <v>0.2</v>
      </c>
      <c r="BK16" s="130"/>
    </row>
    <row r="17" spans="1:63">
      <c r="A17" s="133"/>
      <c r="AB17" s="136">
        <v>0.4</v>
      </c>
      <c r="AY17" s="126" t="s">
        <v>175</v>
      </c>
      <c r="BK17" s="130"/>
    </row>
    <row r="18" spans="1:63">
      <c r="A18" s="133"/>
      <c r="AB18" s="136">
        <v>0.6</v>
      </c>
      <c r="AY18" s="260">
        <f>BD28+BD31+BD34+BD37+BD40+C35</f>
        <v>44.613185307179585</v>
      </c>
      <c r="AZ18" s="260"/>
      <c r="BA18" s="260"/>
      <c r="BB18" s="131" t="s">
        <v>171</v>
      </c>
      <c r="BK18" s="130"/>
    </row>
    <row r="19" spans="1:63">
      <c r="A19" s="133"/>
      <c r="AB19" s="136">
        <v>0.8</v>
      </c>
      <c r="BK19" s="130"/>
    </row>
    <row r="20" spans="1:63">
      <c r="A20" s="133"/>
      <c r="AB20" s="136">
        <v>1</v>
      </c>
      <c r="BK20" s="130"/>
    </row>
    <row r="21" spans="1:63">
      <c r="A21" s="133"/>
      <c r="BK21" s="130"/>
    </row>
    <row r="22" spans="1:63">
      <c r="A22" s="133"/>
      <c r="BK22" s="130"/>
    </row>
    <row r="23" spans="1:63">
      <c r="A23" s="133"/>
      <c r="BK23" s="130"/>
    </row>
    <row r="24" spans="1:63">
      <c r="A24" s="133"/>
      <c r="AY24" s="126" t="s">
        <v>169</v>
      </c>
      <c r="BK24" s="130"/>
    </row>
    <row r="25" spans="1:63">
      <c r="A25" s="133"/>
      <c r="C25" s="126" t="s">
        <v>169</v>
      </c>
      <c r="AY25" s="260">
        <f>AY18/180*17.97</f>
        <v>4.4538829998334277</v>
      </c>
      <c r="AZ25" s="260"/>
      <c r="BA25" s="260"/>
      <c r="BB25" s="131" t="s">
        <v>171</v>
      </c>
      <c r="BK25" s="130"/>
    </row>
    <row r="26" spans="1:63">
      <c r="A26" s="133"/>
      <c r="C26" s="259">
        <v>5.4</v>
      </c>
      <c r="D26" s="259"/>
      <c r="E26" s="259"/>
      <c r="F26" s="131" t="s">
        <v>171</v>
      </c>
      <c r="BK26" s="130"/>
    </row>
    <row r="27" spans="1:63">
      <c r="A27" s="133"/>
      <c r="BD27" s="126" t="s">
        <v>169</v>
      </c>
      <c r="BK27" s="130"/>
    </row>
    <row r="28" spans="1:63">
      <c r="A28" s="133"/>
      <c r="BD28" s="253">
        <f>IF(L2="미가동",0,IF(L2=20%,PI()/4*4^2*0.1*2.5,IF(L2=40%,PI()/4*4^2*0.1*4,IF(L2=60%,PI()/4*4^2*0.1*5,IF(L2=80%,PI()/4*4^2*0.1*8,IF(L2=100%,PI()/4*4^2*0.1*12))))))</f>
        <v>6.2831853071795862</v>
      </c>
      <c r="BE28" s="253"/>
      <c r="BF28" s="253"/>
      <c r="BG28" s="135" t="s">
        <v>171</v>
      </c>
      <c r="BK28" s="130"/>
    </row>
    <row r="29" spans="1:63">
      <c r="A29" s="133"/>
      <c r="BK29" s="130"/>
    </row>
    <row r="30" spans="1:63">
      <c r="A30" s="133"/>
      <c r="BD30" s="126" t="s">
        <v>169</v>
      </c>
      <c r="BK30" s="130"/>
    </row>
    <row r="31" spans="1:63">
      <c r="A31" s="133"/>
      <c r="BD31" s="253">
        <f>IF(L2="미가동",0,IF(L2=20%,0.35*24,IF(L2=40%,0.475*24,IF(L2=60%,0.575*24,IF(L2=80%,0.65*24,IF(L2=100%,0.7*24))))))</f>
        <v>13.799999999999999</v>
      </c>
      <c r="BE31" s="253"/>
      <c r="BF31" s="253"/>
      <c r="BG31" s="131" t="s">
        <v>171</v>
      </c>
      <c r="BK31" s="130"/>
    </row>
    <row r="32" spans="1:63">
      <c r="A32" s="133"/>
      <c r="BK32" s="130"/>
    </row>
    <row r="33" spans="1:67">
      <c r="A33" s="133"/>
      <c r="BD33" s="126" t="s">
        <v>169</v>
      </c>
      <c r="BK33" s="130"/>
    </row>
    <row r="34" spans="1:67">
      <c r="A34" s="133"/>
      <c r="C34" s="126" t="s">
        <v>169</v>
      </c>
      <c r="BD34" s="259">
        <v>0.26</v>
      </c>
      <c r="BE34" s="259"/>
      <c r="BF34" s="259"/>
      <c r="BG34" s="131" t="s">
        <v>171</v>
      </c>
      <c r="BK34" s="130"/>
    </row>
    <row r="35" spans="1:67">
      <c r="A35" s="133"/>
      <c r="C35" s="257">
        <f>2.25+20.58</f>
        <v>22.83</v>
      </c>
      <c r="D35" s="257"/>
      <c r="E35" s="257"/>
      <c r="F35" s="131" t="s">
        <v>171</v>
      </c>
      <c r="BK35" s="130"/>
    </row>
    <row r="36" spans="1:67">
      <c r="A36" s="133"/>
      <c r="BD36" s="126" t="s">
        <v>169</v>
      </c>
      <c r="BK36" s="130"/>
    </row>
    <row r="37" spans="1:67">
      <c r="A37" s="133"/>
      <c r="BD37" s="259">
        <v>1.44</v>
      </c>
      <c r="BE37" s="259"/>
      <c r="BF37" s="259"/>
      <c r="BG37" s="131" t="s">
        <v>171</v>
      </c>
      <c r="BK37" s="130"/>
    </row>
    <row r="38" spans="1:67">
      <c r="A38" s="133"/>
      <c r="BK38" s="130"/>
    </row>
    <row r="39" spans="1:67">
      <c r="A39" s="133"/>
      <c r="C39" s="126" t="s">
        <v>169</v>
      </c>
      <c r="BD39" s="126" t="s">
        <v>169</v>
      </c>
      <c r="BK39" s="130"/>
    </row>
    <row r="40" spans="1:67">
      <c r="A40" s="133"/>
      <c r="C40" s="260">
        <f>AY18/180*(17.57+3.16)</f>
        <v>5.1379518412101826</v>
      </c>
      <c r="D40" s="260"/>
      <c r="E40" s="260"/>
      <c r="F40" s="131" t="s">
        <v>171</v>
      </c>
      <c r="BD40" s="255">
        <v>0</v>
      </c>
      <c r="BE40" s="255"/>
      <c r="BF40" s="255"/>
      <c r="BG40" s="131" t="s">
        <v>171</v>
      </c>
      <c r="BK40" s="130"/>
    </row>
    <row r="41" spans="1:67">
      <c r="A41" s="133"/>
      <c r="BK41" s="130"/>
    </row>
    <row r="42" spans="1:67">
      <c r="A42" s="133"/>
      <c r="BK42" s="130"/>
    </row>
    <row r="43" spans="1:67">
      <c r="A43" s="133"/>
      <c r="BK43" s="130"/>
    </row>
    <row r="44" spans="1:67">
      <c r="A44" s="133"/>
      <c r="BK44" s="130"/>
    </row>
    <row r="45" spans="1:67">
      <c r="A45" s="133"/>
      <c r="AP45" s="126" t="s">
        <v>169</v>
      </c>
      <c r="BK45" s="130"/>
      <c r="BO45" s="134"/>
    </row>
    <row r="46" spans="1:67">
      <c r="A46" s="133"/>
      <c r="AF46" s="132"/>
      <c r="AP46" s="261">
        <f>AY8+AY11+AY25+C35+C40</f>
        <v>49.774834841043607</v>
      </c>
      <c r="AQ46" s="261"/>
      <c r="AR46" s="261"/>
      <c r="AS46" s="131" t="s">
        <v>171</v>
      </c>
      <c r="BK46" s="130"/>
    </row>
    <row r="47" spans="1:67" ht="17.25" thickBot="1">
      <c r="A47" s="129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7"/>
    </row>
    <row r="48" spans="1:67" ht="17.25" thickTop="1"/>
  </sheetData>
  <mergeCells count="20">
    <mergeCell ref="AP46:AR46"/>
    <mergeCell ref="BD31:BF31"/>
    <mergeCell ref="BD34:BF34"/>
    <mergeCell ref="C35:E35"/>
    <mergeCell ref="BD37:BF37"/>
    <mergeCell ref="C40:E40"/>
    <mergeCell ref="BD40:BF40"/>
    <mergeCell ref="BD28:BF28"/>
    <mergeCell ref="L2:N2"/>
    <mergeCell ref="AY5:BA5"/>
    <mergeCell ref="B6:D6"/>
    <mergeCell ref="U6:W6"/>
    <mergeCell ref="B7:D7"/>
    <mergeCell ref="AY8:BA8"/>
    <mergeCell ref="C26:E26"/>
    <mergeCell ref="J11:L11"/>
    <mergeCell ref="AY11:BA11"/>
    <mergeCell ref="AY14:BA14"/>
    <mergeCell ref="AY18:BA18"/>
    <mergeCell ref="AY25:BA25"/>
  </mergeCells>
  <phoneticPr fontId="3" type="noConversion"/>
  <dataValidations count="1">
    <dataValidation type="list" allowBlank="1" showInputMessage="1" showErrorMessage="1" sqref="L2:N2" xr:uid="{8371B6C1-ACBC-4260-AAE8-A38BCB3FE8D0}">
      <formula1>$AB$15:$AB$20</formula1>
    </dataValidation>
  </dataValidations>
  <printOptions horizontalCentered="1" verticalCentered="1"/>
  <pageMargins left="0" right="0" top="0" bottom="0" header="0.31496062992125984" footer="0.31496062992125984"/>
  <pageSetup paperSize="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F42A224B328C44ABB631DAB991174D4" ma:contentTypeVersion="14" ma:contentTypeDescription="새 문서를 만듭니다." ma:contentTypeScope="" ma:versionID="eeba4cdb24fb4e7830899cfe5626e1fe">
  <xsd:schema xmlns:xsd="http://www.w3.org/2001/XMLSchema" xmlns:xs="http://www.w3.org/2001/XMLSchema" xmlns:p="http://schemas.microsoft.com/office/2006/metadata/properties" xmlns:ns2="23d0084d-1aca-489e-9e25-ce818e0e2aa5" xmlns:ns3="e9bf0e0b-2541-4fad-a4b1-46a37718fc96" targetNamespace="http://schemas.microsoft.com/office/2006/metadata/properties" ma:root="true" ma:fieldsID="9a6fd878e066d932ce2008fbdc40b507" ns2:_="" ns3:_="">
    <xsd:import namespace="23d0084d-1aca-489e-9e25-ce818e0e2aa5"/>
    <xsd:import namespace="e9bf0e0b-2541-4fad-a4b1-46a37718fc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d0084d-1aca-489e-9e25-ce818e0e2a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e068de7c-0542-411d-a706-ba5c6998e3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bf0e0b-2541-4fad-a4b1-46a37718fc9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c40a62c-38fe-43d8-83ee-e96bc8e1717c}" ma:internalName="TaxCatchAll" ma:showField="CatchAllData" ma:web="e9bf0e0b-2541-4fad-a4b1-46a37718fc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d0084d-1aca-489e-9e25-ce818e0e2aa5">
      <Terms xmlns="http://schemas.microsoft.com/office/infopath/2007/PartnerControls"/>
    </lcf76f155ced4ddcb4097134ff3c332f>
    <TaxCatchAll xmlns="e9bf0e0b-2541-4fad-a4b1-46a37718fc9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F40E72-49D5-4991-B20C-D53591A386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d0084d-1aca-489e-9e25-ce818e0e2aa5"/>
    <ds:schemaRef ds:uri="e9bf0e0b-2541-4fad-a4b1-46a37718fc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3BA957-FF22-4F67-A59F-54CA980FD984}">
  <ds:schemaRefs>
    <ds:schemaRef ds:uri="http://schemas.microsoft.com/office/2006/metadata/properties"/>
    <ds:schemaRef ds:uri="http://schemas.microsoft.com/office/infopath/2007/PartnerControls"/>
    <ds:schemaRef ds:uri="23d0084d-1aca-489e-9e25-ce818e0e2aa5"/>
    <ds:schemaRef ds:uri="e9bf0e0b-2541-4fad-a4b1-46a37718fc96"/>
  </ds:schemaRefs>
</ds:datastoreItem>
</file>

<file path=customXml/itemProps3.xml><?xml version="1.0" encoding="utf-8"?>
<ds:datastoreItem xmlns:ds="http://schemas.openxmlformats.org/officeDocument/2006/customXml" ds:itemID="{A72610F4-EEC0-4E28-AF36-D6520D105B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운영현황</vt:lpstr>
      <vt:lpstr>일일 가동현황</vt:lpstr>
      <vt:lpstr>월별</vt:lpstr>
      <vt:lpstr>일별</vt:lpstr>
      <vt:lpstr>운전실적_원본</vt:lpstr>
      <vt:lpstr>산정..</vt:lpstr>
      <vt:lpstr>Waterbalance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강 다혜</dc:creator>
  <cp:keywords/>
  <dc:description/>
  <cp:lastModifiedBy>남 길우</cp:lastModifiedBy>
  <cp:revision/>
  <dcterms:created xsi:type="dcterms:W3CDTF">2026-01-22T00:11:09Z</dcterms:created>
  <dcterms:modified xsi:type="dcterms:W3CDTF">2026-04-07T07:51:02Z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0x0101002F42A224B328C44ABB631DAB991174D4</vt:lpwstr>
  </property>
  <property fmtid="{D5CDD505-2E9C-101B-9397-08002B2CF9AE}" pid="3" name="MediaServiceImageTags">
    <vt:lpwstr/>
  </property>
</Properties>
</file>